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acts" sheetId="2" state="visible" r:id="rId2"/>
    <sheet name="Annual facts" sheetId="3" state="visible" r:id="rId3"/>
    <sheet name="Metrics" sheetId="4" state="visible" r:id="rId4"/>
    <sheet name="Calculations" sheetId="5" state="visible" r:id="rId5"/>
    <sheet name="Calc inputs" sheetId="6" state="visible" r:id="rId6"/>
    <sheet name="Text facts" sheetId="7" state="visible" r:id="rId7"/>
    <sheet name="Cards" sheetId="8" state="visible" r:id="rId8"/>
    <sheet name="My analysis" sheetId="9" state="visible" r:id="rId9"/>
    <sheet name="Assumptions" sheetId="10" state="visible" r:id="rId10"/>
    <sheet name="Workbench" sheetId="11" state="visible" r:id="rId11"/>
    <sheet name="Valuation Models" sheetId="12" state="visible" r:id="rId12"/>
    <sheet name="Forward Forecasts" sheetId="13" state="visible" r:id="rId13"/>
    <sheet name="Forward Segments" sheetId="14" state="visible" r:id="rId14"/>
    <sheet name="Sensitivity" sheetId="15" state="visible" r:id="rId15"/>
  </sheets>
  <definedNames>
    <definedName name="_xlnm._FilterDatabase" localSheetId="0" hidden="1">'Start here'!$A$1:$B$17</definedName>
    <definedName name="_xlnm.Print_Titles" localSheetId="0">'Start here'!$1:$1</definedName>
    <definedName name="_xlnm._FilterDatabase" localSheetId="1" hidden="1">'Facts'!$A$1:$I$578</definedName>
    <definedName name="_xlnm.Print_Titles" localSheetId="1">'Facts'!$1:$1</definedName>
    <definedName name="_xlnm._FilterDatabase" localSheetId="2" hidden="1">'Annual facts'!$A$1:$M$49</definedName>
    <definedName name="_xlnm.Print_Titles" localSheetId="2">'Annual facts'!$1:$1</definedName>
    <definedName name="_xlnm._FilterDatabase" localSheetId="3" hidden="1">'Metrics'!$A$1:$L$70</definedName>
    <definedName name="_xlnm.Print_Titles" localSheetId="3">'Metrics'!$1:$1</definedName>
    <definedName name="_xlnm._FilterDatabase" localSheetId="4" hidden="1">'Calculations'!$A$1:$I$286</definedName>
    <definedName name="_xlnm.Print_Titles" localSheetId="4">'Calculations'!$1:$1</definedName>
    <definedName name="_xlnm._FilterDatabase" localSheetId="5" hidden="1">'Calc inputs'!$A$1:$K$722</definedName>
    <definedName name="_xlnm.Print_Titles" localSheetId="5">'Calc inputs'!$1:$1</definedName>
    <definedName name="_xlnm._FilterDatabase" localSheetId="6" hidden="1">'Text facts'!$A$1:$G$15</definedName>
    <definedName name="_xlnm.Print_Titles" localSheetId="6">'Text facts'!$1:$1</definedName>
    <definedName name="_xlnm._FilterDatabase" localSheetId="7" hidden="1">'Cards'!$A$1:$N$110</definedName>
    <definedName name="_xlnm.Print_Titles" localSheetId="7">'Cards'!$1:$1</definedName>
    <definedName name="_xlnm._FilterDatabase" localSheetId="8" hidden="1">'My analysis'!$A$1:$G$110</definedName>
    <definedName name="_xlnm.Print_Titles" localSheetId="8">'My analysis'!$1:$1</definedName>
    <definedName name="_xlnm._FilterDatabase" localSheetId="9" hidden="1">'Assumptions'!$A$1:$C$511</definedName>
    <definedName name="_xlnm.Print_Titles" localSheetId="9">'Assumptions'!$1:$1</definedName>
    <definedName name="_xlnm._FilterDatabase" localSheetId="10" hidden="1">'Workbench'!$A$1:$F$48</definedName>
    <definedName name="_xlnm.Print_Titles" localSheetId="10">'Workbench'!$1:$1</definedName>
    <definedName name="_xlnm._FilterDatabase" localSheetId="11" hidden="1">'Valuation Models'!$A$1:$G$5</definedName>
    <definedName name="_xlnm._FilterDatabase" localSheetId="12" hidden="1">'Forward Forecasts'!$A$1:$L$31</definedName>
    <definedName name="_xlnm._FilterDatabase" localSheetId="13" hidden="1">'Forward Segments'!$A$1:$H$61</definedName>
    <definedName name="_xlnm._FilterDatabase" localSheetId="14" hidden="1">'Sensitivity'!$A$1:$G$217</definedName>
  </definedNames>
  <calcPr calcId="124519" fullCalcOnLoad="1"/>
</workbook>
</file>

<file path=xl/styles.xml><?xml version="1.0" encoding="utf-8"?>
<styleSheet xmlns="http://schemas.openxmlformats.org/spreadsheetml/2006/main">
  <numFmts count="3">
    <numFmt numFmtId="164" formatCode="#,##0.00;[Red](#,##0.00);&quot;-&quot;"/>
    <numFmt numFmtId="165" formatCode="0.00%;[Red](0.00%);&quot;-&quot;"/>
    <numFmt numFmtId="166" formatCode="#,##0.00;[Red](#,##0.00);&quot;—&quot;"/>
  </numFmts>
  <fonts count="6">
    <font>
      <name val="Calibri"/>
      <family val="2"/>
      <color theme="1"/>
      <sz val="11"/>
      <scheme val="minor"/>
    </font>
    <font>
      <b val="1"/>
      <color rgb="00FFFFFF"/>
    </font>
    <font>
      <color rgb="0052606D"/>
      <sz val="10"/>
    </font>
    <font>
      <color rgb="0000804A"/>
      <sz val="10"/>
    </font>
    <font>
      <color rgb="000000FF"/>
    </font>
    <font>
      <color rgb="00000000"/>
    </font>
  </fonts>
  <fills count="5">
    <fill>
      <patternFill/>
    </fill>
    <fill>
      <patternFill patternType="gray125"/>
    </fill>
    <fill>
      <patternFill patternType="solid">
        <fgColor rgb="0017394D"/>
      </patternFill>
    </fill>
    <fill>
      <patternFill patternType="solid">
        <fgColor rgb="00FFF0DE"/>
      </patternFill>
    </fill>
    <fill>
      <patternFill patternType="solid">
        <fgColor rgb="00EEF5FF"/>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4" fontId="3" fillId="0" borderId="0" applyAlignment="1" pivotButton="0" quotePrefix="0" xfId="0">
      <alignment vertical="top" wrapText="1"/>
    </xf>
    <xf numFmtId="165" fontId="2" fillId="0" borderId="0" applyAlignment="1" pivotButton="0" quotePrefix="0" xfId="0">
      <alignment vertical="top" wrapText="1"/>
    </xf>
    <xf numFmtId="165" fontId="3" fillId="0" borderId="0" applyAlignment="1" pivotButton="0" quotePrefix="0" xfId="0">
      <alignment vertical="top" wrapText="1"/>
    </xf>
    <xf numFmtId="0" fontId="2" fillId="3" borderId="0" applyAlignment="1" pivotButton="0" quotePrefix="0" xfId="0">
      <alignment vertical="top" wrapText="1"/>
    </xf>
    <xf numFmtId="165" fontId="2" fillId="3"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164" fontId="4" fillId="4" borderId="0" applyAlignment="1" pivotButton="0" quotePrefix="0" xfId="0">
      <alignment vertical="top" wrapText="1"/>
    </xf>
    <xf numFmtId="165" fontId="4" fillId="4" borderId="0" applyAlignment="1" pivotButton="0" quotePrefix="0" xfId="0">
      <alignment vertical="top" wrapText="1"/>
    </xf>
    <xf numFmtId="164" fontId="5" fillId="0" borderId="0" applyAlignment="1" pivotButton="0" quotePrefix="0" xfId="0">
      <alignment vertical="top" wrapText="1"/>
    </xf>
    <xf numFmtId="164" fontId="0" fillId="0" borderId="0" applyAlignment="1" pivotButton="0" quotePrefix="0" xfId="0">
      <alignment vertical="top" wrapText="1"/>
    </xf>
    <xf numFmtId="165" fontId="5" fillId="0" borderId="0" applyAlignment="1" pivotButton="0" quotePrefix="0" xfId="0">
      <alignment vertical="top" wrapText="1"/>
    </xf>
    <xf numFmtId="165" fontId="0" fillId="0" borderId="0" applyAlignment="1" pivotButton="0" quotePrefix="0" xfId="0">
      <alignment vertical="top" wrapText="1"/>
    </xf>
    <xf numFmtId="0" fontId="1" fillId="2"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SEC source</author>
  </authors>
  <commentList>
    <comment ref="D2" authorId="0" shapeId="0">
      <text>
        <t>https://www.sec.gov/Archives/edgar/data/1730168/000173016825000121/0001730168-25-000121-index.html
https://www.sec.gov/Archives/edgar/data/1730168/000173016826000080/0001730168-26-000080-index.html
{"formula": "Annual + current YTD - prior YTD", "parts": [{"value": 63887000000.0, "period_start": "2024-11-04", "period_end": "2025-11-02", "source": {"accession": "0001730168-25-000121", "filed": "2025-12-18", "form": "10-K"}, "tag": "us-gaap:RevenueFromContractWithCustomerExcludingAssessedTax", "flags": [], "sign": 1, "role": "annual"}, {"value": 71089000000.0, "period_start": "2025-11-03", "period_end": "2026-08-02", "source": {"accession": "0001730168-26-000080", "filed": "2026-09-10", "form": "10-Q"}, "tag": "us-gaap:RevenueFromContractWithCustomerExcludingAssessedTax", "flags": [], "sign": 1, "role": "current_ytd"}, {"value": 45872000000.0, "period_start": "2024-11-04", "period_end": "2025-08-03", "source": {"accession": "0001730168-26-000080", "filed": "2026-09-10", "form": "10-Q"}, "tag": "us-gaap:RevenueFromContractWithCustomerExcludingAssessedTax", "flags": [], "sign": -1, "role": "prior_ytd"}]}</t>
      </text>
    </comment>
    <comment ref="D3" authorId="0" shapeId="0">
      <text>
        <t>https://www.sec.gov/Archives/edgar/data/1730168/000173016825000121/0001730168-25-000121-index.html
https://www.sec.gov/Archives/edgar/data/1730168/000173016826000080/0001730168-26-000080-index.html
{"formula": "Annual + current YTD - prior YTD", "parts": [{"value": 20593000000.0, "period_start": "2024-11-04", "period_end": "2025-11-02", "source": {"accession": "0001730168-25-000121", "filed": "2025-12-18", "form": "10-K"}, "tag": "us-gaap:CostOfRevenue", "flags": [], "sign": 1, "role": "annual"}, {"value": 22061000000.0, "period_start": "2025-11-03", "period_end": "2026-08-02", "source": {"accession": "0001730168-26-000080", "filed": "2026-09-10", "form": "10-Q"}, "tag": "us-gaap:CostOfRevenue", "flags": [], "sign": 1, "role": "current_ytd"}, {"value": 14827000000.0, "period_start": "2024-11-04", "period_end": "2025-08-03", "source": {"accession": "0001730168-26-000080", "filed": "2026-09-10", "form": "10-Q"}, "tag": "us-gaap:CostOfRevenue", "flags": [], "sign": -1, "role": "prior_ytd"}]}</t>
      </text>
    </comment>
    <comment ref="D4" authorId="0" shapeId="0">
      <text>
        <t>https://www.sec.gov/Archives/edgar/data/1730168/000173016825000121/0001730168-25-000121-index.html
https://www.sec.gov/Archives/edgar/data/1730168/000173016826000080/0001730168-26-000080-index.html
{"formula": "Annual + current YTD - prior YTD", "parts": [{"value": 43294000000.0, "period_start": "2024-11-04", "period_end": "2025-11-02", "source": {"accession": "0001730168-25-000121", "filed": "2025-12-18", "form": "10-K"}, "tag": "us-gaap:GrossProfit", "flags": [], "sign": 1, "role": "annual"}, {"value": 49028000000.0, "period_start": "2025-11-03", "period_end": "2026-08-02", "source": {"accession": "0001730168-26-000080", "filed": "2026-09-10", "form": "10-Q"}, "tag": "us-gaap:GrossProfit", "flags": [], "sign": 1, "role": "current_ytd"}, {"value": 31045000000.0, "period_start": "2024-11-04", "period_end": "2025-08-03", "source": {"accession": "0001730168-26-000080", "filed": "2026-09-10", "form": "10-Q"}, "tag": "us-gaap:GrossProfit", "flags": [], "sign": -1, "role": "prior_ytd"}]}</t>
      </text>
    </comment>
    <comment ref="D5" authorId="0" shapeId="0">
      <text>
        <t>https://www.sec.gov/Archives/edgar/data/1730168/000173016825000121/0001730168-25-000121-index.html
https://www.sec.gov/Archives/edgar/data/1730168/000173016826000080/0001730168-26-000080-index.html
{"formula": "Annual + current YTD - prior YTD", "parts": [{"value": 10977000000.0, "period_start": "2024-11-04", "period_end": "2025-11-02", "source": {"accession": "0001730168-25-000121", "filed": "2025-12-18", "form": "10-K"}, "tag": "us-gaap:ResearchAndDevelopmentExpense", "flags": [], "sign": 1, "role": "annual"}, {"value": 8855000000.0, "period_start": "2025-11-03", "period_end": "2026-08-02", "source": {"accession": "0001730168-26-000080", "filed": "2026-09-10", "form": "10-Q"}, "tag": "us-gaap:ResearchAndDevelopmentExpense", "flags": [], "sign": 1, "role": "current_ytd"}, {"value": 7996000000.0, "period_start": "2024-11-04", "period_end": "2025-08-03", "source": {"accession": "0001730168-26-000080", "filed": "2026-09-10", "form": "10-Q"}, "tag": "us-gaap:ResearchAndDevelopmentExpense", "flags": [], "sign": -1, "role": "prior_ytd"}]}</t>
      </text>
    </comment>
    <comment ref="D6" authorId="0" shapeId="0">
      <text>
        <t>https://www.sec.gov/Archives/edgar/data/1730168/000173016825000121/0001730168-25-000121-index.html
https://www.sec.gov/Archives/edgar/data/1730168/000173016826000080/0001730168-26-000080-index.html
{"formula": "Annual + current YTD - prior YTD", "parts": [{"value": 4211000000.0, "period_start": "2024-11-04", "period_end": "2025-11-02", "source": {"accession": "0001730168-25-000121", "filed": "2025-12-18", "form": "10-K"}, "tag": "us-gaap:SellingGeneralAndAdministrativeExpense", "flags": [], "sign": 1, "role": "annual"}, {"value": 3070000000.0, "period_start": "2025-11-03", "period_end": "2026-08-02", "source": {"accession": "0001730168-26-000080", "filed": "2026-09-10", "form": "10-Q"}, "tag": "us-gaap:SellingGeneralAndAdministrativeExpense", "flags": [], "sign": 1, "role": "current_ytd"}, {"value": 3104000000.0, "period_start": "2024-11-04", "period_end": "2025-08-03", "source": {"accession": "0001730168-26-000080", "filed": "2026-09-10", "form": "10-Q"}, "tag": "us-gaap:SellingGeneralAndAdministrativeExpense", "flags": [], "sign": -1, "role": "prior_ytd"}]}</t>
      </text>
    </comment>
    <comment ref="D7" authorId="0" shapeId="0">
      <text>
        <t>https://www.sec.gov/Archives/edgar/data/1730168/000173016825000121/0001730168-25-000121-index.html
https://www.sec.gov/Archives/edgar/data/1730168/000173016826000080/0001730168-26-000080-index.html
{"formula": "Annual + current YTD - prior YTD", "parts": [{"value": 25484000000.0, "period_start": "2024-11-04", "period_end": "2025-11-02", "source": {"accession": "0001730168-25-000121", "filed": "2025-12-18", "form": "10-K"}, "tag": "us-gaap:OperatingIncomeLoss", "flags": [], "sign": 1, "role": "annual"}, {"value": 35306000000.0, "period_start": "2025-11-03", "period_end": "2026-08-02", "source": {"accession": "0001730168-26-000080", "filed": "2026-09-10", "form": "10-Q"}, "tag": "us-gaap:OperatingIncomeLoss", "flags": [], "sign": 1, "role": "current_ytd"}, {"value": 17976000000.0, "period_start": "2024-11-04", "period_end": "2025-08-03", "source": {"accession": "0001730168-26-000080", "filed": "2026-09-10", "form": "10-Q"}, "tag": "us-gaap:OperatingIncomeLoss", "flags": [], "sign": -1, "role": "prior_ytd"}]}</t>
      </text>
    </comment>
    <comment ref="D8" authorId="0" shapeId="0">
      <text>
        <t>https://www.sec.gov/Archives/edgar/data/1730168/000173016825000121/0001730168-25-000121-index.html
https://www.sec.gov/Archives/edgar/data/1730168/000173016826000080/0001730168-26-000080-index.html
{"formula": "Annual + current YTD - prior YTD", "parts": [{"value": 3210000000.0, "period_start": "2024-11-04", "period_end": "2025-11-02", "source": {"accession": "0001730168-25-000121", "filed": "2025-12-18", "form": "10-K"}, "tag": "us-gaap:InterestExpenseNonoperating", "flags": [], "sign": 1, "role": "annual"}, {"value": 2355000000.0, "period_start": "2025-11-03", "period_end": "2026-08-02", "source": {"accession": "0001730168-26-000080", "filed": "2026-09-10", "form": "10-Q"}, "tag": "us-gaap:InterestExpense", "flags": [], "sign": 1, "role": "current_ytd"}, {"value": 2449000000.0, "period_start": "2024-11-04", "period_end": "2025-08-03", "source": {"accession": "0001730168-26-000080", "filed": "2026-09-10", "form": "10-Q"}, "tag": "us-gaap:InterestExpense", "flags": [], "sign": -1, "role": "prior_ytd"}]}</t>
      </text>
    </comment>
    <comment ref="D9" authorId="0" shapeId="0">
      <text>
        <t>https://www.sec.gov/Archives/edgar/data/1730168/000173016825000121/0001730168-25-000121-index.html
https://www.sec.gov/Archives/edgar/data/1730168/000173016826000080/0001730168-26-000080-index.html
{"formula": "Annual + current YTD - prior YTD", "parts": [{"value": 22729000000.0, "period_start": "2024-11-04", "period_end": "2025-11-02", "source": {"accession": "0001730168-25-000121", "filed": "2025-12-18", "form": "10-K"}, "tag": "us-gaap:IncomeLossFromContinuingOperationsBeforeIncomeTaxesExtraordinaryItemsNoncontrollingInterest", "flags": [], "sign": 1, "role": "annual"}, {"value": 33600000000.0, "period_start": "2025-11-03", "period_end": "2026-08-02", "source": {"accession": "0001730168-26-000080", "filed": "2026-09-10", "form": "10-Q"}, "tag": "us-gaap:IncomeLossFromContinuingOperationsBeforeIncomeTaxesExtraordinaryItemsNoncontrollingInterest", "flags": [], "sign": 1, "role": "current_ytd"}, {"value": 15860000000.0, "period_start": "2024-11-04", "period_end": "2025-08-03", "source": {"accession": "0001730168-26-000080", "filed": "2026-09-10", "form": "10-Q"}, "tag": "us-gaap:IncomeLossFromContinuingOperationsBeforeIncomeTaxesExtraordinaryItemsNoncontrollingInterest", "flags": [], "sign": -1, "role": "prior_ytd"}]}</t>
      </text>
    </comment>
    <comment ref="D10" authorId="0" shapeId="0">
      <text>
        <t>https://www.sec.gov/Archives/edgar/data/1730168/000173016825000121/0001730168-25-000121-index.html
https://www.sec.gov/Archives/edgar/data/1730168/000173016826000080/0001730168-26-000080-index.html
{"formula": "Annual + current YTD - prior YTD", "parts": [{"value": -397000000.0, "period_start": "2024-11-04", "period_end": "2025-11-02", "source": {"accession": "0001730168-25-000121", "filed": "2025-12-18", "form": "10-K"}, "tag": "us-gaap:IncomeTaxExpenseBenefit", "flags": [], "sign": 1, "role": "annual"}, {"value": 3853000000.0, "period_start": "2025-11-03", "period_end": "2026-08-02", "source": {"accession": "0001730168-26-000080", "filed": "2026-09-10", "form": "10-Q"}, "tag": "us-gaap:IncomeTaxExpenseBenefit", "flags": [], "sign": 1, "role": "current_ytd"}, {"value": 1252000000.0, "period_start": "2024-11-04", "period_end": "2025-08-03", "source": {"accession": "0001730168-26-000080", "filed": "2026-09-10", "form": "10-Q"}, "tag": "us-gaap:IncomeTaxExpenseBenefit", "flags": [], "sign": -1, "role": "prior_ytd"}]}</t>
      </text>
    </comment>
    <comment ref="D11" authorId="0" shapeId="0">
      <text>
        <t>https://www.sec.gov/Archives/edgar/data/1730168/000173016825000121/0001730168-25-000121-index.html
https://www.sec.gov/Archives/edgar/data/1730168/000173016826000080/0001730168-26-000080-index.html
{"formula": "Annual + current YTD - prior YTD", "parts": [{"value": 23126000000.0, "period_start": "2024-11-04", "period_end": "2025-11-02", "source": {"accession": "0001730168-25-000121", "filed": "2025-12-18", "form": "10-K"}, "tag": "us-gaap:ProfitLoss", "flags": [], "sign": 1, "role": "annual"}, {"value": 29747000000.0, "period_start": "2025-11-03", "period_end": "2026-08-02", "source": {"accession": "0001730168-26-000080", "filed": "2026-09-10", "form": "10-Q"}, "tag": "us-gaap:ProfitLoss", "flags": [], "sign": 1, "role": "current_ytd"}, {"value": 14608000000.0, "period_start": "2024-11-04", "period_end": "2025-08-03", "source": {"accession": "0001730168-26-000080", "filed": "2026-09-10", "form": "10-Q"}, "tag": "us-gaap:ProfitLoss", "flags": [], "sign": -1, "role": "prior_ytd"}]}</t>
      </text>
    </comment>
    <comment ref="D12" authorId="0" shapeId="0">
      <text>
        <t>https://www.sec.gov/Archives/edgar/data/1730168/000173016825000121/0001730168-25-000121-index.html
https://www.sec.gov/Archives/edgar/data/1730168/000173016826000080/0001730168-26-000080-index.html
{"formula": "Annual + current YTD - prior YTD", "parts": [{"value": 8636000000.0, "period_start": "2024-11-04", "period_end": "2025-11-02", "source": {"parts": [{"value": 574000000.0, "period_start": "2024-11-04", "period_end": "2025-11-02", "source": {"accession": "0001730168-25-000121", "filed": "2025-12-18", "form": "10-K"}, "tag": "us-gaap:Depreciation", "flags": []}, {"value": 8062000000.0, "period_start": "2024-11-04", "period_end": "2025-11-02", "source": {"accession": "0001730168-25-000121", "filed": "2025-12-18", "form": "10-K"}, "tag": "us-gaap:AmortizationOfIntangibleAssets", "flags": []}]}, "flags": ["constructed"], "sign": 1, "role": "annual"}, {"value": 6426000000.0, "period_start": "2025-11-03", "period_end": "2026-08-02", "source": {"parts": [{"value": 484000000.0, "period_start": "2025-11-03", "period_end": "2026-08-02", "source": {"accession": "0001730168-26-000080", "filed": "2026-09-10", "form": "10-Q"}, "tag": "us-gaap:Depreciation", "flags": []}, {"value": 5942000000.0, "period_start": "2025-11-03", "period_end": "2026-08-02", "source": {"accession": "0001730168-26-000080", "filed": "2026-09-10", "form": "10-Q"}, "tag": "us-gaap:AmortizationOfIntangibleAssets", "flags": []}]}, "flags": ["constructed"], "sign": 1, "role": "current_ytd"}, {"value": 6436000000.0, "period_start": "2024-11-04", "period_end": "2025-08-03", "source": {"parts": [{"value": 426000000.0, "period_start": "2024-11-04", "period_end": "2025-08-03", "source": {"accession": "0001730168-26-000080", "filed": "2026-09-10", "form": "10-Q"}, "tag": "us-gaap:Depreciation", "flags": []}, {"value": 6010000000.0, "period_start": "2024-11-04", "period_end": "2025-08-03", "source": {"accession": "0001730168-26-000080", "filed": "2026-09-10", "form": "10-Q"}, "tag": "us-gaap:AmortizationOfIntangibleAssets", "flags": []}]}, "flags": ["constructed"], "sign": -1, "role": "prior_ytd"}]}</t>
      </text>
    </comment>
    <comment ref="D13" authorId="0" shapeId="0">
      <text>
        <t>https://www.sec.gov/Archives/edgar/data/1730168/000173016825000121/0001730168-25-000121-index.html
https://www.sec.gov/Archives/edgar/data/1730168/000173016826000080/0001730168-26-000080-index.html
{"formula": "Annual + current YTD - prior YTD", "parts": [{"value": 574000000.0, "period_start": "2024-11-04", "period_end": "2025-11-02", "source": {"accession": "0001730168-25-000121", "filed": "2025-12-18", "form": "10-K"}, "tag": "us-gaap:Depreciation", "flags": [], "sign": 1, "role": "annual"}, {"value": 484000000.0, "period_start": "2025-11-03", "period_end": "2026-08-02", "source": {"accession": "0001730168-26-000080", "filed": "2026-09-10", "form": "10-Q"}, "tag": "us-gaap:Depreciation", "flags": [], "sign": 1, "role": "current_ytd"}, {"value": 426000000.0, "period_start": "2024-11-04", "period_end": "2025-08-03", "source": {"accession": "0001730168-26-000080", "filed": "2026-09-10", "form": "10-Q"}, "tag": "us-gaap:Depreciation", "flags": [], "sign": -1, "role": "prior_ytd"}]}</t>
      </text>
    </comment>
    <comment ref="D14" authorId="0" shapeId="0">
      <text>
        <t>https://www.sec.gov/Archives/edgar/data/1730168/000173016825000121/0001730168-25-000121-index.html
https://www.sec.gov/Archives/edgar/data/1730168/000173016826000080/0001730168-26-000080-index.html
{"formula": "Annual + current YTD - prior YTD", "parts": [{"value": 8062000000.0, "period_start": "2024-11-04", "period_end": "2025-11-02", "source": {"accession": "0001730168-25-000121", "filed": "2025-12-18", "form": "10-K"}, "tag": "us-gaap:AmortizationOfIntangibleAssets", "flags": [], "sign": 1, "role": "annual"}, {"value": 5942000000.0, "period_start": "2025-11-03", "period_end": "2026-08-02", "source": {"accession": "0001730168-26-000080", "filed": "2026-09-10", "form": "10-Q"}, "tag": "us-gaap:AmortizationOfIntangibleAssets", "flags": [], "sign": 1, "role": "current_ytd"}, {"value": 6010000000.0, "period_start": "2024-11-04", "period_end": "2025-08-03", "source": {"accession": "0001730168-26-000080", "filed": "2026-09-10", "form": "10-Q"}, "tag": "us-gaap:AmortizationOfIntangibleAssets", "flags": [], "sign": -1, "role": "prior_ytd"}]}</t>
      </text>
    </comment>
    <comment ref="D15" authorId="0" shapeId="0">
      <text>
        <t>https://www.sec.gov/Archives/edgar/data/1730168/000173016825000121/0001730168-25-000121-index.html
https://www.sec.gov/Archives/edgar/data/1730168/000173016826000080/0001730168-26-000080-index.html
{"formula": "Annual + current YTD - prior YTD", "parts": [{"value": 27537000000.0, "period_start": "2024-11-04", "period_end": "2025-11-02", "source": {"accession": "0001730168-25-000121", "filed": "2025-12-18", "form": "10-K"}, "tag": "us-gaap:NetCashProvidedByUsedInOperatingActivities", "flags": [], "sign": 1, "role": "annual"}, {"value": 32950000000.0, "period_start": "2025-11-03", "period_end": "2026-08-02", "source": {"accession": "0001730168-26-000080", "filed": "2026-09-10", "form": "10-Q"}, "tag": "us-gaap:NetCashProvidedByUsedInOperatingActivities", "flags": [], "sign": 1, "role": "current_ytd"}, {"value": 19834000000.0, "period_start": "2024-11-04", "period_end": "2025-08-03", "source": {"accession": "0001730168-26-000080", "filed": "2026-09-10", "form": "10-Q"}, "tag": "us-gaap:NetCashProvidedByUsedInOperatingActivities", "flags": [], "sign": -1, "role": "prior_ytd"}]}</t>
      </text>
    </comment>
    <comment ref="D16" authorId="0" shapeId="0">
      <text>
        <t>https://www.sec.gov/Archives/edgar/data/1730168/000173016825000121/0001730168-25-000121-index.html
https://www.sec.gov/Archives/edgar/data/1730168/000173016826000080/0001730168-26-000080-index.html
{"formula": "Annual + current YTD - prior YTD", "parts": [{"value": 623000000.0, "period_start": "2024-11-04", "period_end": "2025-11-02", "source": {"accession": "0001730168-25-000121", "filed": "2025-12-18", "form": "10-K"}, "tag": "us-gaap:PaymentsToAcquirePropertyPlantAndEquipment", "flags": [], "sign": 1, "role": "annual"}, {"value": 1013000000.0, "period_start": "2025-11-03", "period_end": "2026-08-02", "source": {"accession": "0001730168-26-000080", "filed": "2026-09-10", "form": "10-Q"}, "tag": "us-gaap:PaymentsToAcquirePropertyPlantAndEquipment", "flags": [], "sign": 1, "role": "current_ytd"}, {"value": 386000000.0, "period_start": "2024-11-04", "period_end": "2025-08-03", "source": {"accession": "0001730168-26-000080", "filed": "2026-09-10", "form": "10-Q"}, "tag": "us-gaap:PaymentsToAcquirePropertyPlantAndEquipment", "flags": [], "sign": -1, "role": "prior_ytd"}]}</t>
      </text>
    </comment>
    <comment ref="D17" authorId="0" shapeId="0">
      <text>
        <t>https://www.sec.gov/Archives/edgar/data/1730168/000173016825000121/0001730168-25-000121-index.html
https://www.sec.gov/Archives/edgar/data/1730168/000173016826000080/0001730168-26-000080-index.html
{"formula": "Annual + current YTD - prior YTD", "parts": [{"value": 7568000000.0, "period_start": "2024-11-04", "period_end": "2025-11-02", "source": {"accession": "0001730168-25-000121", "filed": "2025-12-18", "form": "10-K"}, "tag": "us-gaap:ShareBasedCompensation", "flags": [], "sign": 1, "role": "annual"}, {"value": 6287000000.0, "period_start": "2025-11-03", "period_end": "2026-08-02", "source": {"accession": "0001730168-26-000080", "filed": "2026-09-10", "form": "10-Q"}, "tag": "us-gaap:ShareBasedCompensation", "flags": [], "sign": 1, "role": "current_ytd"}, {"value": 5373000000.0, "period_start": "2024-11-04", "period_end": "2025-08-03", "source": {"accession": "0001730168-26-000080", "filed": "2026-09-10", "form": "10-Q"}, "tag": "us-gaap:ShareBasedCompensation", "flags": [], "sign": -1, "role": "prior_ytd"}]}</t>
      </text>
    </comment>
    <comment ref="D18" authorId="0" shapeId="0">
      <text>
        <t>https://www.sec.gov/Archives/edgar/data/1730168/000173016825000121/0001730168-25-000121-index.html
https://www.sec.gov/Archives/edgar/data/1730168/000173016825000098/0001730168-25-000098-index.html
{"formula": "Annual + current YTD - prior YTD", "parts": [{"value": 0.0, "period_start": "2024-11-04", "period_end": "2025-11-02", "source": {"accession": "0001730168-25-000121", "filed": "2025-12-18", "form": "10-K"}, "tag": "us-gaap:PaymentsToAcquireBusinessesNetOfCashAcquired", "flags": [], "sign": 1, "role": "annual"}, {"value": 0.0, "period_start": "2024-11-04", "period_end": "2025-08-03", "source": {"accession": "0001730168-25-000098", "filed": "2025-09-10", "form": "10-Q"}, "tag": "us-gaap:PaymentsToAcquireBusinessesNetOfCashAcquired", "flags": [], "sign": -1, "role": "prior_ytd"}]}</t>
      </text>
    </comment>
    <comment ref="D19" authorId="0" shapeId="0">
      <text>
        <t>https://www.sec.gov/Archives/edgar/data/1730168/000173016825000121/0001730168-25-000121-index.html
https://www.sec.gov/Archives/edgar/data/1730168/000173016826000080/0001730168-26-000080-index.html
{"formula": "Annual + current YTD - prior YTD", "parts": [{"value": 2450000000.0, "period_start": "2024-11-04", "period_end": "2025-11-02", "source": {"accession": "0001730168-25-000121", "filed": "2025-12-18", "form": "10-K"}, "tag": "us-gaap:PaymentsForRepurchaseOfCommonStock", "flags": [], "sign": 1, "role": "annual"}, {"value": 8450000000.0, "period_start": "2025-11-03", "period_end": "2026-08-02", "source": {"accession": "0001730168-26-000080", "filed": "2026-09-10", "form": "10-Q"}, "tag": "us-gaap:PaymentsForRepurchaseOfCommonStock", "flags": [], "sign": 1, "role": "current_ytd"}, {"value": 2450000000.0, "period_start": "2024-11-04", "period_end": "2025-08-03", "source": {"accession": "0001730168-26-000080", "filed": "2026-09-10", "form": "10-Q"}, "tag": "us-gaap:PaymentsForRepurchaseOfCommonStock", "flags": [], "sign": -1, "role": "prior_ytd"}]}</t>
      </text>
    </comment>
    <comment ref="D20" authorId="0" shapeId="0">
      <text>
        <t>https://www.sec.gov/Archives/edgar/data/1730168/000173016825000121/0001730168-25-000121-index.html
https://www.sec.gov/Archives/edgar/data/1730168/000173016826000080/0001730168-26-000080-index.html
{"formula": "Annual + current YTD - prior YTD", "parts": [{"value": 11142000000.0, "period_start": "2024-11-04", "period_end": "2025-11-02", "source": {"accession": "0001730168-25-000121", "filed": "2025-12-18", "form": "10-K"}, "tag": "us-gaap:PaymentsOfDividends", "flags": [], "sign": 1, "role": "annual"}, {"value": 9281000000.0, "period_start": "2025-11-03", "period_end": "2026-08-02", "source": {"accession": "0001730168-26-000080", "filed": "2026-09-10", "form": "10-Q"}, "tag": "us-gaap:PaymentsOfDividends", "flags": [], "sign": 1, "role": "current_ytd"}, {"value": 8345000000.0, "period_start": "2024-11-04", "period_end": "2025-08-03", "source": {"accession": "0001730168-26-000080", "filed": "2026-09-10", "form": "10-Q"}, "tag": "us-gaap:PaymentsOfDividends", "flags": [], "sign": -1, "role": "prior_ytd"}]}</t>
      </text>
    </comment>
    <comment ref="D21" authorId="0" shapeId="0">
      <text>
        <t>https://www.sec.gov/Archives/edgar/data/1730168/000173016825000121/0001730168-25-000121-index.html
https://www.sec.gov/Archives/edgar/data/1730168/000173016826000080/0001730168-26-000080-index.html
{"formula": "Annual + current YTD - prior YTD", "parts": [{"value": 15666000000.0, "period_start": "2024-11-04", "period_end": "2025-11-02", "source": {"accession": "0001730168-25-000121", "filed": "2025-12-18", "form": "10-K"}, "tag": "us-gaap:ProceedsFromIssuanceOfLongTermDebt", "flags": [], "sign": 1, "role": "annual"}, {"value": 4474000000.0, "period_start": "2025-11-03", "period_end": "2026-08-02", "source": {"accession": "0001730168-26-000080", "filed": "2026-09-10", "form": "10-Q"}, "tag": "us-gaap:ProceedsFromIssuanceOfLongTermDebt", "flags": [], "sign": 1, "role": "current_ytd"}, {"value": 10695000000.0, "period_start": "2024-11-04", "period_end": "2025-08-03", "source": {"accession": "0001730168-26-000080", "filed": "2026-09-10", "form": "10-Q"}, "tag": "us-gaap:ProceedsFromIssuanceOfLongTermDebt", "flags": [], "sign": -1, "role": "prior_ytd"}]}</t>
      </text>
    </comment>
    <comment ref="D22" authorId="0" shapeId="0">
      <text>
        <t>https://www.sec.gov/Archives/edgar/data/1730168/000173016825000121/0001730168-25-000121-index.html
https://www.sec.gov/Archives/edgar/data/1730168/000173016826000080/0001730168-26-000080-index.html
{"formula": "Annual + current YTD - prior YTD", "parts": [{"value": 18478000000.0, "period_start": "2024-11-04", "period_end": "2025-11-02", "source": {"accession": "0001730168-25-000121", "filed": "2025-12-18", "form": "10-K"}, "tag": "us-gaap:RepaymentsOfDebt", "flags": [], "sign": 1, "role": "annual"}, {"value": 10528000000.0, "period_start": "2025-11-03", "period_end": "2026-08-02", "source": {"accession": "0001730168-26-000080", "filed": "2026-09-10", "form": "10-Q"}, "tag": "us-gaap:RepaymentsOfDebt", "flags": [], "sign": 1, "role": "current_ytd"}, {"value": 14840000000.0, "period_start": "2024-11-04", "period_end": "2025-08-03", "source": {"accession": "0001730168-26-000080", "filed": "2026-09-10", "form": "10-Q"}, "tag": "us-gaap:RepaymentsOfDebt", "flags": [], "sign": -1, "role": "prior_ytd"}]}</t>
      </text>
    </comment>
    <comment ref="D23" authorId="0" shapeId="0">
      <text>
        <t>https://www.sec.gov/Archives/edgar/data/1730168/000173016826000080/0001730168-26-000080-index.html
{"parts": [{"tag": "us-gaap:CashAndCashEquivalentsAtCarryingValue", "value": 23975000000.0, "sign": 1, "accession": "0001730168-26-000080"}]}</t>
      </text>
    </comment>
    <comment ref="D24" authorId="0" shapeId="0">
      <text>
        <t>https://www.sec.gov/Archives/edgar/data/1730168/000173016825000098/0001730168-25-000098-index.html
{"parts": [{"tag": "us-gaap:CashAndCashEquivalentsAtCarryingValue", "value": 10718000000.0, "sign": 1, "accession": "0001730168-25-000098"}]}</t>
      </text>
    </comment>
    <comment ref="D25" authorId="0" shapeId="0">
      <text>
        <t>https://www.sec.gov/Archives/edgar/data/1730168/000173016826000080/0001730168-26-000080-index.html
{"tag": "us-gaap:AccountsReceivableNetCurrent", "form": "10-Q", "accession": "0001730168-26-000080", "filed": "2026-09-10"}</t>
      </text>
    </comment>
    <comment ref="D26" authorId="0" shapeId="0">
      <text>
        <t>https://www.sec.gov/Archives/edgar/data/1730168/000173016825000098/0001730168-25-000098-index.html
{"tag": "us-gaap:AccountsReceivableNetCurrent", "form": "10-Q", "accession": "0001730168-25-000098", "filed": "2025-09-10"}</t>
      </text>
    </comment>
    <comment ref="D27" authorId="0" shapeId="0">
      <text>
        <t>https://www.sec.gov/Archives/edgar/data/1730168/000173016826000080/0001730168-26-000080-index.html
{"tag": "us-gaap:InventoryNet", "form": "10-Q", "accession": "0001730168-26-000080", "filed": "2026-09-10"}</t>
      </text>
    </comment>
    <comment ref="D28" authorId="0" shapeId="0">
      <text>
        <t>https://www.sec.gov/Archives/edgar/data/1730168/000173016825000098/0001730168-25-000098-index.html
{"tag": "us-gaap:InventoryNet", "form": "10-Q", "accession": "0001730168-25-000098", "filed": "2025-09-10"}</t>
      </text>
    </comment>
    <comment ref="D29" authorId="0" shapeId="0">
      <text>
        <t>https://www.sec.gov/Archives/edgar/data/1730168/000173016826000080/0001730168-26-000080-index.html
{"tag": "us-gaap:AssetsCurrent", "form": "10-Q", "accession": "0001730168-26-000080", "filed": "2026-09-10"}</t>
      </text>
    </comment>
    <comment ref="D30" authorId="0" shapeId="0">
      <text>
        <t>https://www.sec.gov/Archives/edgar/data/1730168/000173016825000098/0001730168-25-000098-index.html
{"tag": "us-gaap:AssetsCurrent", "form": "10-Q", "accession": "0001730168-25-000098", "filed": "2025-09-10"}</t>
      </text>
    </comment>
    <comment ref="D31" authorId="0" shapeId="0">
      <text>
        <t>https://www.sec.gov/Archives/edgar/data/1730168/000173016826000080/0001730168-26-000080-index.html
{"tag": "us-gaap:PropertyPlantAndEquipmentNet", "form": "10-Q", "accession": "0001730168-26-000080", "filed": "2026-09-10"}</t>
      </text>
    </comment>
    <comment ref="D32" authorId="0" shapeId="0">
      <text>
        <t>https://www.sec.gov/Archives/edgar/data/1730168/000173016825000098/0001730168-25-000098-index.html
{"tag": "us-gaap:PropertyPlantAndEquipmentNet", "form": "10-Q", "accession": "0001730168-25-000098", "filed": "2025-09-10"}</t>
      </text>
    </comment>
    <comment ref="D33" authorId="0" shapeId="0">
      <text>
        <t>https://www.sec.gov/Archives/edgar/data/1730168/000173016826000080/0001730168-26-000080-index.html
{"tag": "us-gaap:Goodwill", "form": "10-Q", "accession": "0001730168-26-000080", "filed": "2026-09-10"}</t>
      </text>
    </comment>
    <comment ref="D34" authorId="0" shapeId="0">
      <text>
        <t>https://www.sec.gov/Archives/edgar/data/1730168/000173016825000098/0001730168-25-000098-index.html
{"tag": "us-gaap:Goodwill", "form": "10-Q", "accession": "0001730168-25-000098", "filed": "2025-09-10"}</t>
      </text>
    </comment>
    <comment ref="D35" authorId="0" shapeId="0">
      <text>
        <t>https://www.sec.gov/Archives/edgar/data/1730168/000173016826000080/0001730168-26-000080-index.html
{"tag": "us-gaap:IntangibleAssetsNetExcludingGoodwill", "form": "10-Q", "accession": "0001730168-26-000080", "filed": "2026-09-10"}</t>
      </text>
    </comment>
    <comment ref="D36" authorId="0" shapeId="0">
      <text>
        <t>https://www.sec.gov/Archives/edgar/data/1730168/000173016825000098/0001730168-25-000098-index.html
{"tag": "us-gaap:IntangibleAssetsNetExcludingGoodwill", "form": "10-Q", "accession": "0001730168-25-000098", "filed": "2025-09-10"}</t>
      </text>
    </comment>
    <comment ref="D37" authorId="0" shapeId="0">
      <text>
        <t>https://www.sec.gov/Archives/edgar/data/1730168/000173016826000080/0001730168-26-000080-index.html
{"tag": "us-gaap:Assets", "form": "10-Q", "accession": "0001730168-26-000080", "filed": "2026-09-10"}</t>
      </text>
    </comment>
    <comment ref="D38" authorId="0" shapeId="0">
      <text>
        <t>https://www.sec.gov/Archives/edgar/data/1730168/000173016825000098/0001730168-25-000098-index.html
{"tag": "us-gaap:Assets", "form": "10-Q", "accession": "0001730168-25-000098", "filed": "2025-09-10"}</t>
      </text>
    </comment>
    <comment ref="D39" authorId="0" shapeId="0">
      <text>
        <t>https://www.sec.gov/Archives/edgar/data/1730168/000173016826000080/0001730168-26-000080-index.html
{"tag": "us-gaap:AccountsPayableCurrent", "form": "10-Q", "accession": "0001730168-26-000080", "filed": "2026-09-10"}</t>
      </text>
    </comment>
    <comment ref="D40" authorId="0" shapeId="0">
      <text>
        <t>https://www.sec.gov/Archives/edgar/data/1730168/000173016825000098/0001730168-25-000098-index.html
{"tag": "us-gaap:AccountsPayableCurrent", "form": "10-Q", "accession": "0001730168-25-000098", "filed": "2025-09-10"}</t>
      </text>
    </comment>
    <comment ref="D41" authorId="0" shapeId="0">
      <text>
        <t>https://www.sec.gov/Archives/edgar/data/1730168/000173016826000080/0001730168-26-000080-index.html
{"tag": "us-gaap:LiabilitiesCurrent", "form": "10-Q", "accession": "0001730168-26-000080", "filed": "2026-09-10"}</t>
      </text>
    </comment>
    <comment ref="D42" authorId="0" shapeId="0">
      <text>
        <t>https://www.sec.gov/Archives/edgar/data/1730168/000173016825000098/0001730168-25-000098-index.html
{"tag": "us-gaap:LiabilitiesCurrent", "form": "10-Q", "accession": "0001730168-25-000098", "filed": "2025-09-10"}</t>
      </text>
    </comment>
    <comment ref="D43" authorId="0" shapeId="0">
      <text>
        <t>https://www.sec.gov/Archives/edgar/data/1730168/000173016826000080/0001730168-26-000080-index.html
{"tag": "us-gaap:DebtCurrent", "form": "10-Q", "accession": "0001730168-26-000080", "filed": "2026-09-10"}</t>
      </text>
    </comment>
    <comment ref="D44" authorId="0" shapeId="0">
      <text>
        <t>https://www.sec.gov/Archives/edgar/data/1730168/000173016825000098/0001730168-25-000098-index.html
{"tag": "us-gaap:DebtCurrent", "form": "10-Q", "accession": "0001730168-25-000098", "filed": "2025-09-10"}</t>
      </text>
    </comment>
    <comment ref="D45" authorId="0" shapeId="0">
      <text>
        <t>https://www.sec.gov/Archives/edgar/data/1730168/000173016826000080/0001730168-26-000080-index.html
{"tag": "us-gaap:LongTermDebtNoncurrent", "form": "10-Q", "accession": "0001730168-26-000080", "filed": "2026-09-10"}</t>
      </text>
    </comment>
    <comment ref="D46" authorId="0" shapeId="0">
      <text>
        <t>https://www.sec.gov/Archives/edgar/data/1730168/000173016825000098/0001730168-25-000098-index.html
{"tag": "us-gaap:LongTermDebtAndCapitalLeaseObligations", "form": "10-Q", "accession": "0001730168-25-000098", "filed": "2025-09-10"}</t>
      </text>
    </comment>
    <comment ref="D47" authorId="0" shapeId="0">
      <text>
        <t xml:space="preserve">
null</t>
      </text>
    </comment>
    <comment ref="D48" authorId="0" shapeId="0">
      <text>
        <t xml:space="preserve">
null</t>
      </text>
    </comment>
    <comment ref="D49" authorId="0" shapeId="0">
      <text>
        <t xml:space="preserve">
null</t>
      </text>
    </comment>
    <comment ref="D50" authorId="0" shapeId="0">
      <text>
        <t xml:space="preserve">
null</t>
      </text>
    </comment>
    <comment ref="D51" authorId="0" shapeId="0">
      <text>
        <t>https://www.sec.gov/Archives/edgar/data/1730168/000173016826000080/0001730168-26-000080-index.html
{"tag": "us-gaap:Liabilities", "form": "10-Q", "accession": "0001730168-26-000080", "filed": "2026-09-10"}</t>
      </text>
    </comment>
    <comment ref="D52" authorId="0" shapeId="0">
      <text>
        <t>https://www.sec.gov/Archives/edgar/data/1730168/000173016825000098/0001730168-25-000098-index.html
{"tag": "us-gaap:Liabilities", "form": "10-Q", "accession": "0001730168-25-000098", "filed": "2025-09-10"}</t>
      </text>
    </comment>
    <comment ref="D53" authorId="0" shapeId="0">
      <text>
        <t>https://www.sec.gov/Archives/edgar/data/1730168/000173016826000080/0001730168-26-000080-index.html
{"tag": "us-gaap:StockholdersEquityIncludingPortionAttributableToNoncontrollingInterest", "form": "10-Q", "accession": "0001730168-26-000080", "filed": "2026-09-10"}</t>
      </text>
    </comment>
    <comment ref="D54" authorId="0" shapeId="0">
      <text>
        <t>https://www.sec.gov/Archives/edgar/data/1730168/000173016826000080/0001730168-26-000080-index.html
{"tag": "us-gaap:StockholdersEquityIncludingPortionAttributableToNoncontrollingInterest", "form": "10-Q", "accession": "0001730168-26-000080", "filed": "2026-09-10"}</t>
      </text>
    </comment>
    <comment ref="D55" authorId="0" shapeId="0">
      <text>
        <t xml:space="preserve">
null</t>
      </text>
    </comment>
    <comment ref="D56" authorId="0" shapeId="0">
      <text>
        <t xml:space="preserve">
null</t>
      </text>
    </comment>
    <comment ref="D57" authorId="0" shapeId="0">
      <text>
        <t>https://www.sec.gov/Archives/edgar/data/1730168/000173016826000080/0001730168-26-000080-index.html
{"tag": "us-gaap:PreferredStockValue", "form": "10-Q", "accession": "0001730168-26-000080", "filed": "2026-09-10"}</t>
      </text>
    </comment>
    <comment ref="D58" authorId="0" shapeId="0">
      <text>
        <t>https://www.sec.gov/Archives/edgar/data/1730168/000173016825000098/0001730168-25-000098-index.html
{"tag": "us-gaap:PreferredStockValue", "form": "10-Q", "accession": "0001730168-25-000098", "filed": "2025-09-10"}</t>
      </text>
    </comment>
    <comment ref="D59" authorId="0" shapeId="0">
      <text>
        <t>https://www.sec.gov/Archives/edgar/data/1730168/000173016826000080/0001730168-26-000080-index.html
{"tag": "us-gaap:CommonStockSharesOutstanding", "form": "10-Q", "accession": "0001730168-26-000080", "filed": "2026-09-10"}</t>
      </text>
    </comment>
    <comment ref="D60" authorId="0" shapeId="0">
      <text>
        <t>https://www.sec.gov/Archives/edgar/data/1730168/000173016825000098/0001730168-25-000098-index.html
{"tag": "us-gaap:CommonStockSharesOutstanding", "form": "10-Q", "accession": "0001730168-25-000098", "filed": "2025-09-10"}</t>
      </text>
    </comment>
    <comment ref="D61" authorId="0" shapeId="0">
      <text>
        <t>https://www.sec.gov/Archives/edgar/data/1730168/000173016826000080/0001730168-26-000080-index.html
{"tag": "us-gaap:LongTermDebtMaturitiesRepaymentsOfPrincipalInNextTwelveMonths", "form": "10-Q", "accession": "0001730168-26-000080", "filed": "2026-09-10"}</t>
      </text>
    </comment>
    <comment ref="D62" authorId="0" shapeId="0">
      <text>
        <t>https://www.sec.gov/Archives/edgar/data/1730168/000173016825000098/0001730168-25-000098-index.html
{"tag": "us-gaap:LongTermDebtMaturitiesRepaymentsOfPrincipalInNextTwelveMonths", "form": "10-Q", "accession": "0001730168-25-000098", "filed": "2025-09-10"}</t>
      </text>
    </comment>
    <comment ref="D63" authorId="0" shapeId="0">
      <text>
        <t>https://www.sec.gov/Archives/edgar/data/1730168/000173016826000080/0001730168-26-000080-index.html
{"tag": "us-gaap:LongTermDebtMaturitiesRepaymentsOfPrincipalInYearTwo", "form": "10-Q", "accession": "0001730168-26-000080", "filed": "2026-09-10"}</t>
      </text>
    </comment>
    <comment ref="D64" authorId="0" shapeId="0">
      <text>
        <t>https://www.sec.gov/Archives/edgar/data/1730168/000173016825000098/0001730168-25-000098-index.html
{"tag": "us-gaap:LongTermDebtMaturitiesRepaymentsOfPrincipalInYearTwo", "form": "10-Q", "accession": "0001730168-25-000098", "filed": "2025-09-10"}</t>
      </text>
    </comment>
    <comment ref="D65" authorId="0" shapeId="0">
      <text>
        <t>https://www.sec.gov/Archives/edgar/data/1730168/000173016826000080/0001730168-26-000080-index.html
{"tag": "us-gaap:LongTermDebtMaturitiesRepaymentsOfPrincipalInYearThree", "form": "10-Q", "accession": "0001730168-26-000080", "filed": "2026-09-10"}</t>
      </text>
    </comment>
    <comment ref="D66" authorId="0" shapeId="0">
      <text>
        <t>https://www.sec.gov/Archives/edgar/data/1730168/000173016825000098/0001730168-25-000098-index.html
{"tag": "us-gaap:LongTermDebtMaturitiesRepaymentsOfPrincipalInYearThree", "form": "10-Q", "accession": "0001730168-25-000098", "filed": "2025-09-10"}</t>
      </text>
    </comment>
    <comment ref="D67" authorId="0" shapeId="0">
      <text>
        <t>https://www.sec.gov/Archives/edgar/data/1730168/000173016826000080/0001730168-26-000080-index.html
{"tag": "us-gaap:LongTermDebtMaturitiesRepaymentsOfPrincipalInYearFour", "form": "10-Q", "accession": "0001730168-26-000080", "filed": "2026-09-10"}</t>
      </text>
    </comment>
    <comment ref="D68" authorId="0" shapeId="0">
      <text>
        <t>https://www.sec.gov/Archives/edgar/data/1730168/000173016825000098/0001730168-25-000098-index.html
{"tag": "us-gaap:LongTermDebtMaturitiesRepaymentsOfPrincipalInYearFour", "form": "10-Q", "accession": "0001730168-25-000098", "filed": "2025-09-10"}</t>
      </text>
    </comment>
    <comment ref="D69" authorId="0" shapeId="0">
      <text>
        <t xml:space="preserve">
null</t>
      </text>
    </comment>
    <comment ref="D70" authorId="0" shapeId="0">
      <text>
        <t xml:space="preserve">
null</t>
      </text>
    </comment>
    <comment ref="D71" authorId="0" shapeId="0">
      <text>
        <t xml:space="preserve">
null</t>
      </text>
    </comment>
    <comment ref="D72" authorId="0" shapeId="0">
      <text>
        <t xml:space="preserve">
null</t>
      </text>
    </comment>
    <comment ref="D73" authorId="0" shapeId="0">
      <text>
        <t>https://www.sec.gov/Archives/edgar/data/1730168/000173016818000084/0001730168-18-000084-index.html
{"tag": "us-gaap:Revenues", "form": "10-K", "accession": "0001730168-18-000084", "filed": "2018-12-21"}</t>
      </text>
    </comment>
    <comment ref="D74" authorId="0" shapeId="0">
      <text>
        <t>https://www.sec.gov/Archives/edgar/data/1730168/000173016818000084/0001730168-18-000084-index.html
{"tag": "us-gaap:Revenues", "form": "10-K", "accession": "0001730168-18-000084", "filed": "2018-12-21"}</t>
      </text>
    </comment>
    <comment ref="D75" authorId="0" shapeId="0">
      <text>
        <t>https://www.sec.gov/Archives/edgar/data/1730168/000173016818000084/0001730168-18-000084-index.html
{"tag": "us-gaap:Revenues", "form": "10-K", "accession": "0001730168-18-000084", "filed": "2018-12-21"}</t>
      </text>
    </comment>
    <comment ref="D76" authorId="0" shapeId="0">
      <text>
        <t>https://www.sec.gov/Archives/edgar/data/1730168/000173016821000153/0001730168-21-000153-index.html
{"tag": "us-gaap:RevenueFromContractWithCustomerExcludingAssessedTax", "form": "10-K", "accession": "0001730168-21-000153", "filed": "2021-12-17"}</t>
      </text>
    </comment>
    <comment ref="D77" authorId="0" shapeId="0">
      <text>
        <t>https://www.sec.gov/Archives/edgar/data/1730168/000173016822000118/0001730168-22-000118-index.html
{"tag": "us-gaap:RevenueFromContractWithCustomerExcludingAssessedTax", "form": "10-K", "accession": "0001730168-22-000118", "filed": "2022-12-16"}</t>
      </text>
    </comment>
    <comment ref="D78" authorId="0" shapeId="0">
      <text>
        <t>https://www.sec.gov/Archives/edgar/data/1730168/000173016823000096/0001730168-23-000096-index.html
{"tag": "us-gaap:RevenueFromContractWithCustomerExcludingAssessedTax", "form": "10-K", "accession": "0001730168-23-000096", "filed": "2023-12-14"}</t>
      </text>
    </comment>
    <comment ref="D79" authorId="0" shapeId="0">
      <text>
        <t>https://www.sec.gov/Archives/edgar/data/1730168/000173016824000139/0001730168-24-000139-index.html
{"tag": "us-gaap:RevenueFromContractWithCustomerExcludingAssessedTax", "form": "10-K", "accession": "0001730168-24-000139", "filed": "2024-12-20"}</t>
      </text>
    </comment>
    <comment ref="D80" authorId="0" shapeId="0">
      <text>
        <t>https://www.sec.gov/Archives/edgar/data/1730168/000173016825000121/0001730168-25-000121-index.html
{"tag": "us-gaap:RevenueFromContractWithCustomerExcludingAssessedTax", "form": "10-K", "accession": "0001730168-25-000121", "filed": "2025-12-18"}</t>
      </text>
    </comment>
    <comment ref="D81" authorId="0" shapeId="0">
      <text>
        <t>https://www.sec.gov/Archives/edgar/data/1730168/000173016825000121/0001730168-25-000121-index.html
{"tag": "us-gaap:RevenueFromContractWithCustomerExcludingAssessedTax", "form": "10-K", "accession": "0001730168-25-000121", "filed": "2025-12-18"}</t>
      </text>
    </comment>
    <comment ref="D82" authorId="0" shapeId="0">
      <text>
        <t>https://www.sec.gov/Archives/edgar/data/1730168/000173016825000121/0001730168-25-000121-index.html
{"tag": "us-gaap:RevenueFromContractWithCustomerExcludingAssessedTax", "form": "10-K", "accession": "0001730168-25-000121", "filed": "2025-12-18"}</t>
      </text>
    </comment>
    <comment ref="D83" authorId="0" shapeId="0">
      <text>
        <t>https://www.sec.gov/Archives/edgar/data/1730168/000173016818000084/0001730168-18-000084-index.html
{"tag": "us-gaap:CostOfGoodsAndServicesSold", "form": "10-K", "accession": "0001730168-18-000084", "filed": "2018-12-21"}</t>
      </text>
    </comment>
    <comment ref="D84" authorId="0" shapeId="0">
      <text>
        <t>https://www.sec.gov/Archives/edgar/data/1730168/000173016819000144/0001730168-19-000144-index.html
{"tag": "us-gaap:CostOfRevenue", "form": "10-K", "accession": "0001730168-19-000144", "filed": "2019-12-20"}</t>
      </text>
    </comment>
    <comment ref="D85" authorId="0" shapeId="0">
      <text>
        <t>https://www.sec.gov/Archives/edgar/data/1730168/000173016820000226/0001730168-20-000226-index.html
{"tag": "us-gaap:CostOfRevenue", "form": "10-K", "accession": "0001730168-20-000226", "filed": "2020-12-18"}</t>
      </text>
    </comment>
    <comment ref="D86" authorId="0" shapeId="0">
      <text>
        <t>https://www.sec.gov/Archives/edgar/data/1730168/000173016821000153/0001730168-21-000153-index.html
{"tag": "us-gaap:CostOfRevenue", "form": "10-K", "accession": "0001730168-21-000153", "filed": "2021-12-17"}</t>
      </text>
    </comment>
    <comment ref="D87" authorId="0" shapeId="0">
      <text>
        <t>https://www.sec.gov/Archives/edgar/data/1730168/000173016822000118/0001730168-22-000118-index.html
{"tag": "us-gaap:CostOfRevenue", "form": "10-K", "accession": "0001730168-22-000118", "filed": "2022-12-16"}</t>
      </text>
    </comment>
    <comment ref="D88" authorId="0" shapeId="0">
      <text>
        <t>https://www.sec.gov/Archives/edgar/data/1730168/000173016823000096/0001730168-23-000096-index.html
{"tag": "us-gaap:CostOfRevenue", "form": "10-K", "accession": "0001730168-23-000096", "filed": "2023-12-14"}</t>
      </text>
    </comment>
    <comment ref="D89" authorId="0" shapeId="0">
      <text>
        <t>https://www.sec.gov/Archives/edgar/data/1730168/000173016824000139/0001730168-24-000139-index.html
{"tag": "us-gaap:CostOfRevenue", "form": "10-K", "accession": "0001730168-24-000139", "filed": "2024-12-20"}</t>
      </text>
    </comment>
    <comment ref="D90" authorId="0" shapeId="0">
      <text>
        <t>https://www.sec.gov/Archives/edgar/data/1730168/000173016825000121/0001730168-25-000121-index.html
{"tag": "us-gaap:CostOfRevenue", "form": "10-K", "accession": "0001730168-25-000121", "filed": "2025-12-18"}</t>
      </text>
    </comment>
    <comment ref="D91" authorId="0" shapeId="0">
      <text>
        <t>https://www.sec.gov/Archives/edgar/data/1730168/000173016825000121/0001730168-25-000121-index.html
{"tag": "us-gaap:CostOfRevenue", "form": "10-K", "accession": "0001730168-25-000121", "filed": "2025-12-18"}</t>
      </text>
    </comment>
    <comment ref="D92" authorId="0" shapeId="0">
      <text>
        <t>https://www.sec.gov/Archives/edgar/data/1730168/000173016825000121/0001730168-25-000121-index.html
{"tag": "us-gaap:CostOfRevenue", "form": "10-K", "accession": "0001730168-25-000121", "filed": "2025-12-18"}</t>
      </text>
    </comment>
    <comment ref="D93" authorId="0" shapeId="0">
      <text>
        <t>https://www.sec.gov/Archives/edgar/data/1730168/000173016818000084/0001730168-18-000084-index.html
{"tag": "us-gaap:GrossProfit", "form": "10-K", "accession": "0001730168-18-000084", "filed": "2018-12-21"}</t>
      </text>
    </comment>
    <comment ref="D94" authorId="0" shapeId="0">
      <text>
        <t>https://www.sec.gov/Archives/edgar/data/1730168/000173016819000144/0001730168-19-000144-index.html
{"tag": "us-gaap:GrossProfit", "form": "10-K", "accession": "0001730168-19-000144", "filed": "2019-12-20"}</t>
      </text>
    </comment>
    <comment ref="D95" authorId="0" shapeId="0">
      <text>
        <t>https://www.sec.gov/Archives/edgar/data/1730168/000173016820000226/0001730168-20-000226-index.html
{"tag": "us-gaap:GrossProfit", "form": "10-K", "accession": "0001730168-20-000226", "filed": "2020-12-18"}</t>
      </text>
    </comment>
    <comment ref="D96" authorId="0" shapeId="0">
      <text>
        <t>https://www.sec.gov/Archives/edgar/data/1730168/000173016821000153/0001730168-21-000153-index.html
{"tag": "us-gaap:GrossProfit", "form": "10-K", "accession": "0001730168-21-000153", "filed": "2021-12-17"}</t>
      </text>
    </comment>
    <comment ref="D97" authorId="0" shapeId="0">
      <text>
        <t>https://www.sec.gov/Archives/edgar/data/1730168/000173016822000118/0001730168-22-000118-index.html
{"tag": "us-gaap:GrossProfit", "form": "10-K", "accession": "0001730168-22-000118", "filed": "2022-12-16"}</t>
      </text>
    </comment>
    <comment ref="D98" authorId="0" shapeId="0">
      <text>
        <t>https://www.sec.gov/Archives/edgar/data/1730168/000173016823000096/0001730168-23-000096-index.html
{"tag": "us-gaap:GrossProfit", "form": "10-K", "accession": "0001730168-23-000096", "filed": "2023-12-14"}</t>
      </text>
    </comment>
    <comment ref="D99" authorId="0" shapeId="0">
      <text>
        <t>https://www.sec.gov/Archives/edgar/data/1730168/000173016824000139/0001730168-24-000139-index.html
{"tag": "us-gaap:GrossProfit", "form": "10-K", "accession": "0001730168-24-000139", "filed": "2024-12-20"}</t>
      </text>
    </comment>
    <comment ref="D100" authorId="0" shapeId="0">
      <text>
        <t>https://www.sec.gov/Archives/edgar/data/1730168/000173016825000121/0001730168-25-000121-index.html
{"tag": "us-gaap:GrossProfit", "form": "10-K", "accession": "0001730168-25-000121", "filed": "2025-12-18"}</t>
      </text>
    </comment>
    <comment ref="D101" authorId="0" shapeId="0">
      <text>
        <t>https://www.sec.gov/Archives/edgar/data/1730168/000173016825000121/0001730168-25-000121-index.html
{"tag": "us-gaap:GrossProfit", "form": "10-K", "accession": "0001730168-25-000121", "filed": "2025-12-18"}</t>
      </text>
    </comment>
    <comment ref="D102" authorId="0" shapeId="0">
      <text>
        <t>https://www.sec.gov/Archives/edgar/data/1730168/000173016825000121/0001730168-25-000121-index.html
{"tag": "us-gaap:GrossProfit", "form": "10-K", "accession": "0001730168-25-000121", "filed": "2025-12-18"}</t>
      </text>
    </comment>
    <comment ref="D103" authorId="0" shapeId="0">
      <text>
        <t>https://www.sec.gov/Archives/edgar/data/1730168/000173016818000084/0001730168-18-000084-index.html
{"tag": "us-gaap:ResearchAndDevelopmentExpense", "form": "10-K", "accession": "0001730168-18-000084", "filed": "2018-12-21"}</t>
      </text>
    </comment>
    <comment ref="D104" authorId="0" shapeId="0">
      <text>
        <t>https://www.sec.gov/Archives/edgar/data/1730168/000173016819000144/0001730168-19-000144-index.html
{"tag": "us-gaap:ResearchAndDevelopmentExpense", "form": "10-K", "accession": "0001730168-19-000144", "filed": "2019-12-20"}</t>
      </text>
    </comment>
    <comment ref="D105" authorId="0" shapeId="0">
      <text>
        <t>https://www.sec.gov/Archives/edgar/data/1730168/000173016820000226/0001730168-20-000226-index.html
{"tag": "us-gaap:ResearchAndDevelopmentExpense", "form": "10-K", "accession": "0001730168-20-000226", "filed": "2020-12-18"}</t>
      </text>
    </comment>
    <comment ref="D106" authorId="0" shapeId="0">
      <text>
        <t>https://www.sec.gov/Archives/edgar/data/1730168/000173016821000153/0001730168-21-000153-index.html
{"tag": "us-gaap:ResearchAndDevelopmentExpense", "form": "10-K", "accession": "0001730168-21-000153", "filed": "2021-12-17"}</t>
      </text>
    </comment>
    <comment ref="D107" authorId="0" shapeId="0">
      <text>
        <t>https://www.sec.gov/Archives/edgar/data/1730168/000173016822000118/0001730168-22-000118-index.html
{"tag": "us-gaap:ResearchAndDevelopmentExpense", "form": "10-K", "accession": "0001730168-22-000118", "filed": "2022-12-16"}</t>
      </text>
    </comment>
    <comment ref="D108" authorId="0" shapeId="0">
      <text>
        <t>https://www.sec.gov/Archives/edgar/data/1730168/000173016823000096/0001730168-23-000096-index.html
{"tag": "us-gaap:ResearchAndDevelopmentExpense", "form": "10-K", "accession": "0001730168-23-000096", "filed": "2023-12-14"}</t>
      </text>
    </comment>
    <comment ref="D109" authorId="0" shapeId="0">
      <text>
        <t>https://www.sec.gov/Archives/edgar/data/1730168/000173016824000139/0001730168-24-000139-index.html
{"tag": "us-gaap:ResearchAndDevelopmentExpense", "form": "10-K", "accession": "0001730168-24-000139", "filed": "2024-12-20"}</t>
      </text>
    </comment>
    <comment ref="D110" authorId="0" shapeId="0">
      <text>
        <t>https://www.sec.gov/Archives/edgar/data/1730168/000173016825000121/0001730168-25-000121-index.html
{"tag": "us-gaap:ResearchAndDevelopmentExpense", "form": "10-K", "accession": "0001730168-25-000121", "filed": "2025-12-18"}</t>
      </text>
    </comment>
    <comment ref="D111" authorId="0" shapeId="0">
      <text>
        <t>https://www.sec.gov/Archives/edgar/data/1730168/000173016825000121/0001730168-25-000121-index.html
{"tag": "us-gaap:ResearchAndDevelopmentExpense", "form": "10-K", "accession": "0001730168-25-000121", "filed": "2025-12-18"}</t>
      </text>
    </comment>
    <comment ref="D112" authorId="0" shapeId="0">
      <text>
        <t>https://www.sec.gov/Archives/edgar/data/1730168/000173016825000121/0001730168-25-000121-index.html
{"tag": "us-gaap:ResearchAndDevelopmentExpense", "form": "10-K", "accession": "0001730168-25-000121", "filed": "2025-12-18"}</t>
      </text>
    </comment>
    <comment ref="D113" authorId="0" shapeId="0">
      <text>
        <t>https://www.sec.gov/Archives/edgar/data/1730168/000173016818000084/0001730168-18-000084-index.html
{"tag": "us-gaap:SellingGeneralAndAdministrativeExpense", "form": "10-K", "accession": "0001730168-18-000084", "filed": "2018-12-21"}</t>
      </text>
    </comment>
    <comment ref="D114" authorId="0" shapeId="0">
      <text>
        <t>https://www.sec.gov/Archives/edgar/data/1730168/000173016819000144/0001730168-19-000144-index.html
{"tag": "us-gaap:SellingGeneralAndAdministrativeExpense", "form": "10-K", "accession": "0001730168-19-000144", "filed": "2019-12-20"}</t>
      </text>
    </comment>
    <comment ref="D115" authorId="0" shapeId="0">
      <text>
        <t>https://www.sec.gov/Archives/edgar/data/1730168/000173016820000226/0001730168-20-000226-index.html
{"tag": "us-gaap:SellingGeneralAndAdministrativeExpense", "form": "10-K", "accession": "0001730168-20-000226", "filed": "2020-12-18"}</t>
      </text>
    </comment>
    <comment ref="D116" authorId="0" shapeId="0">
      <text>
        <t>https://www.sec.gov/Archives/edgar/data/1730168/000173016821000153/0001730168-21-000153-index.html
{"tag": "us-gaap:SellingGeneralAndAdministrativeExpense", "form": "10-K", "accession": "0001730168-21-000153", "filed": "2021-12-17"}</t>
      </text>
    </comment>
    <comment ref="D117" authorId="0" shapeId="0">
      <text>
        <t>https://www.sec.gov/Archives/edgar/data/1730168/000173016822000118/0001730168-22-000118-index.html
{"tag": "us-gaap:SellingGeneralAndAdministrativeExpense", "form": "10-K", "accession": "0001730168-22-000118", "filed": "2022-12-16"}</t>
      </text>
    </comment>
    <comment ref="D118" authorId="0" shapeId="0">
      <text>
        <t>https://www.sec.gov/Archives/edgar/data/1730168/000173016823000096/0001730168-23-000096-index.html
{"tag": "us-gaap:SellingGeneralAndAdministrativeExpense", "form": "10-K", "accession": "0001730168-23-000096", "filed": "2023-12-14"}</t>
      </text>
    </comment>
    <comment ref="D119" authorId="0" shapeId="0">
      <text>
        <t>https://www.sec.gov/Archives/edgar/data/1730168/000173016824000139/0001730168-24-000139-index.html
{"tag": "us-gaap:SellingGeneralAndAdministrativeExpense", "form": "10-K", "accession": "0001730168-24-000139", "filed": "2024-12-20"}</t>
      </text>
    </comment>
    <comment ref="D120" authorId="0" shapeId="0">
      <text>
        <t>https://www.sec.gov/Archives/edgar/data/1730168/000173016825000121/0001730168-25-000121-index.html
{"tag": "us-gaap:SellingGeneralAndAdministrativeExpense", "form": "10-K", "accession": "0001730168-25-000121", "filed": "2025-12-18"}</t>
      </text>
    </comment>
    <comment ref="D121" authorId="0" shapeId="0">
      <text>
        <t>https://www.sec.gov/Archives/edgar/data/1730168/000173016825000121/0001730168-25-000121-index.html
{"tag": "us-gaap:SellingGeneralAndAdministrativeExpense", "form": "10-K", "accession": "0001730168-25-000121", "filed": "2025-12-18"}</t>
      </text>
    </comment>
    <comment ref="D122" authorId="0" shapeId="0">
      <text>
        <t>https://www.sec.gov/Archives/edgar/data/1730168/000173016825000121/0001730168-25-000121-index.html
{"tag": "us-gaap:SellingGeneralAndAdministrativeExpense", "form": "10-K", "accession": "0001730168-25-000121", "filed": "2025-12-18"}</t>
      </text>
    </comment>
    <comment ref="D123" authorId="0" shapeId="0">
      <text>
        <t>https://www.sec.gov/Archives/edgar/data/1730168/000173016818000084/0001730168-18-000084-index.html
{"tag": "us-gaap:OperatingIncomeLoss", "form": "10-K", "accession": "0001730168-18-000084", "filed": "2018-12-21"}</t>
      </text>
    </comment>
    <comment ref="D124" authorId="0" shapeId="0">
      <text>
        <t>https://www.sec.gov/Archives/edgar/data/1730168/000173016819000144/0001730168-19-000144-index.html
{"tag": "us-gaap:OperatingIncomeLoss", "form": "10-K", "accession": "0001730168-19-000144", "filed": "2019-12-20"}</t>
      </text>
    </comment>
    <comment ref="D125" authorId="0" shapeId="0">
      <text>
        <t>https://www.sec.gov/Archives/edgar/data/1730168/000173016820000226/0001730168-20-000226-index.html
{"tag": "us-gaap:OperatingIncomeLoss", "form": "10-K", "accession": "0001730168-20-000226", "filed": "2020-12-18"}</t>
      </text>
    </comment>
    <comment ref="D126" authorId="0" shapeId="0">
      <text>
        <t>https://www.sec.gov/Archives/edgar/data/1730168/000173016821000153/0001730168-21-000153-index.html
{"tag": "us-gaap:OperatingIncomeLoss", "form": "10-K", "accession": "0001730168-21-000153", "filed": "2021-12-17"}</t>
      </text>
    </comment>
    <comment ref="D127" authorId="0" shapeId="0">
      <text>
        <t>https://www.sec.gov/Archives/edgar/data/1730168/000173016822000118/0001730168-22-000118-index.html
{"tag": "us-gaap:OperatingIncomeLoss", "form": "10-K", "accession": "0001730168-22-000118", "filed": "2022-12-16"}</t>
      </text>
    </comment>
    <comment ref="D128" authorId="0" shapeId="0">
      <text>
        <t>https://www.sec.gov/Archives/edgar/data/1730168/000173016823000096/0001730168-23-000096-index.html
{"tag": "us-gaap:OperatingIncomeLoss", "form": "10-K", "accession": "0001730168-23-000096", "filed": "2023-12-14"}</t>
      </text>
    </comment>
    <comment ref="D129" authorId="0" shapeId="0">
      <text>
        <t>https://www.sec.gov/Archives/edgar/data/1730168/000173016824000139/0001730168-24-000139-index.html
{"tag": "us-gaap:OperatingIncomeLoss", "form": "10-K", "accession": "0001730168-24-000139", "filed": "2024-12-20"}</t>
      </text>
    </comment>
    <comment ref="D130" authorId="0" shapeId="0">
      <text>
        <t>https://www.sec.gov/Archives/edgar/data/1730168/000173016825000121/0001730168-25-000121-index.html
{"tag": "us-gaap:OperatingIncomeLoss", "form": "10-K", "accession": "0001730168-25-000121", "filed": "2025-12-18"}</t>
      </text>
    </comment>
    <comment ref="D131" authorId="0" shapeId="0">
      <text>
        <t>https://www.sec.gov/Archives/edgar/data/1730168/000173016825000121/0001730168-25-000121-index.html
{"tag": "us-gaap:OperatingIncomeLoss", "form": "10-K", "accession": "0001730168-25-000121", "filed": "2025-12-18"}</t>
      </text>
    </comment>
    <comment ref="D132" authorId="0" shapeId="0">
      <text>
        <t>https://www.sec.gov/Archives/edgar/data/1730168/000173016825000121/0001730168-25-000121-index.html
{"tag": "us-gaap:OperatingIncomeLoss", "form": "10-K", "accession": "0001730168-25-000121", "filed": "2025-12-18"}</t>
      </text>
    </comment>
    <comment ref="D133" authorId="0" shapeId="0">
      <text>
        <t>https://www.sec.gov/Archives/edgar/data/1730168/000173016818000084/0001730168-18-000084-index.html
{"tag": "us-gaap:InterestExpense", "form": "10-K", "accession": "0001730168-18-000084", "filed": "2018-12-21"}</t>
      </text>
    </comment>
    <comment ref="D134" authorId="0" shapeId="0">
      <text>
        <t>https://www.sec.gov/Archives/edgar/data/1730168/000173016819000144/0001730168-19-000144-index.html
{"tag": "us-gaap:InterestExpense", "form": "10-K", "accession": "0001730168-19-000144", "filed": "2019-12-20"}</t>
      </text>
    </comment>
    <comment ref="D135" authorId="0" shapeId="0">
      <text>
        <t>https://www.sec.gov/Archives/edgar/data/1730168/000173016820000226/0001730168-20-000226-index.html
{"tag": "us-gaap:InterestExpense", "form": "10-K", "accession": "0001730168-20-000226", "filed": "2020-12-18"}</t>
      </text>
    </comment>
    <comment ref="D136" authorId="0" shapeId="0">
      <text>
        <t>https://www.sec.gov/Archives/edgar/data/1730168/000173016821000153/0001730168-21-000153-index.html
{"tag": "us-gaap:InterestExpense", "form": "10-K", "accession": "0001730168-21-000153", "filed": "2021-12-17"}</t>
      </text>
    </comment>
    <comment ref="D137" authorId="0" shapeId="0">
      <text>
        <t>https://www.sec.gov/Archives/edgar/data/1730168/000173016822000118/0001730168-22-000118-index.html
{"tag": "us-gaap:InterestExpense", "form": "10-K", "accession": "0001730168-22-000118", "filed": "2022-12-16"}</t>
      </text>
    </comment>
    <comment ref="D138" authorId="0" shapeId="0">
      <text>
        <t>https://www.sec.gov/Archives/edgar/data/1730168/000173016823000096/0001730168-23-000096-index.html
{"tag": "us-gaap:InterestExpense", "form": "10-K", "accession": "0001730168-23-000096", "filed": "2023-12-14"}</t>
      </text>
    </comment>
    <comment ref="D139" authorId="0" shapeId="0">
      <text>
        <t>https://www.sec.gov/Archives/edgar/data/1730168/000173016824000139/0001730168-24-000139-index.html
{"tag": "us-gaap:InterestExpense", "form": "10-K", "accession": "0001730168-24-000139", "filed": "2024-12-20"}</t>
      </text>
    </comment>
    <comment ref="D140" authorId="0" shapeId="0">
      <text>
        <t>https://www.sec.gov/Archives/edgar/data/1730168/000173016824000139/0001730168-24-000139-index.html
{"tag": "us-gaap:InterestExpense", "form": "10-K", "accession": "0001730168-24-000139", "filed": "2024-12-20"}</t>
      </text>
    </comment>
    <comment ref="D141" authorId="0" shapeId="0">
      <text>
        <t>https://www.sec.gov/Archives/edgar/data/1730168/000173016824000139/0001730168-24-000139-index.html
{"tag": "us-gaap:InterestExpense", "form": "10-K", "accession": "0001730168-24-000139", "filed": "2024-12-20"}</t>
      </text>
    </comment>
    <comment ref="D142" authorId="0" shapeId="0">
      <text>
        <t>https://www.sec.gov/Archives/edgar/data/1730168/000173016825000121/0001730168-25-000121-index.html
{"tag": "us-gaap:InterestExpenseNonoperating", "form": "10-K", "accession": "0001730168-25-000121", "filed": "2025-12-18"}</t>
      </text>
    </comment>
    <comment ref="D143" authorId="0" shapeId="0">
      <text>
        <t>https://www.sec.gov/Archives/edgar/data/1730168/000173016818000084/0001730168-18-000084-index.html
{"tag": "us-gaap:IncomeLossFromContinuingOperationsBeforeIncomeTaxesExtraordinaryItemsNoncontrollingInterest", "form": "10-K", "accession": "0001730168-18-000084", "filed": "2018-12-21"}</t>
      </text>
    </comment>
    <comment ref="D144" authorId="0" shapeId="0">
      <text>
        <t>https://www.sec.gov/Archives/edgar/data/1730168/000173016819000144/0001730168-19-000144-index.html
{"tag": "us-gaap:IncomeLossFromContinuingOperationsBeforeIncomeTaxesExtraordinaryItemsNoncontrollingInterest", "form": "10-K", "accession": "0001730168-19-000144", "filed": "2019-12-20"}</t>
      </text>
    </comment>
    <comment ref="D145" authorId="0" shapeId="0">
      <text>
        <t>https://www.sec.gov/Archives/edgar/data/1730168/000173016820000226/0001730168-20-000226-index.html
{"tag": "us-gaap:IncomeLossFromContinuingOperationsBeforeIncomeTaxesExtraordinaryItemsNoncontrollingInterest", "form": "10-K", "accession": "0001730168-20-000226", "filed": "2020-12-18"}</t>
      </text>
    </comment>
    <comment ref="D146" authorId="0" shapeId="0">
      <text>
        <t>https://www.sec.gov/Archives/edgar/data/1730168/000173016821000153/0001730168-21-000153-index.html
{"tag": "us-gaap:IncomeLossFromContinuingOperationsBeforeIncomeTaxesExtraordinaryItemsNoncontrollingInterest", "form": "10-K", "accession": "0001730168-21-000153", "filed": "2021-12-17"}</t>
      </text>
    </comment>
    <comment ref="D147" authorId="0" shapeId="0">
      <text>
        <t>https://www.sec.gov/Archives/edgar/data/1730168/000173016822000118/0001730168-22-000118-index.html
{"tag": "us-gaap:IncomeLossFromContinuingOperationsBeforeIncomeTaxesExtraordinaryItemsNoncontrollingInterest", "form": "10-K", "accession": "0001730168-22-000118", "filed": "2022-12-16"}</t>
      </text>
    </comment>
    <comment ref="D148" authorId="0" shapeId="0">
      <text>
        <t>https://www.sec.gov/Archives/edgar/data/1730168/000173016823000096/0001730168-23-000096-index.html
{"tag": "us-gaap:IncomeLossFromContinuingOperationsBeforeIncomeTaxesExtraordinaryItemsNoncontrollingInterest", "form": "10-K", "accession": "0001730168-23-000096", "filed": "2023-12-14"}</t>
      </text>
    </comment>
    <comment ref="D149" authorId="0" shapeId="0">
      <text>
        <t>https://www.sec.gov/Archives/edgar/data/1730168/000173016824000139/0001730168-24-000139-index.html
{"tag": "us-gaap:IncomeLossFromContinuingOperationsBeforeIncomeTaxesExtraordinaryItemsNoncontrollingInterest", "form": "10-K", "accession": "0001730168-24-000139", "filed": "2024-12-20"}</t>
      </text>
    </comment>
    <comment ref="D150"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1"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2"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3" authorId="0" shapeId="0">
      <text>
        <t>https://www.sec.gov/Archives/edgar/data/1730168/000173016818000084/0001730168-18-000084-index.html
{"tag": "us-gaap:IncomeTaxExpenseBenefit", "form": "10-K", "accession": "0001730168-18-000084", "filed": "2018-12-21"}</t>
      </text>
    </comment>
    <comment ref="D154" authorId="0" shapeId="0">
      <text>
        <t>https://www.sec.gov/Archives/edgar/data/1730168/000173016819000144/0001730168-19-000144-index.html
{"tag": "us-gaap:IncomeTaxExpenseBenefit", "form": "10-K", "accession": "0001730168-19-000144", "filed": "2019-12-20"}</t>
      </text>
    </comment>
    <comment ref="D155" authorId="0" shapeId="0">
      <text>
        <t>https://www.sec.gov/Archives/edgar/data/1730168/000173016820000226/0001730168-20-000226-index.html
{"tag": "us-gaap:IncomeTaxExpenseBenefit", "form": "10-K", "accession": "0001730168-20-000226", "filed": "2020-12-18"}</t>
      </text>
    </comment>
    <comment ref="D156" authorId="0" shapeId="0">
      <text>
        <t>https://www.sec.gov/Archives/edgar/data/1730168/000173016821000153/0001730168-21-000153-index.html
{"tag": "us-gaap:IncomeTaxExpenseBenefit", "form": "10-K", "accession": "0001730168-21-000153", "filed": "2021-12-17"}</t>
      </text>
    </comment>
    <comment ref="D157" authorId="0" shapeId="0">
      <text>
        <t>https://www.sec.gov/Archives/edgar/data/1730168/000173016822000118/0001730168-22-000118-index.html
{"tag": "us-gaap:IncomeTaxExpenseBenefit", "form": "10-K", "accession": "0001730168-22-000118", "filed": "2022-12-16"}</t>
      </text>
    </comment>
    <comment ref="D158" authorId="0" shapeId="0">
      <text>
        <t>https://www.sec.gov/Archives/edgar/data/1730168/000173016823000096/0001730168-23-000096-index.html
{"tag": "us-gaap:IncomeTaxExpenseBenefit", "form": "10-K", "accession": "0001730168-23-000096", "filed": "2023-12-14"}</t>
      </text>
    </comment>
    <comment ref="D159" authorId="0" shapeId="0">
      <text>
        <t>https://www.sec.gov/Archives/edgar/data/1730168/000173016824000139/0001730168-24-000139-index.html
{"tag": "us-gaap:IncomeTaxExpenseBenefit", "form": "10-K", "accession": "0001730168-24-000139", "filed": "2024-12-20"}</t>
      </text>
    </comment>
    <comment ref="D160" authorId="0" shapeId="0">
      <text>
        <t>https://www.sec.gov/Archives/edgar/data/1730168/000173016825000121/0001730168-25-000121-index.html
{"tag": "us-gaap:IncomeTaxExpenseBenefit", "form": "10-K", "accession": "0001730168-25-000121", "filed": "2025-12-18"}</t>
      </text>
    </comment>
    <comment ref="D161" authorId="0" shapeId="0">
      <text>
        <t>https://www.sec.gov/Archives/edgar/data/1730168/000173016825000121/0001730168-25-000121-index.html
{"tag": "us-gaap:IncomeTaxExpenseBenefit", "form": "10-K", "accession": "0001730168-25-000121", "filed": "2025-12-18"}</t>
      </text>
    </comment>
    <comment ref="D162" authorId="0" shapeId="0">
      <text>
        <t>https://www.sec.gov/Archives/edgar/data/1730168/000173016825000121/0001730168-25-000121-index.html
{"tag": "us-gaap:IncomeTaxExpenseBenefit", "form": "10-K", "accession": "0001730168-25-000121", "filed": "2025-12-18"}</t>
      </text>
    </comment>
    <comment ref="D163" authorId="0" shapeId="0">
      <text>
        <t>https://www.sec.gov/Archives/edgar/data/1730168/000173016818000084/0001730168-18-000084-index.html
{"tag": "us-gaap:NetIncomeLoss", "form": "10-K", "accession": "0001730168-18-000084", "filed": "2018-12-21"}</t>
      </text>
    </comment>
    <comment ref="D164" authorId="0" shapeId="0">
      <text>
        <t>https://www.sec.gov/Archives/edgar/data/1730168/000173016818000084/0001730168-18-000084-index.html
{"tag": "us-gaap:NetIncomeLoss", "form": "10-K", "accession": "0001730168-18-000084", "filed": "2018-12-21"}</t>
      </text>
    </comment>
    <comment ref="D165" authorId="0" shapeId="0">
      <text>
        <t>https://www.sec.gov/Archives/edgar/data/1730168/000173016818000084/0001730168-18-000084-index.html
{"tag": "us-gaap:NetIncomeLoss", "form": "10-K", "accession": "0001730168-18-000084", "filed": "2018-12-21"}</t>
      </text>
    </comment>
    <comment ref="D166" authorId="0" shapeId="0">
      <text>
        <t>https://www.sec.gov/Archives/edgar/data/1730168/000173016821000153/0001730168-21-000153-index.html
{"tag": "us-gaap:ProfitLoss", "form": "10-K", "accession": "0001730168-21-000153", "filed": "2021-12-17"}</t>
      </text>
    </comment>
    <comment ref="D167" authorId="0" shapeId="0">
      <text>
        <t>https://www.sec.gov/Archives/edgar/data/1730168/000173016822000118/0001730168-22-000118-index.html
{"tag": "us-gaap:ProfitLoss", "form": "10-K", "accession": "0001730168-22-000118", "filed": "2022-12-16"}</t>
      </text>
    </comment>
    <comment ref="D168" authorId="0" shapeId="0">
      <text>
        <t>https://www.sec.gov/Archives/edgar/data/1730168/000173016823000096/0001730168-23-000096-index.html
{"tag": "us-gaap:ProfitLoss", "form": "10-K", "accession": "0001730168-23-000096", "filed": "2023-12-14"}</t>
      </text>
    </comment>
    <comment ref="D169" authorId="0" shapeId="0">
      <text>
        <t>https://www.sec.gov/Archives/edgar/data/1730168/000173016824000139/0001730168-24-000139-index.html
{"tag": "us-gaap:NetIncomeLoss", "form": "10-K", "accession": "0001730168-24-000139", "filed": "2024-12-20"}</t>
      </text>
    </comment>
    <comment ref="D170" authorId="0" shapeId="0">
      <text>
        <t>https://www.sec.gov/Archives/edgar/data/1730168/000173016824000139/0001730168-24-000139-index.html
{"tag": "us-gaap:NetIncomeLoss", "form": "10-K", "accession": "0001730168-24-000139", "filed": "2024-12-20"}</t>
      </text>
    </comment>
    <comment ref="D171" authorId="0" shapeId="0">
      <text>
        <t>https://www.sec.gov/Archives/edgar/data/1730168/000173016824000139/0001730168-24-000139-index.html
{"tag": "us-gaap:NetIncomeLoss", "form": "10-K", "accession": "0001730168-24-000139", "filed": "2024-12-20"}</t>
      </text>
    </comment>
    <comment ref="D172" authorId="0" shapeId="0">
      <text>
        <t>https://www.sec.gov/Archives/edgar/data/1730168/000173016825000121/0001730168-25-000121-index.html
{"tag": "us-gaap:ProfitLoss", "form": "10-K", "accession": "0001730168-25-000121", "filed": "2025-12-18"}</t>
      </text>
    </comment>
    <comment ref="D173" authorId="0" shapeId="0">
      <text>
        <t>https://www.sec.gov/Archives/edgar/data/1730168/000173016818000084/0001730168-18-000084-index.html
{"parts": [{"tag": "us-gaap:Depreciation", "value": 402000000.0, "sign": 1, "accession": "0001730168-18-000084"}, {"tag": "us-gaap:AmortizationOfIntangibleAssets", "value": 2640000000.0, "sign": 1, "accession": "0001730168-18-000084"}]}</t>
      </text>
    </comment>
    <comment ref="D174" authorId="0" shapeId="0">
      <text>
        <t>https://www.sec.gov/Archives/edgar/data/1730168/000173016819000144/0001730168-19-000144-index.html
{"parts": [{"tag": "us-gaap:Depreciation", "value": 451000000.0, "sign": 1, "accession": "0001730168-19-000144"}, {"tag": "us-gaap:AmortizationOfIntangibleAssets", "value": 4286000000.0, "sign": 1, "accession": "0001730168-19-000144"}]}</t>
      </text>
    </comment>
    <comment ref="D175" authorId="0" shapeId="0">
      <text>
        <t>https://www.sec.gov/Archives/edgar/data/1730168/000173016820000226/0001730168-20-000226-index.html
https://www.sec.gov/Archives/edgar/data/1730168/000173016819000144/0001730168-19-000144-index.html
{"parts": [{"tag": "us-gaap:Depreciation", "value": 515000000.0, "sign": 1, "accession": "0001730168-20-000226"}, {"tag": "us-gaap:AmortizationOfIntangibleAssets", "value": 3566000000.0, "sign": 1, "accession": "0001730168-19-000144"}]}</t>
      </text>
    </comment>
    <comment ref="D176" authorId="0" shapeId="0">
      <text>
        <t>https://www.sec.gov/Archives/edgar/data/1730168/000173016821000153/0001730168-21-000153-index.html
https://www.sec.gov/Archives/edgar/data/1730168/000173016819000144/0001730168-19-000144-index.html
{"parts": [{"tag": "us-gaap:Depreciation", "value": 569000000.0, "sign": 1, "accession": "0001730168-21-000153"}, {"tag": "us-gaap:AmortizationOfIntangibleAssets", "value": 5239000000.0, "sign": 1, "accession": "0001730168-19-000144"}]}</t>
      </text>
    </comment>
    <comment ref="D177" authorId="0" shapeId="0">
      <text>
        <t xml:space="preserve">
null</t>
      </text>
    </comment>
    <comment ref="D178" authorId="0" shapeId="0">
      <text>
        <t xml:space="preserve">
null</t>
      </text>
    </comment>
    <comment ref="D179" authorId="0" shapeId="0">
      <text>
        <t xml:space="preserve">
null</t>
      </text>
    </comment>
    <comment ref="D180" authorId="0" shapeId="0">
      <text>
        <t>https://www.sec.gov/Archives/edgar/data/1730168/000173016825000121/0001730168-25-000121-index.html
{"parts": [{"tag": "us-gaap:Depreciation", "value": 502000000.0, "sign": 1, "accession": "0001730168-25-000121"}, {"tag": "us-gaap:AmortizationOfIntangibleAssets", "value": 3247000000.0, "sign": 1, "accession": "0001730168-25-000121"}]}</t>
      </text>
    </comment>
    <comment ref="D181" authorId="0" shapeId="0">
      <text>
        <t>https://www.sec.gov/Archives/edgar/data/1730168/000173016825000121/0001730168-25-000121-index.html
{"parts": [{"tag": "us-gaap:Depreciation", "value": 593000000.0, "sign": 1, "accession": "0001730168-25-000121"}, {"tag": "us-gaap:AmortizationOfIntangibleAssets", "value": 9267000000.0, "sign": 1, "accession": "0001730168-25-000121"}]}</t>
      </text>
    </comment>
    <comment ref="D182" authorId="0" shapeId="0">
      <text>
        <t>https://www.sec.gov/Archives/edgar/data/1730168/000173016825000121/0001730168-25-000121-index.html
{"parts": [{"tag": "us-gaap:Depreciation", "value": 574000000.0, "sign": 1, "accession": "0001730168-25-000121"}, {"tag": "us-gaap:AmortizationOfIntangibleAssets", "value": 8062000000.0, "sign": 1, "accession": "0001730168-25-000121"}]}</t>
      </text>
    </comment>
    <comment ref="D183" authorId="0" shapeId="0">
      <text>
        <t>https://www.sec.gov/Archives/edgar/data/1730168/000173016818000084/0001730168-18-000084-index.html
{"tag": "us-gaap:Depreciation", "form": "10-K", "accession": "0001730168-18-000084", "filed": "2018-12-21"}</t>
      </text>
    </comment>
    <comment ref="D184" authorId="0" shapeId="0">
      <text>
        <t>https://www.sec.gov/Archives/edgar/data/1730168/000173016819000144/0001730168-19-000144-index.html
{"tag": "us-gaap:Depreciation", "form": "10-K", "accession": "0001730168-19-000144", "filed": "2019-12-20"}</t>
      </text>
    </comment>
    <comment ref="D185" authorId="0" shapeId="0">
      <text>
        <t>https://www.sec.gov/Archives/edgar/data/1730168/000173016820000226/0001730168-20-000226-index.html
{"tag": "us-gaap:Depreciation", "form": "10-K", "accession": "0001730168-20-000226", "filed": "2020-12-18"}</t>
      </text>
    </comment>
    <comment ref="D186" authorId="0" shapeId="0">
      <text>
        <t>https://www.sec.gov/Archives/edgar/data/1730168/000173016821000153/0001730168-21-000153-index.html
{"tag": "us-gaap:Depreciation", "form": "10-K", "accession": "0001730168-21-000153", "filed": "2021-12-17"}</t>
      </text>
    </comment>
    <comment ref="D187" authorId="0" shapeId="0">
      <text>
        <t>https://www.sec.gov/Archives/edgar/data/1730168/000173016822000118/0001730168-22-000118-index.html
{"tag": "us-gaap:Depreciation", "form": "10-K", "accession": "0001730168-22-000118", "filed": "2022-12-16"}</t>
      </text>
    </comment>
    <comment ref="D188" authorId="0" shapeId="0">
      <text>
        <t>https://www.sec.gov/Archives/edgar/data/1730168/000173016823000096/0001730168-23-000096-index.html
{"tag": "us-gaap:Depreciation", "form": "10-K", "accession": "0001730168-23-000096", "filed": "2023-12-14"}</t>
      </text>
    </comment>
    <comment ref="D189" authorId="0" shapeId="0">
      <text>
        <t>https://www.sec.gov/Archives/edgar/data/1730168/000173016824000139/0001730168-24-000139-index.html
{"tag": "us-gaap:Depreciation", "form": "10-K", "accession": "0001730168-24-000139", "filed": "2024-12-20"}</t>
      </text>
    </comment>
    <comment ref="D190" authorId="0" shapeId="0">
      <text>
        <t>https://www.sec.gov/Archives/edgar/data/1730168/000173016825000121/0001730168-25-000121-index.html
{"tag": "us-gaap:Depreciation", "form": "10-K", "accession": "0001730168-25-000121", "filed": "2025-12-18"}</t>
      </text>
    </comment>
    <comment ref="D191" authorId="0" shapeId="0">
      <text>
        <t>https://www.sec.gov/Archives/edgar/data/1730168/000173016825000121/0001730168-25-000121-index.html
{"tag": "us-gaap:Depreciation", "form": "10-K", "accession": "0001730168-25-000121", "filed": "2025-12-18"}</t>
      </text>
    </comment>
    <comment ref="D192" authorId="0" shapeId="0">
      <text>
        <t>https://www.sec.gov/Archives/edgar/data/1730168/000173016825000121/0001730168-25-000121-index.html
{"tag": "us-gaap:Depreciation", "form": "10-K", "accession": "0001730168-25-000121", "filed": "2025-12-18"}</t>
      </text>
    </comment>
    <comment ref="D193" authorId="0" shapeId="0">
      <text>
        <t>https://www.sec.gov/Archives/edgar/data/1730168/000173016818000084/0001730168-18-000084-index.html
{"tag": "us-gaap:AmortizationOfIntangibleAssets", "form": "10-K", "accession": "0001730168-18-000084", "filed": "2018-12-21"}</t>
      </text>
    </comment>
    <comment ref="D194" authorId="0" shapeId="0">
      <text>
        <t>https://www.sec.gov/Archives/edgar/data/1730168/000173016819000144/0001730168-19-000144-index.html
{"tag": "us-gaap:AmortizationOfIntangibleAssets", "form": "10-K", "accession": "0001730168-19-000144", "filed": "2019-12-20"}</t>
      </text>
    </comment>
    <comment ref="D195" authorId="0" shapeId="0">
      <text>
        <t>https://www.sec.gov/Archives/edgar/data/1730168/000173016819000144/0001730168-19-000144-index.html
{"tag": "us-gaap:AmortizationOfIntangibleAssets", "form": "10-K", "accession": "0001730168-19-000144", "filed": "2019-12-20"}</t>
      </text>
    </comment>
    <comment ref="D196" authorId="0" shapeId="0">
      <text>
        <t>https://www.sec.gov/Archives/edgar/data/1730168/000173016819000144/0001730168-19-000144-index.html
{"tag": "us-gaap:AmortizationOfIntangibleAssets", "form": "10-K", "accession": "0001730168-19-000144", "filed": "2019-12-20"}</t>
      </text>
    </comment>
    <comment ref="D197" authorId="0" shapeId="0">
      <text>
        <t xml:space="preserve">
null</t>
      </text>
    </comment>
    <comment ref="D198" authorId="0" shapeId="0">
      <text>
        <t xml:space="preserve">
null</t>
      </text>
    </comment>
    <comment ref="D199" authorId="0" shapeId="0">
      <text>
        <t xml:space="preserve">
null</t>
      </text>
    </comment>
    <comment ref="D200" authorId="0" shapeId="0">
      <text>
        <t>https://www.sec.gov/Archives/edgar/data/1730168/000173016825000121/0001730168-25-000121-index.html
{"tag": "us-gaap:AmortizationOfIntangibleAssets", "form": "10-K", "accession": "0001730168-25-000121", "filed": "2025-12-18"}</t>
      </text>
    </comment>
    <comment ref="D201" authorId="0" shapeId="0">
      <text>
        <t>https://www.sec.gov/Archives/edgar/data/1730168/000173016825000121/0001730168-25-000121-index.html
{"tag": "us-gaap:AmortizationOfIntangibleAssets", "form": "10-K", "accession": "0001730168-25-000121", "filed": "2025-12-18"}</t>
      </text>
    </comment>
    <comment ref="D202" authorId="0" shapeId="0">
      <text>
        <t>https://www.sec.gov/Archives/edgar/data/1730168/000173016825000121/0001730168-25-000121-index.html
{"tag": "us-gaap:AmortizationOfIntangibleAssets", "form": "10-K", "accession": "0001730168-25-000121", "filed": "2025-12-18"}</t>
      </text>
    </comment>
    <comment ref="D203" authorId="0" shapeId="0">
      <text>
        <t>https://www.sec.gov/Archives/edgar/data/1730168/000173016818000084/0001730168-18-000084-index.html
{"tag": "us-gaap:EarningsPerShareDiluted", "form": "10-K", "accession": "0001730168-18-000084", "filed": "2018-12-21"}</t>
      </text>
    </comment>
    <comment ref="D204" authorId="0" shapeId="0">
      <text>
        <t>https://www.sec.gov/Archives/edgar/data/1730168/000173016819000144/0001730168-19-000144-index.html
{"tag": "us-gaap:EarningsPerShareDiluted", "form": "10-K", "accession": "0001730168-19-000144", "filed": "2019-12-20"}</t>
      </text>
    </comment>
    <comment ref="D205" authorId="0" shapeId="0">
      <text>
        <t>https://www.sec.gov/Archives/edgar/data/1730168/000173016820000226/0001730168-20-000226-index.html
{"tag": "us-gaap:EarningsPerShareDiluted", "form": "10-K", "accession": "0001730168-20-000226", "filed": "2020-12-18"}</t>
      </text>
    </comment>
    <comment ref="D206" authorId="0" shapeId="0">
      <text>
        <t>https://www.sec.gov/Archives/edgar/data/1730168/000173016821000153/0001730168-21-000153-index.html
{"tag": "us-gaap:EarningsPerShareDiluted", "form": "10-K", "accession": "0001730168-21-000153", "filed": "2021-12-17"}</t>
      </text>
    </comment>
    <comment ref="D207" authorId="0" shapeId="0">
      <text>
        <t>https://www.sec.gov/Archives/edgar/data/1730168/000173016822000118/0001730168-22-000118-index.html
{"tag": "us-gaap:EarningsPerShareDiluted", "form": "10-K", "accession": "0001730168-22-000118", "filed": "2022-12-16"}</t>
      </text>
    </comment>
    <comment ref="D208" authorId="0" shapeId="0">
      <text>
        <t>https://www.sec.gov/Archives/edgar/data/1730168/000173016823000096/0001730168-23-000096-index.html
{"tag": "us-gaap:EarningsPerShareDiluted", "form": "10-K", "accession": "0001730168-23-000096", "filed": "2023-12-14"}</t>
      </text>
    </comment>
    <comment ref="D209" authorId="0" shapeId="0">
      <text>
        <t>https://www.sec.gov/Archives/edgar/data/1730168/000173016824000139/0001730168-24-000139-index.html
{"tag": "us-gaap:EarningsPerShareDiluted", "form": "10-K", "accession": "0001730168-24-000139", "filed": "2024-12-20"}</t>
      </text>
    </comment>
    <comment ref="D210" authorId="0" shapeId="0">
      <text>
        <t>https://www.sec.gov/Archives/edgar/data/1730168/000173016825000121/0001730168-25-000121-index.html
{"tag": "us-gaap:EarningsPerShareDiluted", "form": "10-K", "accession": "0001730168-25-000121", "filed": "2025-12-18"}</t>
      </text>
    </comment>
    <comment ref="D211" authorId="0" shapeId="0">
      <text>
        <t>https://www.sec.gov/Archives/edgar/data/1730168/000173016825000121/0001730168-25-000121-index.html
{"tag": "us-gaap:EarningsPerShareDiluted", "form": "10-K", "accession": "0001730168-25-000121", "filed": "2025-12-18"}</t>
      </text>
    </comment>
    <comment ref="D212" authorId="0" shapeId="0">
      <text>
        <t>https://www.sec.gov/Archives/edgar/data/1730168/000173016825000121/0001730168-25-000121-index.html
{"tag": "us-gaap:EarningsPerShareDiluted", "form": "10-K", "accession": "0001730168-25-000121", "filed": "2025-12-18"}</t>
      </text>
    </comment>
    <comment ref="D213" authorId="0" shapeId="0">
      <text>
        <t>https://www.sec.gov/Archives/edgar/data/1730168/000173016818000084/0001730168-18-000084-index.html
{"tag": "us-gaap:NetCashProvidedByUsedInOperatingActivities", "form": "10-K", "accession": "0001730168-18-000084", "filed": "2018-12-21"}</t>
      </text>
    </comment>
    <comment ref="D214" authorId="0" shapeId="0">
      <text>
        <t>https://www.sec.gov/Archives/edgar/data/1730168/000173016819000144/0001730168-19-000144-index.html
{"tag": "us-gaap:NetCashProvidedByUsedInOperatingActivities", "form": "10-K", "accession": "0001730168-19-000144", "filed": "2019-12-20"}</t>
      </text>
    </comment>
    <comment ref="D215" authorId="0" shapeId="0">
      <text>
        <t>https://www.sec.gov/Archives/edgar/data/1730168/000173016820000226/0001730168-20-000226-index.html
{"tag": "us-gaap:NetCashProvidedByUsedInOperatingActivities", "form": "10-K", "accession": "0001730168-20-000226", "filed": "2020-12-18"}</t>
      </text>
    </comment>
    <comment ref="D216" authorId="0" shapeId="0">
      <text>
        <t>https://www.sec.gov/Archives/edgar/data/1730168/000173016821000153/0001730168-21-000153-index.html
{"tag": "us-gaap:NetCashProvidedByUsedInOperatingActivities", "form": "10-K", "accession": "0001730168-21-000153", "filed": "2021-12-17"}</t>
      </text>
    </comment>
    <comment ref="D217" authorId="0" shapeId="0">
      <text>
        <t>https://www.sec.gov/Archives/edgar/data/1730168/000173016822000118/0001730168-22-000118-index.html
{"tag": "us-gaap:NetCashProvidedByUsedInOperatingActivities", "form": "10-K", "accession": "0001730168-22-000118", "filed": "2022-12-16"}</t>
      </text>
    </comment>
    <comment ref="D218" authorId="0" shapeId="0">
      <text>
        <t>https://www.sec.gov/Archives/edgar/data/1730168/000173016823000096/0001730168-23-000096-index.html
{"tag": "us-gaap:NetCashProvidedByUsedInOperatingActivities", "form": "10-K", "accession": "0001730168-23-000096", "filed": "2023-12-14"}</t>
      </text>
    </comment>
    <comment ref="D219" authorId="0" shapeId="0">
      <text>
        <t>https://www.sec.gov/Archives/edgar/data/1730168/000173016824000139/0001730168-24-000139-index.html
{"tag": "us-gaap:NetCashProvidedByUsedInOperatingActivities", "form": "10-K", "accession": "0001730168-24-000139", "filed": "2024-12-20"}</t>
      </text>
    </comment>
    <comment ref="D220" authorId="0" shapeId="0">
      <text>
        <t>https://www.sec.gov/Archives/edgar/data/1730168/000173016825000121/0001730168-25-000121-index.html
{"tag": "us-gaap:NetCashProvidedByUsedInOperatingActivities", "form": "10-K", "accession": "0001730168-25-000121", "filed": "2025-12-18"}</t>
      </text>
    </comment>
    <comment ref="D221" authorId="0" shapeId="0">
      <text>
        <t>https://www.sec.gov/Archives/edgar/data/1730168/000173016825000121/0001730168-25-000121-index.html
{"tag": "us-gaap:NetCashProvidedByUsedInOperatingActivities", "form": "10-K", "accession": "0001730168-25-000121", "filed": "2025-12-18"}</t>
      </text>
    </comment>
    <comment ref="D222" authorId="0" shapeId="0">
      <text>
        <t>https://www.sec.gov/Archives/edgar/data/1730168/000173016825000121/0001730168-25-000121-index.html
{"tag": "us-gaap:NetCashProvidedByUsedInOperatingActivities", "form": "10-K", "accession": "0001730168-25-000121", "filed": "2025-12-18"}</t>
      </text>
    </comment>
    <comment ref="D223" authorId="0" shapeId="0">
      <text>
        <t>https://www.sec.gov/Archives/edgar/data/1730168/000173016818000084/0001730168-18-000084-index.html
{"tag": "us-gaap:PaymentsToAcquirePropertyPlantAndEquipment", "form": "10-K", "accession": "0001730168-18-000084", "filed": "2018-12-21"}</t>
      </text>
    </comment>
    <comment ref="D224" authorId="0" shapeId="0">
      <text>
        <t>https://www.sec.gov/Archives/edgar/data/1730168/000173016819000144/0001730168-19-000144-index.html
{"tag": "us-gaap:PaymentsToAcquirePropertyPlantAndEquipment", "form": "10-K", "accession": "0001730168-19-000144", "filed": "2019-12-20"}</t>
      </text>
    </comment>
    <comment ref="D225" authorId="0" shapeId="0">
      <text>
        <t>https://www.sec.gov/Archives/edgar/data/1730168/000173016820000226/0001730168-20-000226-index.html
{"tag": "us-gaap:PaymentsToAcquirePropertyPlantAndEquipment", "form": "10-K", "accession": "0001730168-20-000226", "filed": "2020-12-18"}</t>
      </text>
    </comment>
    <comment ref="D226" authorId="0" shapeId="0">
      <text>
        <t>https://www.sec.gov/Archives/edgar/data/1730168/000173016821000153/0001730168-21-000153-index.html
{"tag": "us-gaap:PaymentsToAcquirePropertyPlantAndEquipment", "form": "10-K", "accession": "0001730168-21-000153", "filed": "2021-12-17"}</t>
      </text>
    </comment>
    <comment ref="D227" authorId="0" shapeId="0">
      <text>
        <t>https://www.sec.gov/Archives/edgar/data/1730168/000173016822000118/0001730168-22-000118-index.html
{"tag": "us-gaap:PaymentsToAcquirePropertyPlantAndEquipment", "form": "10-K", "accession": "0001730168-22-000118", "filed": "2022-12-16"}</t>
      </text>
    </comment>
    <comment ref="D228" authorId="0" shapeId="0">
      <text>
        <t>https://www.sec.gov/Archives/edgar/data/1730168/000173016823000096/0001730168-23-000096-index.html
{"tag": "us-gaap:PaymentsToAcquirePropertyPlantAndEquipment", "form": "10-K", "accession": "0001730168-23-000096", "filed": "2023-12-14"}</t>
      </text>
    </comment>
    <comment ref="D229" authorId="0" shapeId="0">
      <text>
        <t>https://www.sec.gov/Archives/edgar/data/1730168/000173016824000139/0001730168-24-000139-index.html
{"tag": "us-gaap:PaymentsToAcquirePropertyPlantAndEquipment", "form": "10-K", "accession": "0001730168-24-000139", "filed": "2024-12-20"}</t>
      </text>
    </comment>
    <comment ref="D230" authorId="0" shapeId="0">
      <text>
        <t>https://www.sec.gov/Archives/edgar/data/1730168/000173016825000121/0001730168-25-000121-index.html
{"tag": "us-gaap:PaymentsToAcquirePropertyPlantAndEquipment", "form": "10-K", "accession": "0001730168-25-000121", "filed": "2025-12-18"}</t>
      </text>
    </comment>
    <comment ref="D231" authorId="0" shapeId="0">
      <text>
        <t>https://www.sec.gov/Archives/edgar/data/1730168/000173016825000121/0001730168-25-000121-index.html
{"tag": "us-gaap:PaymentsToAcquirePropertyPlantAndEquipment", "form": "10-K", "accession": "0001730168-25-000121", "filed": "2025-12-18"}</t>
      </text>
    </comment>
    <comment ref="D232" authorId="0" shapeId="0">
      <text>
        <t>https://www.sec.gov/Archives/edgar/data/1730168/000173016825000121/0001730168-25-000121-index.html
{"tag": "us-gaap:PaymentsToAcquirePropertyPlantAndEquipment", "form": "10-K", "accession": "0001730168-25-000121", "filed": "2025-12-18"}</t>
      </text>
    </comment>
    <comment ref="D233" authorId="0" shapeId="0">
      <text>
        <t>https://www.sec.gov/Archives/edgar/data/1730168/000173016818000084/0001730168-18-000084-index.html
{"tag": "us-gaap:ShareBasedCompensation", "form": "10-K", "accession": "0001730168-18-000084", "filed": "2018-12-21"}</t>
      </text>
    </comment>
    <comment ref="D234" authorId="0" shapeId="0">
      <text>
        <t>https://www.sec.gov/Archives/edgar/data/1730168/000173016819000144/0001730168-19-000144-index.html
{"tag": "us-gaap:ShareBasedCompensation", "form": "10-K", "accession": "0001730168-19-000144", "filed": "2019-12-20"}</t>
      </text>
    </comment>
    <comment ref="D235" authorId="0" shapeId="0">
      <text>
        <t>https://www.sec.gov/Archives/edgar/data/1730168/000173016820000226/0001730168-20-000226-index.html
{"tag": "us-gaap:ShareBasedCompensation", "form": "10-K", "accession": "0001730168-20-000226", "filed": "2020-12-18"}</t>
      </text>
    </comment>
    <comment ref="D236" authorId="0" shapeId="0">
      <text>
        <t>https://www.sec.gov/Archives/edgar/data/1730168/000173016821000153/0001730168-21-000153-index.html
{"tag": "us-gaap:ShareBasedCompensation", "form": "10-K", "accession": "0001730168-21-000153", "filed": "2021-12-17"}</t>
      </text>
    </comment>
    <comment ref="D237" authorId="0" shapeId="0">
      <text>
        <t>https://www.sec.gov/Archives/edgar/data/1730168/000173016822000118/0001730168-22-000118-index.html
{"tag": "us-gaap:ShareBasedCompensation", "form": "10-K", "accession": "0001730168-22-000118", "filed": "2022-12-16"}</t>
      </text>
    </comment>
    <comment ref="D238" authorId="0" shapeId="0">
      <text>
        <t>https://www.sec.gov/Archives/edgar/data/1730168/000173016823000096/0001730168-23-000096-index.html
{"tag": "us-gaap:ShareBasedCompensation", "form": "10-K", "accession": "0001730168-23-000096", "filed": "2023-12-14"}</t>
      </text>
    </comment>
    <comment ref="D239" authorId="0" shapeId="0">
      <text>
        <t>https://www.sec.gov/Archives/edgar/data/1730168/000173016824000139/0001730168-24-000139-index.html
{"tag": "us-gaap:ShareBasedCompensation", "form": "10-K", "accession": "0001730168-24-000139", "filed": "2024-12-20"}</t>
      </text>
    </comment>
    <comment ref="D240" authorId="0" shapeId="0">
      <text>
        <t>https://www.sec.gov/Archives/edgar/data/1730168/000173016825000121/0001730168-25-000121-index.html
{"tag": "us-gaap:ShareBasedCompensation", "form": "10-K", "accession": "0001730168-25-000121", "filed": "2025-12-18"}</t>
      </text>
    </comment>
    <comment ref="D241" authorId="0" shapeId="0">
      <text>
        <t>https://www.sec.gov/Archives/edgar/data/1730168/000173016825000121/0001730168-25-000121-index.html
{"tag": "us-gaap:ShareBasedCompensation", "form": "10-K", "accession": "0001730168-25-000121", "filed": "2025-12-18"}</t>
      </text>
    </comment>
    <comment ref="D242" authorId="0" shapeId="0">
      <text>
        <t>https://www.sec.gov/Archives/edgar/data/1730168/000173016825000121/0001730168-25-000121-index.html
{"tag": "us-gaap:ShareBasedCompensation", "form": "10-K", "accession": "0001730168-25-000121", "filed": "2025-12-18"}</t>
      </text>
    </comment>
    <comment ref="D243" authorId="0" shapeId="0">
      <text>
        <t>https://www.sec.gov/Archives/edgar/data/1730168/000173016818000084/0001730168-18-000084-index.html
{"tag": "us-gaap:PaymentsToAcquireBusinessesNetOfCashAcquired", "form": "10-K", "accession": "0001730168-18-000084", "filed": "2018-12-21"}</t>
      </text>
    </comment>
    <comment ref="D244" authorId="0" shapeId="0">
      <text>
        <t>https://www.sec.gov/Archives/edgar/data/1730168/000173016819000144/0001730168-19-000144-index.html
{"tag": "us-gaap:PaymentsToAcquireBusinessesNetOfCashAcquired", "form": "10-K", "accession": "0001730168-19-000144", "filed": "2019-12-20"}</t>
      </text>
    </comment>
    <comment ref="D245" authorId="0" shapeId="0">
      <text>
        <t>https://www.sec.gov/Archives/edgar/data/1730168/000173016820000226/0001730168-20-000226-index.html
{"tag": "us-gaap:PaymentsToAcquireBusinessesNetOfCashAcquired", "form": "10-K", "accession": "0001730168-20-000226", "filed": "2020-12-18"}</t>
      </text>
    </comment>
    <comment ref="D246" authorId="0" shapeId="0">
      <text>
        <t>https://www.sec.gov/Archives/edgar/data/1730168/000173016821000153/0001730168-21-000153-index.html
{"tag": "us-gaap:PaymentsToAcquireBusinessesNetOfCashAcquired", "form": "10-K", "accession": "0001730168-21-000153", "filed": "2021-12-17"}</t>
      </text>
    </comment>
    <comment ref="D247" authorId="0" shapeId="0">
      <text>
        <t>https://www.sec.gov/Archives/edgar/data/1730168/000173016822000118/0001730168-22-000118-index.html
{"tag": "us-gaap:PaymentsToAcquireBusinessesNetOfCashAcquired", "form": "10-K", "accession": "0001730168-22-000118", "filed": "2022-12-16"}</t>
      </text>
    </comment>
    <comment ref="D248" authorId="0" shapeId="0">
      <text>
        <t>https://www.sec.gov/Archives/edgar/data/1730168/000173016823000096/0001730168-23-000096-index.html
{"tag": "us-gaap:PaymentsToAcquireBusinessesNetOfCashAcquired", "form": "10-K", "accession": "0001730168-23-000096", "filed": "2023-12-14"}</t>
      </text>
    </comment>
    <comment ref="D249" authorId="0" shapeId="0">
      <text>
        <t>https://www.sec.gov/Archives/edgar/data/1730168/000173016824000139/0001730168-24-000139-index.html
{"tag": "us-gaap:PaymentsToAcquireBusinessesNetOfCashAcquired", "form": "10-K", "accession": "0001730168-24-000139", "filed": "2024-12-20"}</t>
      </text>
    </comment>
    <comment ref="D250" authorId="0" shapeId="0">
      <text>
        <t>https://www.sec.gov/Archives/edgar/data/1730168/000173016825000121/0001730168-25-000121-index.html
{"tag": "us-gaap:PaymentsToAcquireBusinessesNetOfCashAcquired", "form": "10-K", "accession": "0001730168-25-000121", "filed": "2025-12-18"}</t>
      </text>
    </comment>
    <comment ref="D251" authorId="0" shapeId="0">
      <text>
        <t>https://www.sec.gov/Archives/edgar/data/1730168/000173016825000121/0001730168-25-000121-index.html
{"tag": "us-gaap:PaymentsToAcquireBusinessesNetOfCashAcquired", "form": "10-K", "accession": "0001730168-25-000121", "filed": "2025-12-18"}</t>
      </text>
    </comment>
    <comment ref="D252" authorId="0" shapeId="0">
      <text>
        <t>https://www.sec.gov/Archives/edgar/data/1730168/000173016825000121/0001730168-25-000121-index.html
{"tag": "us-gaap:PaymentsToAcquireBusinessesNetOfCashAcquired", "form": "10-K", "accession": "0001730168-25-000121", "filed": "2025-12-18"}</t>
      </text>
    </comment>
    <comment ref="D253" authorId="0" shapeId="0">
      <text>
        <t>https://www.sec.gov/Archives/edgar/data/1730168/000173016818000084/0001730168-18-000084-index.html
{"tag": "us-gaap:PaymentsForRepurchaseOfCommonStock", "form": "10-K", "accession": "0001730168-18-000084", "filed": "2018-12-21"}</t>
      </text>
    </comment>
    <comment ref="D254" authorId="0" shapeId="0">
      <text>
        <t>https://www.sec.gov/Archives/edgar/data/1730168/000173016819000144/0001730168-19-000144-index.html
{"tag": "us-gaap:PaymentsForRepurchaseOfCommonStock", "form": "10-K", "accession": "0001730168-19-000144", "filed": "2019-12-20"}</t>
      </text>
    </comment>
    <comment ref="D255" authorId="0" shapeId="0">
      <text>
        <t>https://www.sec.gov/Archives/edgar/data/1730168/000173016820000226/0001730168-20-000226-index.html
{"tag": "us-gaap:PaymentsForRepurchaseOfCommonStock", "form": "10-K", "accession": "0001730168-20-000226", "filed": "2020-12-18"}</t>
      </text>
    </comment>
    <comment ref="D256" authorId="0" shapeId="0">
      <text>
        <t>https://www.sec.gov/Archives/edgar/data/1730168/000173016821000153/0001730168-21-000153-index.html
{"tag": "us-gaap:PaymentsForRepurchaseOfCommonStock", "form": "10-K", "accession": "0001730168-21-000153", "filed": "2021-12-17"}</t>
      </text>
    </comment>
    <comment ref="D257" authorId="0" shapeId="0">
      <text>
        <t>https://www.sec.gov/Archives/edgar/data/1730168/000173016822000118/0001730168-22-000118-index.html
{"tag": "us-gaap:PaymentsForRepurchaseOfCommonStock", "form": "10-K", "accession": "0001730168-22-000118", "filed": "2022-12-16"}</t>
      </text>
    </comment>
    <comment ref="D258" authorId="0" shapeId="0">
      <text>
        <t>https://www.sec.gov/Archives/edgar/data/1730168/000173016823000096/0001730168-23-000096-index.html
{"tag": "us-gaap:PaymentsForRepurchaseOfCommonStock", "form": "10-K", "accession": "0001730168-23-000096", "filed": "2023-12-14"}</t>
      </text>
    </comment>
    <comment ref="D259" authorId="0" shapeId="0">
      <text>
        <t>https://www.sec.gov/Archives/edgar/data/1730168/000173016824000139/0001730168-24-000139-index.html
{"tag": "us-gaap:PaymentsForRepurchaseOfCommonStock", "form": "10-K", "accession": "0001730168-24-000139", "filed": "2024-12-20"}</t>
      </text>
    </comment>
    <comment ref="D260" authorId="0" shapeId="0">
      <text>
        <t>https://www.sec.gov/Archives/edgar/data/1730168/000173016825000121/0001730168-25-000121-index.html
{"tag": "us-gaap:PaymentsForRepurchaseOfCommonStock", "form": "10-K", "accession": "0001730168-25-000121", "filed": "2025-12-18"}</t>
      </text>
    </comment>
    <comment ref="D261" authorId="0" shapeId="0">
      <text>
        <t>https://www.sec.gov/Archives/edgar/data/1730168/000173016825000121/0001730168-25-000121-index.html
{"tag": "us-gaap:PaymentsForRepurchaseOfCommonStock", "form": "10-K", "accession": "0001730168-25-000121", "filed": "2025-12-18"}</t>
      </text>
    </comment>
    <comment ref="D262" authorId="0" shapeId="0">
      <text>
        <t>https://www.sec.gov/Archives/edgar/data/1730168/000173016825000121/0001730168-25-000121-index.html
{"tag": "us-gaap:PaymentsForRepurchaseOfCommonStock", "form": "10-K", "accession": "0001730168-25-000121", "filed": "2025-12-18"}</t>
      </text>
    </comment>
    <comment ref="D263" authorId="0" shapeId="0">
      <text>
        <t>https://www.sec.gov/Archives/edgar/data/1730168/000173016818000084/0001730168-18-000084-index.html
{"tag": "us-gaap:PaymentsOfDividends", "form": "10-K", "accession": "0001730168-18-000084", "filed": "2018-12-21"}</t>
      </text>
    </comment>
    <comment ref="D264" authorId="0" shapeId="0">
      <text>
        <t>https://www.sec.gov/Archives/edgar/data/1730168/000173016819000144/0001730168-19-000144-index.html
{"tag": "us-gaap:PaymentsOfDividends", "form": "10-K", "accession": "0001730168-19-000144", "filed": "2019-12-20"}</t>
      </text>
    </comment>
    <comment ref="D265" authorId="0" shapeId="0">
      <text>
        <t>https://www.sec.gov/Archives/edgar/data/1730168/000173016820000226/0001730168-20-000226-index.html
{"tag": "us-gaap:PaymentsOfDividends", "form": "10-K", "accession": "0001730168-20-000226", "filed": "2020-12-18"}</t>
      </text>
    </comment>
    <comment ref="D266" authorId="0" shapeId="0">
      <text>
        <t>https://www.sec.gov/Archives/edgar/data/1730168/000173016821000153/0001730168-21-000153-index.html
{"tag": "us-gaap:PaymentsOfDividends", "form": "10-K", "accession": "0001730168-21-000153", "filed": "2021-12-17"}</t>
      </text>
    </comment>
    <comment ref="D267" authorId="0" shapeId="0">
      <text>
        <t>https://www.sec.gov/Archives/edgar/data/1730168/000173016822000118/0001730168-22-000118-index.html
{"tag": "us-gaap:PaymentsOfDividends", "form": "10-K", "accession": "0001730168-22-000118", "filed": "2022-12-16"}</t>
      </text>
    </comment>
    <comment ref="D268" authorId="0" shapeId="0">
      <text>
        <t>https://www.sec.gov/Archives/edgar/data/1730168/000173016823000096/0001730168-23-000096-index.html
{"tag": "us-gaap:PaymentsOfDividends", "form": "10-K", "accession": "0001730168-23-000096", "filed": "2023-12-14"}</t>
      </text>
    </comment>
    <comment ref="D269" authorId="0" shapeId="0">
      <text>
        <t>https://www.sec.gov/Archives/edgar/data/1730168/000173016824000139/0001730168-24-000139-index.html
{"tag": "us-gaap:PaymentsOfDividends", "form": "10-K", "accession": "0001730168-24-000139", "filed": "2024-12-20"}</t>
      </text>
    </comment>
    <comment ref="D270" authorId="0" shapeId="0">
      <text>
        <t>https://www.sec.gov/Archives/edgar/data/1730168/000173016825000121/0001730168-25-000121-index.html
{"tag": "us-gaap:PaymentsOfDividends", "form": "10-K", "accession": "0001730168-25-000121", "filed": "2025-12-18"}</t>
      </text>
    </comment>
    <comment ref="D271" authorId="0" shapeId="0">
      <text>
        <t>https://www.sec.gov/Archives/edgar/data/1730168/000173016825000121/0001730168-25-000121-index.html
{"tag": "us-gaap:PaymentsOfDividends", "form": "10-K", "accession": "0001730168-25-000121", "filed": "2025-12-18"}</t>
      </text>
    </comment>
    <comment ref="D272" authorId="0" shapeId="0">
      <text>
        <t>https://www.sec.gov/Archives/edgar/data/1730168/000173016825000121/0001730168-25-000121-index.html
{"tag": "us-gaap:PaymentsOfDividends", "form": "10-K", "accession": "0001730168-25-000121", "filed": "2025-12-18"}</t>
      </text>
    </comment>
    <comment ref="D273" authorId="0" shapeId="0">
      <text>
        <t>https://www.sec.gov/Archives/edgar/data/1730168/000173016818000084/0001730168-18-000084-index.html
{"tag": "us-gaap:ProceedsFromIssuanceOfLongTermDebt", "form": "10-K", "accession": "0001730168-18-000084", "filed": "2018-12-21"}</t>
      </text>
    </comment>
    <comment ref="D274" authorId="0" shapeId="0">
      <text>
        <t>https://www.sec.gov/Archives/edgar/data/1730168/000173016819000144/0001730168-19-000144-index.html
{"tag": "us-gaap:ProceedsFromIssuanceOfLongTermDebt", "form": "10-K", "accession": "0001730168-19-000144", "filed": "2019-12-20"}</t>
      </text>
    </comment>
    <comment ref="D275" authorId="0" shapeId="0">
      <text>
        <t>https://www.sec.gov/Archives/edgar/data/1730168/000173016820000226/0001730168-20-000226-index.html
{"tag": "us-gaap:ProceedsFromIssuanceOfLongTermDebt", "form": "10-K", "accession": "0001730168-20-000226", "filed": "2020-12-18"}</t>
      </text>
    </comment>
    <comment ref="D276" authorId="0" shapeId="0">
      <text>
        <t>https://www.sec.gov/Archives/edgar/data/1730168/000173016821000153/0001730168-21-000153-index.html
{"tag": "us-gaap:ProceedsFromIssuanceOfLongTermDebt", "form": "10-K", "accession": "0001730168-21-000153", "filed": "2021-12-17"}</t>
      </text>
    </comment>
    <comment ref="D277" authorId="0" shapeId="0">
      <text>
        <t>https://www.sec.gov/Archives/edgar/data/1730168/000173016822000118/0001730168-22-000118-index.html
{"tag": "us-gaap:ProceedsFromIssuanceOfLongTermDebt", "form": "10-K", "accession": "0001730168-22-000118", "filed": "2022-12-16"}</t>
      </text>
    </comment>
    <comment ref="D278" authorId="0" shapeId="0">
      <text>
        <t>https://www.sec.gov/Archives/edgar/data/1730168/000173016823000096/0001730168-23-000096-index.html
{"tag": "us-gaap:ProceedsFromIssuanceOfLongTermDebt", "form": "10-K", "accession": "0001730168-23-000096", "filed": "2023-12-14"}</t>
      </text>
    </comment>
    <comment ref="D279" authorId="0" shapeId="0">
      <text>
        <t>https://www.sec.gov/Archives/edgar/data/1730168/000173016824000139/0001730168-24-000139-index.html
{"tag": "us-gaap:ProceedsFromIssuanceOfLongTermDebt", "form": "10-K", "accession": "0001730168-24-000139", "filed": "2024-12-20"}</t>
      </text>
    </comment>
    <comment ref="D280" authorId="0" shapeId="0">
      <text>
        <t>https://www.sec.gov/Archives/edgar/data/1730168/000173016825000121/0001730168-25-000121-index.html
{"tag": "us-gaap:ProceedsFromIssuanceOfLongTermDebt", "form": "10-K", "accession": "0001730168-25-000121", "filed": "2025-12-18"}</t>
      </text>
    </comment>
    <comment ref="D281" authorId="0" shapeId="0">
      <text>
        <t>https://www.sec.gov/Archives/edgar/data/1730168/000173016825000121/0001730168-25-000121-index.html
{"tag": "us-gaap:ProceedsFromIssuanceOfLongTermDebt", "form": "10-K", "accession": "0001730168-25-000121", "filed": "2025-12-18"}</t>
      </text>
    </comment>
    <comment ref="D282" authorId="0" shapeId="0">
      <text>
        <t>https://www.sec.gov/Archives/edgar/data/1730168/000173016825000121/0001730168-25-000121-index.html
{"tag": "us-gaap:ProceedsFromIssuanceOfLongTermDebt", "form": "10-K", "accession": "0001730168-25-000121", "filed": "2025-12-18"}</t>
      </text>
    </comment>
    <comment ref="D283" authorId="0" shapeId="0">
      <text>
        <t>https://www.sec.gov/Archives/edgar/data/1730168/000173016818000084/0001730168-18-000084-index.html
{"tag": "us-gaap:RepaymentsOfDebt", "form": "10-K", "accession": "0001730168-18-000084", "filed": "2018-12-21"}</t>
      </text>
    </comment>
    <comment ref="D284" authorId="0" shapeId="0">
      <text>
        <t>https://www.sec.gov/Archives/edgar/data/1730168/000173016819000144/0001730168-19-000144-index.html
{"tag": "us-gaap:RepaymentsOfDebt", "form": "10-K", "accession": "0001730168-19-000144", "filed": "2019-12-20"}</t>
      </text>
    </comment>
    <comment ref="D285" authorId="0" shapeId="0">
      <text>
        <t>https://www.sec.gov/Archives/edgar/data/1730168/000173016820000226/0001730168-20-000226-index.html
{"tag": "us-gaap:RepaymentsOfDebt", "form": "10-K", "accession": "0001730168-20-000226", "filed": "2020-12-18"}</t>
      </text>
    </comment>
    <comment ref="D286" authorId="0" shapeId="0">
      <text>
        <t>https://www.sec.gov/Archives/edgar/data/1730168/000173016821000153/0001730168-21-000153-index.html
{"tag": "us-gaap:RepaymentsOfDebt", "form": "10-K", "accession": "0001730168-21-000153", "filed": "2021-12-17"}</t>
      </text>
    </comment>
    <comment ref="D287" authorId="0" shapeId="0">
      <text>
        <t>https://www.sec.gov/Archives/edgar/data/1730168/000173016822000118/0001730168-22-000118-index.html
{"tag": "us-gaap:RepaymentsOfDebt", "form": "10-K", "accession": "0001730168-22-000118", "filed": "2022-12-16"}</t>
      </text>
    </comment>
    <comment ref="D288" authorId="0" shapeId="0">
      <text>
        <t>https://www.sec.gov/Archives/edgar/data/1730168/000173016823000096/0001730168-23-000096-index.html
{"tag": "us-gaap:RepaymentsOfDebt", "form": "10-K", "accession": "0001730168-23-000096", "filed": "2023-12-14"}</t>
      </text>
    </comment>
    <comment ref="D289" authorId="0" shapeId="0">
      <text>
        <t>https://www.sec.gov/Archives/edgar/data/1730168/000173016824000139/0001730168-24-000139-index.html
{"tag": "us-gaap:RepaymentsOfDebt", "form": "10-K", "accession": "0001730168-24-000139", "filed": "2024-12-20"}</t>
      </text>
    </comment>
    <comment ref="D290" authorId="0" shapeId="0">
      <text>
        <t>https://www.sec.gov/Archives/edgar/data/1730168/000173016825000121/0001730168-25-000121-index.html
{"tag": "us-gaap:RepaymentsOfDebt", "form": "10-K", "accession": "0001730168-25-000121", "filed": "2025-12-18"}</t>
      </text>
    </comment>
    <comment ref="D291" authorId="0" shapeId="0">
      <text>
        <t>https://www.sec.gov/Archives/edgar/data/1730168/000173016825000121/0001730168-25-000121-index.html
{"tag": "us-gaap:RepaymentsOfDebt", "form": "10-K", "accession": "0001730168-25-000121", "filed": "2025-12-18"}</t>
      </text>
    </comment>
    <comment ref="D292" authorId="0" shapeId="0">
      <text>
        <t>https://www.sec.gov/Archives/edgar/data/1730168/000173016825000121/0001730168-25-000121-index.html
{"tag": "us-gaap:RepaymentsOfDebt", "form": "10-K", "accession": "0001730168-25-000121", "filed": "2025-12-18"}</t>
      </text>
    </comment>
    <comment ref="D293" authorId="0" shapeId="0">
      <text>
        <t>https://www.sec.gov/Archives/edgar/data/1730168/000173016818000084/0001730168-18-000084-index.html
{"tag": "us-gaap:WeightedAverageNumberOfDilutedSharesOutstanding", "form": "10-K", "accession": "0001730168-18-000084", "filed": "2018-12-21"}</t>
      </text>
    </comment>
    <comment ref="D294" authorId="0" shapeId="0">
      <text>
        <t>https://www.sec.gov/Archives/edgar/data/1730168/000173016819000144/0001730168-19-000144-index.html
{"tag": "us-gaap:WeightedAverageNumberOfDilutedSharesOutstanding", "form": "10-K", "accession": "0001730168-19-000144", "filed": "2019-12-20"}</t>
      </text>
    </comment>
    <comment ref="D295" authorId="0" shapeId="0">
      <text>
        <t>https://www.sec.gov/Archives/edgar/data/1730168/000173016820000226/0001730168-20-000226-index.html
{"tag": "us-gaap:WeightedAverageNumberOfDilutedSharesOutstanding", "form": "10-K", "accession": "0001730168-20-000226", "filed": "2020-12-18"}</t>
      </text>
    </comment>
    <comment ref="D296" authorId="0" shapeId="0">
      <text>
        <t>https://www.sec.gov/Archives/edgar/data/1730168/000173016821000153/0001730168-21-000153-index.html
{"tag": "us-gaap:WeightedAverageNumberOfDilutedSharesOutstanding", "form": "10-K", "accession": "0001730168-21-000153", "filed": "2021-12-17"}</t>
      </text>
    </comment>
    <comment ref="D297" authorId="0" shapeId="0">
      <text>
        <t>https://www.sec.gov/Archives/edgar/data/1730168/000173016822000118/0001730168-22-000118-index.html
{"tag": "us-gaap:WeightedAverageNumberOfDilutedSharesOutstanding", "form": "10-K", "accession": "0001730168-22-000118", "filed": "2022-12-16"}</t>
      </text>
    </comment>
    <comment ref="D298" authorId="0" shapeId="0">
      <text>
        <t>https://www.sec.gov/Archives/edgar/data/1730168/000173016823000096/0001730168-23-000096-index.html
{"tag": "us-gaap:WeightedAverageNumberOfDilutedSharesOutstanding", "form": "10-K", "accession": "0001730168-23-000096", "filed": "2023-12-14"}</t>
      </text>
    </comment>
    <comment ref="D299" authorId="0" shapeId="0">
      <text>
        <t>https://www.sec.gov/Archives/edgar/data/1730168/000173016824000139/0001730168-24-000139-index.html
{"tag": "us-gaap:WeightedAverageNumberOfDilutedSharesOutstanding", "form": "10-K", "accession": "0001730168-24-000139", "filed": "2024-12-20"}</t>
      </text>
    </comment>
    <comment ref="D300" authorId="0" shapeId="0">
      <text>
        <t>https://www.sec.gov/Archives/edgar/data/1730168/000173016825000121/0001730168-25-000121-index.html
{"tag": "us-gaap:WeightedAverageNumberOfDilutedSharesOutstanding", "form": "10-K", "accession": "0001730168-25-000121", "filed": "2025-12-18"}</t>
      </text>
    </comment>
    <comment ref="D301" authorId="0" shapeId="0">
      <text>
        <t>https://www.sec.gov/Archives/edgar/data/1730168/000173016825000121/0001730168-25-000121-index.html
{"tag": "us-gaap:WeightedAverageNumberOfDilutedSharesOutstanding", "form": "10-K", "accession": "0001730168-25-000121", "filed": "2025-12-18"}</t>
      </text>
    </comment>
    <comment ref="D302" authorId="0" shapeId="0">
      <text>
        <t>https://www.sec.gov/Archives/edgar/data/1730168/000173016825000121/0001730168-25-000121-index.html
{"tag": "us-gaap:WeightedAverageNumberOfDilutedSharesOutstanding", "form": "10-K", "accession": "0001730168-25-000121", "filed": "2025-12-18"}</t>
      </text>
    </comment>
    <comment ref="D303" authorId="0" shapeId="0">
      <text>
        <t>https://www.sec.gov/Archives/edgar/data/1730168/000173016819000144/0001730168-19-000144-index.html
{"parts": [{"tag": "us-gaap:CashAndCashEquivalentsAtCarryingValue", "value": 3097000000.0, "sign": 1, "accession": "0001730168-19-000144"}]}</t>
      </text>
    </comment>
    <comment ref="D304" authorId="0" shapeId="0">
      <text>
        <t>https://www.sec.gov/Archives/edgar/data/1730168/000173016820000226/0001730168-20-000226-index.html
{"parts": [{"tag": "us-gaap:CashAndCashEquivalentsAtCarryingValue", "value": 11204000000.0, "sign": 1, "accession": "0001730168-20-000226"}]}</t>
      </text>
    </comment>
    <comment ref="D305" authorId="0" shapeId="0">
      <text>
        <t>https://www.sec.gov/Archives/edgar/data/1730168/000173016821000153/0001730168-21-000153-index.html
{"parts": [{"tag": "us-gaap:CashAndCashEquivalentsAtCarryingValue", "value": 4292000000.0, "sign": 1, "accession": "0001730168-21-000153"}]}</t>
      </text>
    </comment>
    <comment ref="D306" authorId="0" shapeId="0">
      <text>
        <t>https://www.sec.gov/Archives/edgar/data/1730168/000173016821000153/0001730168-21-000153-index.html
{"parts": [{"tag": "us-gaap:CashAndCashEquivalentsAtCarryingValue", "value": 5055000000.0, "sign": 1, "accession": "0001730168-21-000153"}]}</t>
      </text>
    </comment>
    <comment ref="D307" authorId="0" shapeId="0">
      <text>
        <t>https://www.sec.gov/Archives/edgar/data/1730168/000173016821000153/0001730168-21-000153-index.html
{"parts": [{"tag": "us-gaap:CashAndCashEquivalentsAtCarryingValue", "value": 7618000000.0, "sign": 1, "accession": "0001730168-21-000153"}]}</t>
      </text>
    </comment>
    <comment ref="D308" authorId="0" shapeId="0">
      <text>
        <t>https://www.sec.gov/Archives/edgar/data/1730168/000173016822000118/0001730168-22-000118-index.html
{"parts": [{"tag": "us-gaap:CashAndCashEquivalentsAtCarryingValue", "value": 12163000000.0, "sign": 1, "accession": "0001730168-22-000118"}]}</t>
      </text>
    </comment>
    <comment ref="D309" authorId="0" shapeId="0">
      <text>
        <t>https://www.sec.gov/Archives/edgar/data/1730168/000173016823000096/0001730168-23-000096-index.html
{"parts": [{"tag": "us-gaap:CashAndCashEquivalentsAtCarryingValue", "value": 12416000000.0, "sign": 1, "accession": "0001730168-23-000096"}]}</t>
      </text>
    </comment>
    <comment ref="D310" authorId="0" shapeId="0">
      <text>
        <t>https://www.sec.gov/Archives/edgar/data/1730168/000173016824000139/0001730168-24-000139-index.html
{"parts": [{"tag": "us-gaap:CashAndCashEquivalentsAtCarryingValue", "value": 14189000000.0, "sign": 1, "accession": "0001730168-24-000139"}]}</t>
      </text>
    </comment>
    <comment ref="D311" authorId="0" shapeId="0">
      <text>
        <t>https://www.sec.gov/Archives/edgar/data/1730168/000173016825000121/0001730168-25-000121-index.html
{"parts": [{"tag": "us-gaap:CashAndCashEquivalentsAtCarryingValue", "value": 9348000000.0, "sign": 1, "accession": "0001730168-25-000121"}]}</t>
      </text>
    </comment>
    <comment ref="D312" authorId="0" shapeId="0">
      <text>
        <t>https://www.sec.gov/Archives/edgar/data/1730168/000173016825000121/0001730168-25-000121-index.html
{"parts": [{"tag": "us-gaap:CashAndCashEquivalentsAtCarryingValue", "value": 16178000000.0, "sign": 1, "accession": "0001730168-25-000121"}]}</t>
      </text>
    </comment>
    <comment ref="D313" authorId="0" shapeId="0">
      <text>
        <t xml:space="preserve">
null</t>
      </text>
    </comment>
    <comment ref="D314" authorId="0" shapeId="0">
      <text>
        <t>https://www.sec.gov/Archives/edgar/data/1730168/000173016818000084/0001730168-18-000084-index.html
{"tag": "us-gaap:AccountsReceivableNetCurrent", "form": "10-K", "accession": "0001730168-18-000084", "filed": "2018-12-21"}</t>
      </text>
    </comment>
    <comment ref="D315" authorId="0" shapeId="0">
      <text>
        <t>https://www.sec.gov/Archives/edgar/data/1730168/000173016819000144/0001730168-19-000144-index.html
{"tag": "us-gaap:AccountsReceivableNetCurrent", "form": "10-K", "accession": "0001730168-19-000144", "filed": "2019-12-20"}</t>
      </text>
    </comment>
    <comment ref="D316" authorId="0" shapeId="0">
      <text>
        <t>https://www.sec.gov/Archives/edgar/data/1730168/000173016820000226/0001730168-20-000226-index.html
{"tag": "us-gaap:AccountsReceivableNetCurrent", "form": "10-K", "accession": "0001730168-20-000226", "filed": "2020-12-18"}</t>
      </text>
    </comment>
    <comment ref="D317" authorId="0" shapeId="0">
      <text>
        <t>https://www.sec.gov/Archives/edgar/data/1730168/000173016821000153/0001730168-21-000153-index.html
{"tag": "us-gaap:AccountsReceivableNetCurrent", "form": "10-K", "accession": "0001730168-21-000153", "filed": "2021-12-17"}</t>
      </text>
    </comment>
    <comment ref="D318" authorId="0" shapeId="0">
      <text>
        <t>https://www.sec.gov/Archives/edgar/data/1730168/000173016822000118/0001730168-22-000118-index.html
{"tag": "us-gaap:AccountsReceivableNetCurrent", "form": "10-K", "accession": "0001730168-22-000118", "filed": "2022-12-16"}</t>
      </text>
    </comment>
    <comment ref="D319" authorId="0" shapeId="0">
      <text>
        <t>https://www.sec.gov/Archives/edgar/data/1730168/000173016823000096/0001730168-23-000096-index.html
{"tag": "us-gaap:AccountsReceivableNetCurrent", "form": "10-K", "accession": "0001730168-23-000096", "filed": "2023-12-14"}</t>
      </text>
    </comment>
    <comment ref="D320" authorId="0" shapeId="0">
      <text>
        <t>https://www.sec.gov/Archives/edgar/data/1730168/000173016824000139/0001730168-24-000139-index.html
{"tag": "us-gaap:AccountsReceivableNetCurrent", "form": "10-K", "accession": "0001730168-24-000139", "filed": "2024-12-20"}</t>
      </text>
    </comment>
    <comment ref="D321" authorId="0" shapeId="0">
      <text>
        <t>https://www.sec.gov/Archives/edgar/data/1730168/000173016825000121/0001730168-25-000121-index.html
{"tag": "us-gaap:AccountsReceivableNetCurrent", "form": "10-K", "accession": "0001730168-25-000121", "filed": "2025-12-18"}</t>
      </text>
    </comment>
    <comment ref="D322" authorId="0" shapeId="0">
      <text>
        <t>https://www.sec.gov/Archives/edgar/data/1730168/000173016825000121/0001730168-25-000121-index.html
{"tag": "us-gaap:AccountsReceivableNetCurrent", "form": "10-K", "accession": "0001730168-25-000121", "filed": "2025-12-18"}</t>
      </text>
    </comment>
    <comment ref="D323" authorId="0" shapeId="0">
      <text>
        <t xml:space="preserve">
null</t>
      </text>
    </comment>
    <comment ref="D324" authorId="0" shapeId="0">
      <text>
        <t>https://www.sec.gov/Archives/edgar/data/1730168/000173016818000084/0001730168-18-000084-index.html
{"tag": "us-gaap:InventoryNet", "form": "10-K", "accession": "0001730168-18-000084", "filed": "2018-12-21"}</t>
      </text>
    </comment>
    <comment ref="D325" authorId="0" shapeId="0">
      <text>
        <t>https://www.sec.gov/Archives/edgar/data/1730168/000173016819000144/0001730168-19-000144-index.html
{"tag": "us-gaap:InventoryNet", "form": "10-K", "accession": "0001730168-19-000144", "filed": "2019-12-20"}</t>
      </text>
    </comment>
    <comment ref="D326" authorId="0" shapeId="0">
      <text>
        <t>https://www.sec.gov/Archives/edgar/data/1730168/000173016820000226/0001730168-20-000226-index.html
{"tag": "us-gaap:InventoryNet", "form": "10-K", "accession": "0001730168-20-000226", "filed": "2020-12-18"}</t>
      </text>
    </comment>
    <comment ref="D327" authorId="0" shapeId="0">
      <text>
        <t>https://www.sec.gov/Archives/edgar/data/1730168/000173016821000153/0001730168-21-000153-index.html
{"tag": "us-gaap:InventoryNet", "form": "10-K", "accession": "0001730168-21-000153", "filed": "2021-12-17"}</t>
      </text>
    </comment>
    <comment ref="D328" authorId="0" shapeId="0">
      <text>
        <t>https://www.sec.gov/Archives/edgar/data/1730168/000173016822000118/0001730168-22-000118-index.html
{"tag": "us-gaap:InventoryNet", "form": "10-K", "accession": "0001730168-22-000118", "filed": "2022-12-16"}</t>
      </text>
    </comment>
    <comment ref="D329" authorId="0" shapeId="0">
      <text>
        <t>https://www.sec.gov/Archives/edgar/data/1730168/000173016823000096/0001730168-23-000096-index.html
{"tag": "us-gaap:InventoryNet", "form": "10-K", "accession": "0001730168-23-000096", "filed": "2023-12-14"}</t>
      </text>
    </comment>
    <comment ref="D330" authorId="0" shapeId="0">
      <text>
        <t>https://www.sec.gov/Archives/edgar/data/1730168/000173016824000139/0001730168-24-000139-index.html
{"tag": "us-gaap:InventoryNet", "form": "10-K", "accession": "0001730168-24-000139", "filed": "2024-12-20"}</t>
      </text>
    </comment>
    <comment ref="D331" authorId="0" shapeId="0">
      <text>
        <t>https://www.sec.gov/Archives/edgar/data/1730168/000173016825000121/0001730168-25-000121-index.html
{"tag": "us-gaap:InventoryNet", "form": "10-K", "accession": "0001730168-25-000121", "filed": "2025-12-18"}</t>
      </text>
    </comment>
    <comment ref="D332" authorId="0" shapeId="0">
      <text>
        <t>https://www.sec.gov/Archives/edgar/data/1730168/000173016825000121/0001730168-25-000121-index.html
{"tag": "us-gaap:InventoryNet", "form": "10-K", "accession": "0001730168-25-000121", "filed": "2025-12-18"}</t>
      </text>
    </comment>
    <comment ref="D333" authorId="0" shapeId="0">
      <text>
        <t xml:space="preserve">
null</t>
      </text>
    </comment>
    <comment ref="D334" authorId="0" shapeId="0">
      <text>
        <t>https://www.sec.gov/Archives/edgar/data/1730168/000173016818000084/0001730168-18-000084-index.html
{"tag": "us-gaap:AssetsCurrent", "form": "10-K", "accession": "0001730168-18-000084", "filed": "2018-12-21"}</t>
      </text>
    </comment>
    <comment ref="D335" authorId="0" shapeId="0">
      <text>
        <t>https://www.sec.gov/Archives/edgar/data/1730168/000173016819000144/0001730168-19-000144-index.html
{"tag": "us-gaap:AssetsCurrent", "form": "10-K", "accession": "0001730168-19-000144", "filed": "2019-12-20"}</t>
      </text>
    </comment>
    <comment ref="D336" authorId="0" shapeId="0">
      <text>
        <t>https://www.sec.gov/Archives/edgar/data/1730168/000173016820000226/0001730168-20-000226-index.html
{"tag": "us-gaap:AssetsCurrent", "form": "10-K", "accession": "0001730168-20-000226", "filed": "2020-12-18"}</t>
      </text>
    </comment>
    <comment ref="D337" authorId="0" shapeId="0">
      <text>
        <t>https://www.sec.gov/Archives/edgar/data/1730168/000173016821000153/0001730168-21-000153-index.html
{"tag": "us-gaap:AssetsCurrent", "form": "10-K", "accession": "0001730168-21-000153", "filed": "2021-12-17"}</t>
      </text>
    </comment>
    <comment ref="D338" authorId="0" shapeId="0">
      <text>
        <t>https://www.sec.gov/Archives/edgar/data/1730168/000173016822000118/0001730168-22-000118-index.html
{"tag": "us-gaap:AssetsCurrent", "form": "10-K", "accession": "0001730168-22-000118", "filed": "2022-12-16"}</t>
      </text>
    </comment>
    <comment ref="D339" authorId="0" shapeId="0">
      <text>
        <t>https://www.sec.gov/Archives/edgar/data/1730168/000173016823000096/0001730168-23-000096-index.html
{"tag": "us-gaap:AssetsCurrent", "form": "10-K", "accession": "0001730168-23-000096", "filed": "2023-12-14"}</t>
      </text>
    </comment>
    <comment ref="D340" authorId="0" shapeId="0">
      <text>
        <t>https://www.sec.gov/Archives/edgar/data/1730168/000173016824000139/0001730168-24-000139-index.html
{"tag": "us-gaap:AssetsCurrent", "form": "10-K", "accession": "0001730168-24-000139", "filed": "2024-12-20"}</t>
      </text>
    </comment>
    <comment ref="D341" authorId="0" shapeId="0">
      <text>
        <t>https://www.sec.gov/Archives/edgar/data/1730168/000173016825000121/0001730168-25-000121-index.html
{"tag": "us-gaap:AssetsCurrent", "form": "10-K", "accession": "0001730168-25-000121", "filed": "2025-12-18"}</t>
      </text>
    </comment>
    <comment ref="D342" authorId="0" shapeId="0">
      <text>
        <t>https://www.sec.gov/Archives/edgar/data/1730168/000173016825000121/0001730168-25-000121-index.html
{"tag": "us-gaap:AssetsCurrent", "form": "10-K", "accession": "0001730168-25-000121", "filed": "2025-12-18"}</t>
      </text>
    </comment>
    <comment ref="D343" authorId="0" shapeId="0">
      <text>
        <t xml:space="preserve">
null</t>
      </text>
    </comment>
    <comment ref="D344" authorId="0" shapeId="0">
      <text>
        <t>https://www.sec.gov/Archives/edgar/data/1730168/000173016818000084/0001730168-18-000084-index.html
{"tag": "us-gaap:PropertyPlantAndEquipmentNet", "form": "10-K", "accession": "0001730168-18-000084", "filed": "2018-12-21"}</t>
      </text>
    </comment>
    <comment ref="D345" authorId="0" shapeId="0">
      <text>
        <t>https://www.sec.gov/Archives/edgar/data/1730168/000173016819000144/0001730168-19-000144-index.html
{"tag": "us-gaap:PropertyPlantAndEquipmentNet", "form": "10-K", "accession": "0001730168-19-000144", "filed": "2019-12-20"}</t>
      </text>
    </comment>
    <comment ref="D346" authorId="0" shapeId="0">
      <text>
        <t>https://www.sec.gov/Archives/edgar/data/1730168/000173016820000226/0001730168-20-000226-index.html
{"tag": "us-gaap:PropertyPlantAndEquipmentNet", "form": "10-K", "accession": "0001730168-20-000226", "filed": "2020-12-18"}</t>
      </text>
    </comment>
    <comment ref="D347" authorId="0" shapeId="0">
      <text>
        <t>https://www.sec.gov/Archives/edgar/data/1730168/000173016821000153/0001730168-21-000153-index.html
{"tag": "us-gaap:PropertyPlantAndEquipmentNet", "form": "10-K", "accession": "0001730168-21-000153", "filed": "2021-12-17"}</t>
      </text>
    </comment>
    <comment ref="D348" authorId="0" shapeId="0">
      <text>
        <t>https://www.sec.gov/Archives/edgar/data/1730168/000173016822000118/0001730168-22-000118-index.html
{"tag": "us-gaap:PropertyPlantAndEquipmentNet", "form": "10-K", "accession": "0001730168-22-000118", "filed": "2022-12-16"}</t>
      </text>
    </comment>
    <comment ref="D349" authorId="0" shapeId="0">
      <text>
        <t>https://www.sec.gov/Archives/edgar/data/1730168/000173016823000096/0001730168-23-000096-index.html
{"tag": "us-gaap:PropertyPlantAndEquipmentNet", "form": "10-K", "accession": "0001730168-23-000096", "filed": "2023-12-14"}</t>
      </text>
    </comment>
    <comment ref="D350" authorId="0" shapeId="0">
      <text>
        <t>https://www.sec.gov/Archives/edgar/data/1730168/000173016824000139/0001730168-24-000139-index.html
{"tag": "us-gaap:PropertyPlantAndEquipmentNet", "form": "10-K", "accession": "0001730168-24-000139", "filed": "2024-12-20"}</t>
      </text>
    </comment>
    <comment ref="D351" authorId="0" shapeId="0">
      <text>
        <t>https://www.sec.gov/Archives/edgar/data/1730168/000173016825000121/0001730168-25-000121-index.html
{"tag": "us-gaap:PropertyPlantAndEquipmentNet", "form": "10-K", "accession": "0001730168-25-000121", "filed": "2025-12-18"}</t>
      </text>
    </comment>
    <comment ref="D352" authorId="0" shapeId="0">
      <text>
        <t>https://www.sec.gov/Archives/edgar/data/1730168/000173016825000121/0001730168-25-000121-index.html
{"tag": "us-gaap:PropertyPlantAndEquipmentNet", "form": "10-K", "accession": "0001730168-25-000121", "filed": "2025-12-18"}</t>
      </text>
    </comment>
    <comment ref="D353" authorId="0" shapeId="0">
      <text>
        <t>https://www.sec.gov/Archives/edgar/data/1730168/000173016818000084/0001730168-18-000084-index.html
{"tag": "us-gaap:Goodwill", "form": "10-K", "accession": "0001730168-18-000084", "filed": "2018-12-21"}</t>
      </text>
    </comment>
    <comment ref="D354" authorId="0" shapeId="0">
      <text>
        <t>https://www.sec.gov/Archives/edgar/data/1730168/000173016819000144/0001730168-19-000144-index.html
{"tag": "us-gaap:Goodwill", "form": "10-K", "accession": "0001730168-19-000144", "filed": "2019-12-20"}</t>
      </text>
    </comment>
    <comment ref="D355" authorId="0" shapeId="0">
      <text>
        <t>https://www.sec.gov/Archives/edgar/data/1730168/000173016820000226/0001730168-20-000226-index.html
{"tag": "us-gaap:Goodwill", "form": "10-K", "accession": "0001730168-20-000226", "filed": "2020-12-18"}</t>
      </text>
    </comment>
    <comment ref="D356" authorId="0" shapeId="0">
      <text>
        <t>https://www.sec.gov/Archives/edgar/data/1730168/000173016821000153/0001730168-21-000153-index.html
{"tag": "us-gaap:Goodwill", "form": "10-K", "accession": "0001730168-21-000153", "filed": "2021-12-17"}</t>
      </text>
    </comment>
    <comment ref="D357" authorId="0" shapeId="0">
      <text>
        <t>https://www.sec.gov/Archives/edgar/data/1730168/000173016822000118/0001730168-22-000118-index.html
{"tag": "us-gaap:Goodwill", "form": "10-K", "accession": "0001730168-22-000118", "filed": "2022-12-16"}</t>
      </text>
    </comment>
    <comment ref="D358" authorId="0" shapeId="0">
      <text>
        <t>https://www.sec.gov/Archives/edgar/data/1730168/000173016823000096/0001730168-23-000096-index.html
{"tag": "us-gaap:Goodwill", "form": "10-K", "accession": "0001730168-23-000096", "filed": "2023-12-14"}</t>
      </text>
    </comment>
    <comment ref="D359" authorId="0" shapeId="0">
      <text>
        <t>https://www.sec.gov/Archives/edgar/data/1730168/000173016824000139/0001730168-24-000139-index.html
{"tag": "us-gaap:Goodwill", "form": "10-K", "accession": "0001730168-24-000139", "filed": "2024-12-20"}</t>
      </text>
    </comment>
    <comment ref="D360" authorId="0" shapeId="0">
      <text>
        <t>https://www.sec.gov/Archives/edgar/data/1730168/000173016825000121/0001730168-25-000121-index.html
{"tag": "us-gaap:Goodwill", "form": "10-K", "accession": "0001730168-25-000121", "filed": "2025-12-18"}</t>
      </text>
    </comment>
    <comment ref="D361" authorId="0" shapeId="0">
      <text>
        <t>https://www.sec.gov/Archives/edgar/data/1730168/000173016825000121/0001730168-25-000121-index.html
{"tag": "us-gaap:Goodwill", "form": "10-K", "accession": "0001730168-25-000121", "filed": "2025-12-18"}</t>
      </text>
    </comment>
    <comment ref="D362" authorId="0" shapeId="0">
      <text>
        <t>https://www.sec.gov/Archives/edgar/data/1730168/000173016825000121/0001730168-25-000121-index.html
{"tag": "us-gaap:Goodwill", "form": "10-K", "accession": "0001730168-25-000121", "filed": "2025-12-18"}</t>
      </text>
    </comment>
    <comment ref="D363" authorId="0" shapeId="0">
      <text>
        <t xml:space="preserve">
null</t>
      </text>
    </comment>
    <comment ref="D364" authorId="0" shapeId="0">
      <text>
        <t>https://www.sec.gov/Archives/edgar/data/1730168/000173016818000084/0001730168-18-000084-index.html
{"tag": "us-gaap:IntangibleAssetsNetExcludingGoodwill", "form": "10-K", "accession": "0001730168-18-000084", "filed": "2018-12-21"}</t>
      </text>
    </comment>
    <comment ref="D365" authorId="0" shapeId="0">
      <text>
        <t>https://www.sec.gov/Archives/edgar/data/1730168/000173016819000144/0001730168-19-000144-index.html
{"tag": "us-gaap:IntangibleAssetsNetExcludingGoodwill", "form": "10-K", "accession": "0001730168-19-000144", "filed": "2019-12-20"}</t>
      </text>
    </comment>
    <comment ref="D366" authorId="0" shapeId="0">
      <text>
        <t>https://www.sec.gov/Archives/edgar/data/1730168/000173016820000226/0001730168-20-000226-index.html
{"tag": "us-gaap:IntangibleAssetsNetExcludingGoodwill", "form": "10-K", "accession": "0001730168-20-000226", "filed": "2020-12-18"}</t>
      </text>
    </comment>
    <comment ref="D367" authorId="0" shapeId="0">
      <text>
        <t>https://www.sec.gov/Archives/edgar/data/1730168/000173016821000153/0001730168-21-000153-index.html
{"tag": "us-gaap:IntangibleAssetsNetExcludingGoodwill", "form": "10-K", "accession": "0001730168-21-000153", "filed": "2021-12-17"}</t>
      </text>
    </comment>
    <comment ref="D368" authorId="0" shapeId="0">
      <text>
        <t>https://www.sec.gov/Archives/edgar/data/1730168/000173016822000118/0001730168-22-000118-index.html
{"tag": "us-gaap:IntangibleAssetsNetExcludingGoodwill", "form": "10-K", "accession": "0001730168-22-000118", "filed": "2022-12-16"}</t>
      </text>
    </comment>
    <comment ref="D369" authorId="0" shapeId="0">
      <text>
        <t>https://www.sec.gov/Archives/edgar/data/1730168/000173016823000096/0001730168-23-000096-index.html
{"tag": "us-gaap:IntangibleAssetsNetExcludingGoodwill", "form": "10-K", "accession": "0001730168-23-000096", "filed": "2023-12-14"}</t>
      </text>
    </comment>
    <comment ref="D370" authorId="0" shapeId="0">
      <text>
        <t>https://www.sec.gov/Archives/edgar/data/1730168/000173016824000139/0001730168-24-000139-index.html
{"tag": "us-gaap:IntangibleAssetsNetExcludingGoodwill", "form": "10-K", "accession": "0001730168-24-000139", "filed": "2024-12-20"}</t>
      </text>
    </comment>
    <comment ref="D371" authorId="0" shapeId="0">
      <text>
        <t>https://www.sec.gov/Archives/edgar/data/1730168/000173016825000121/0001730168-25-000121-index.html
{"tag": "us-gaap:IntangibleAssetsNetExcludingGoodwill", "form": "10-K", "accession": "0001730168-25-000121", "filed": "2025-12-18"}</t>
      </text>
    </comment>
    <comment ref="D372" authorId="0" shapeId="0">
      <text>
        <t>https://www.sec.gov/Archives/edgar/data/1730168/000173016825000121/0001730168-25-000121-index.html
{"tag": "us-gaap:IntangibleAssetsNetExcludingGoodwill", "form": "10-K", "accession": "0001730168-25-000121", "filed": "2025-12-18"}</t>
      </text>
    </comment>
    <comment ref="D373" authorId="0" shapeId="0">
      <text>
        <t xml:space="preserve">
null</t>
      </text>
    </comment>
    <comment ref="D374" authorId="0" shapeId="0">
      <text>
        <t>https://www.sec.gov/Archives/edgar/data/1730168/000173016818000084/0001730168-18-000084-index.html
{"tag": "us-gaap:Assets", "form": "10-K", "accession": "0001730168-18-000084", "filed": "2018-12-21"}</t>
      </text>
    </comment>
    <comment ref="D375" authorId="0" shapeId="0">
      <text>
        <t>https://www.sec.gov/Archives/edgar/data/1730168/000173016819000144/0001730168-19-000144-index.html
{"tag": "us-gaap:Assets", "form": "10-K", "accession": "0001730168-19-000144", "filed": "2019-12-20"}</t>
      </text>
    </comment>
    <comment ref="D376" authorId="0" shapeId="0">
      <text>
        <t>https://www.sec.gov/Archives/edgar/data/1730168/000173016820000226/0001730168-20-000226-index.html
{"tag": "us-gaap:Assets", "form": "10-K", "accession": "0001730168-20-000226", "filed": "2020-12-18"}</t>
      </text>
    </comment>
    <comment ref="D377" authorId="0" shapeId="0">
      <text>
        <t>https://www.sec.gov/Archives/edgar/data/1730168/000173016821000153/0001730168-21-000153-index.html
{"tag": "us-gaap:Assets", "form": "10-K", "accession": "0001730168-21-000153", "filed": "2021-12-17"}</t>
      </text>
    </comment>
    <comment ref="D378" authorId="0" shapeId="0">
      <text>
        <t>https://www.sec.gov/Archives/edgar/data/1730168/000173016822000118/0001730168-22-000118-index.html
{"tag": "us-gaap:Assets", "form": "10-K", "accession": "0001730168-22-000118", "filed": "2022-12-16"}</t>
      </text>
    </comment>
    <comment ref="D379" authorId="0" shapeId="0">
      <text>
        <t>https://www.sec.gov/Archives/edgar/data/1730168/000173016823000096/0001730168-23-000096-index.html
{"tag": "us-gaap:Assets", "form": "10-K", "accession": "0001730168-23-000096", "filed": "2023-12-14"}</t>
      </text>
    </comment>
    <comment ref="D380" authorId="0" shapeId="0">
      <text>
        <t>https://www.sec.gov/Archives/edgar/data/1730168/000173016824000139/0001730168-24-000139-index.html
{"tag": "us-gaap:Assets", "form": "10-K", "accession": "0001730168-24-000139", "filed": "2024-12-20"}</t>
      </text>
    </comment>
    <comment ref="D381" authorId="0" shapeId="0">
      <text>
        <t>https://www.sec.gov/Archives/edgar/data/1730168/000173016825000121/0001730168-25-000121-index.html
{"tag": "us-gaap:Assets", "form": "10-K", "accession": "0001730168-25-000121", "filed": "2025-12-18"}</t>
      </text>
    </comment>
    <comment ref="D382" authorId="0" shapeId="0">
      <text>
        <t>https://www.sec.gov/Archives/edgar/data/1730168/000173016825000121/0001730168-25-000121-index.html
{"tag": "us-gaap:Assets", "form": "10-K", "accession": "0001730168-25-000121", "filed": "2025-12-18"}</t>
      </text>
    </comment>
    <comment ref="D383" authorId="0" shapeId="0">
      <text>
        <t xml:space="preserve">
null</t>
      </text>
    </comment>
    <comment ref="D384" authorId="0" shapeId="0">
      <text>
        <t>https://www.sec.gov/Archives/edgar/data/1730168/000173016818000084/0001730168-18-000084-index.html
{"tag": "us-gaap:AccountsPayableCurrent", "form": "10-K", "accession": "0001730168-18-000084", "filed": "2018-12-21"}</t>
      </text>
    </comment>
    <comment ref="D385" authorId="0" shapeId="0">
      <text>
        <t>https://www.sec.gov/Archives/edgar/data/1730168/000173016819000144/0001730168-19-000144-index.html
{"tag": "us-gaap:AccountsPayableCurrent", "form": "10-K", "accession": "0001730168-19-000144", "filed": "2019-12-20"}</t>
      </text>
    </comment>
    <comment ref="D386" authorId="0" shapeId="0">
      <text>
        <t>https://www.sec.gov/Archives/edgar/data/1730168/000173016820000226/0001730168-20-000226-index.html
{"tag": "us-gaap:AccountsPayableCurrent", "form": "10-K", "accession": "0001730168-20-000226", "filed": "2020-12-18"}</t>
      </text>
    </comment>
    <comment ref="D387" authorId="0" shapeId="0">
      <text>
        <t>https://www.sec.gov/Archives/edgar/data/1730168/000173016821000153/0001730168-21-000153-index.html
{"tag": "us-gaap:AccountsPayableCurrent", "form": "10-K", "accession": "0001730168-21-000153", "filed": "2021-12-17"}</t>
      </text>
    </comment>
    <comment ref="D388" authorId="0" shapeId="0">
      <text>
        <t>https://www.sec.gov/Archives/edgar/data/1730168/000173016822000118/0001730168-22-000118-index.html
{"tag": "us-gaap:AccountsPayableCurrent", "form": "10-K", "accession": "0001730168-22-000118", "filed": "2022-12-16"}</t>
      </text>
    </comment>
    <comment ref="D389" authorId="0" shapeId="0">
      <text>
        <t>https://www.sec.gov/Archives/edgar/data/1730168/000173016823000096/0001730168-23-000096-index.html
{"tag": "us-gaap:AccountsPayableCurrent", "form": "10-K", "accession": "0001730168-23-000096", "filed": "2023-12-14"}</t>
      </text>
    </comment>
    <comment ref="D390" authorId="0" shapeId="0">
      <text>
        <t>https://www.sec.gov/Archives/edgar/data/1730168/000173016824000139/0001730168-24-000139-index.html
{"tag": "us-gaap:AccountsPayableCurrent", "form": "10-K", "accession": "0001730168-24-000139", "filed": "2024-12-20"}</t>
      </text>
    </comment>
    <comment ref="D391" authorId="0" shapeId="0">
      <text>
        <t>https://www.sec.gov/Archives/edgar/data/1730168/000173016825000121/0001730168-25-000121-index.html
{"tag": "us-gaap:AccountsPayableCurrent", "form": "10-K", "accession": "0001730168-25-000121", "filed": "2025-12-18"}</t>
      </text>
    </comment>
    <comment ref="D392" authorId="0" shapeId="0">
      <text>
        <t>https://www.sec.gov/Archives/edgar/data/1730168/000173016825000121/0001730168-25-000121-index.html
{"tag": "us-gaap:AccountsPayableCurrent", "form": "10-K", "accession": "0001730168-25-000121", "filed": "2025-12-18"}</t>
      </text>
    </comment>
    <comment ref="D393" authorId="0" shapeId="0">
      <text>
        <t xml:space="preserve">
null</t>
      </text>
    </comment>
    <comment ref="D394" authorId="0" shapeId="0">
      <text>
        <t>https://www.sec.gov/Archives/edgar/data/1730168/000173016818000084/0001730168-18-000084-index.html
{"tag": "us-gaap:LiabilitiesCurrent", "form": "10-K", "accession": "0001730168-18-000084", "filed": "2018-12-21"}</t>
      </text>
    </comment>
    <comment ref="D395" authorId="0" shapeId="0">
      <text>
        <t>https://www.sec.gov/Archives/edgar/data/1730168/000173016819000144/0001730168-19-000144-index.html
{"tag": "us-gaap:LiabilitiesCurrent", "form": "10-K", "accession": "0001730168-19-000144", "filed": "2019-12-20"}</t>
      </text>
    </comment>
    <comment ref="D396" authorId="0" shapeId="0">
      <text>
        <t>https://www.sec.gov/Archives/edgar/data/1730168/000173016820000226/0001730168-20-000226-index.html
{"tag": "us-gaap:LiabilitiesCurrent", "form": "10-K", "accession": "0001730168-20-000226", "filed": "2020-12-18"}</t>
      </text>
    </comment>
    <comment ref="D397" authorId="0" shapeId="0">
      <text>
        <t>https://www.sec.gov/Archives/edgar/data/1730168/000173016821000153/0001730168-21-000153-index.html
{"tag": "us-gaap:LiabilitiesCurrent", "form": "10-K", "accession": "0001730168-21-000153", "filed": "2021-12-17"}</t>
      </text>
    </comment>
    <comment ref="D398" authorId="0" shapeId="0">
      <text>
        <t>https://www.sec.gov/Archives/edgar/data/1730168/000173016822000118/0001730168-22-000118-index.html
{"tag": "us-gaap:LiabilitiesCurrent", "form": "10-K", "accession": "0001730168-22-000118", "filed": "2022-12-16"}</t>
      </text>
    </comment>
    <comment ref="D399" authorId="0" shapeId="0">
      <text>
        <t>https://www.sec.gov/Archives/edgar/data/1730168/000173016823000096/0001730168-23-000096-index.html
{"tag": "us-gaap:LiabilitiesCurrent", "form": "10-K", "accession": "0001730168-23-000096", "filed": "2023-12-14"}</t>
      </text>
    </comment>
    <comment ref="D400" authorId="0" shapeId="0">
      <text>
        <t>https://www.sec.gov/Archives/edgar/data/1730168/000173016824000139/0001730168-24-000139-index.html
{"tag": "us-gaap:LiabilitiesCurrent", "form": "10-K", "accession": "0001730168-24-000139", "filed": "2024-12-20"}</t>
      </text>
    </comment>
    <comment ref="D401" authorId="0" shapeId="0">
      <text>
        <t>https://www.sec.gov/Archives/edgar/data/1730168/000173016825000121/0001730168-25-000121-index.html
{"tag": "us-gaap:LiabilitiesCurrent", "form": "10-K", "accession": "0001730168-25-000121", "filed": "2025-12-18"}</t>
      </text>
    </comment>
    <comment ref="D402" authorId="0" shapeId="0">
      <text>
        <t>https://www.sec.gov/Archives/edgar/data/1730168/000173016825000121/0001730168-25-000121-index.html
{"tag": "us-gaap:LiabilitiesCurrent", "form": "10-K", "accession": "0001730168-25-000121", "filed": "2025-12-18"}</t>
      </text>
    </comment>
    <comment ref="D403" authorId="0" shapeId="0">
      <text>
        <t xml:space="preserve">
null</t>
      </text>
    </comment>
    <comment ref="D404" authorId="0" shapeId="0">
      <text>
        <t>https://www.sec.gov/Archives/edgar/data/1730168/000173016818000084/0001730168-18-000084-index.html
{"tag": "us-gaap:LongTermDebtCurrent", "form": "10-K", "accession": "0001730168-18-000084", "filed": "2018-12-21"}</t>
      </text>
    </comment>
    <comment ref="D405" authorId="0" shapeId="0">
      <text>
        <t>https://www.sec.gov/Archives/edgar/data/1730168/000173016819000144/0001730168-19-000144-index.html
{"tag": "us-gaap:LongTermDebtCurrent", "form": "10-K", "accession": "0001730168-19-000144", "filed": "2019-12-20"}</t>
      </text>
    </comment>
    <comment ref="D406" authorId="0" shapeId="0">
      <text>
        <t>https://www.sec.gov/Archives/edgar/data/1730168/000173016820000226/0001730168-20-000226-index.html
{"tag": "us-gaap:LongTermDebtCurrent", "form": "10-K", "accession": "0001730168-20-000226", "filed": "2020-12-18"}</t>
      </text>
    </comment>
    <comment ref="D407" authorId="0" shapeId="0">
      <text>
        <t>https://www.sec.gov/Archives/edgar/data/1730168/000173016821000153/0001730168-21-000153-index.html
{"tag": "us-gaap:LongTermDebtCurrent", "form": "10-K", "accession": "0001730168-21-000153", "filed": "2021-12-17"}</t>
      </text>
    </comment>
    <comment ref="D408" authorId="0" shapeId="0">
      <text>
        <t>https://www.sec.gov/Archives/edgar/data/1730168/000173016822000118/0001730168-22-000118-index.html
{"tag": "us-gaap:LongTermDebtCurrent", "form": "10-K", "accession": "0001730168-22-000118", "filed": "2022-12-16"}</t>
      </text>
    </comment>
    <comment ref="D409" authorId="0" shapeId="0">
      <text>
        <t>https://www.sec.gov/Archives/edgar/data/1730168/000173016823000096/0001730168-23-000096-index.html
{"tag": "us-gaap:LongTermDebtCurrent", "form": "10-K", "accession": "0001730168-23-000096", "filed": "2023-12-14"}</t>
      </text>
    </comment>
    <comment ref="D410" authorId="0" shapeId="0">
      <text>
        <t>https://www.sec.gov/Archives/edgar/data/1730168/000173016824000139/0001730168-24-000139-index.html
{"tag": "us-gaap:LongTermDebtCurrent", "form": "10-K", "accession": "0001730168-24-000139", "filed": "2024-12-20"}</t>
      </text>
    </comment>
    <comment ref="D411" authorId="0" shapeId="0">
      <text>
        <t>https://www.sec.gov/Archives/edgar/data/1730168/000173016825000121/0001730168-25-000121-index.html
{"tag": "us-gaap:LongTermDebtCurrent", "form": "10-K", "accession": "0001730168-25-000121", "filed": "2025-12-18"}</t>
      </text>
    </comment>
    <comment ref="D412" authorId="0" shapeId="0">
      <text>
        <t>https://www.sec.gov/Archives/edgar/data/1730168/000173016825000121/0001730168-25-000121-index.html
{"tag": "us-gaap:LongTermDebtCurrent", "form": "10-K", "accession": "0001730168-25-000121", "filed": "2025-12-18"}</t>
      </text>
    </comment>
    <comment ref="D413" authorId="0" shapeId="0">
      <text>
        <t xml:space="preserve">
null</t>
      </text>
    </comment>
    <comment ref="D414" authorId="0" shapeId="0">
      <text>
        <t>https://www.sec.gov/Archives/edgar/data/1730168/000173016818000084/0001730168-18-000084-index.html
{"tag": "us-gaap:LongTermDebtNoncurrent", "form": "10-K", "accession": "0001730168-18-000084", "filed": "2018-12-21"}</t>
      </text>
    </comment>
    <comment ref="D415" authorId="0" shapeId="0">
      <text>
        <t>https://www.sec.gov/Archives/edgar/data/1730168/000173016819000144/0001730168-19-000144-index.html
{"tag": "us-gaap:LongTermDebtNoncurrent", "form": "10-K", "accession": "0001730168-19-000144", "filed": "2019-12-20"}</t>
      </text>
    </comment>
    <comment ref="D416" authorId="0" shapeId="0">
      <text>
        <t>https://www.sec.gov/Archives/edgar/data/1730168/000173016820000226/0001730168-20-000226-index.html
{"tag": "us-gaap:LongTermDebtNoncurrent", "form": "10-K", "accession": "0001730168-20-000226", "filed": "2020-12-18"}</t>
      </text>
    </comment>
    <comment ref="D417" authorId="0" shapeId="0">
      <text>
        <t>https://www.sec.gov/Archives/edgar/data/1730168/000173016821000153/0001730168-21-000153-index.html
{"tag": "us-gaap:LongTermDebtNoncurrent", "form": "10-K", "accession": "0001730168-21-000153", "filed": "2021-12-17"}</t>
      </text>
    </comment>
    <comment ref="D418" authorId="0" shapeId="0">
      <text>
        <t>https://www.sec.gov/Archives/edgar/data/1730168/000173016821000153/0001730168-21-000153-index.html
{"tag": "us-gaap:LongTermDebtNoncurrent", "form": "10-K", "accession": "0001730168-21-000153", "filed": "2021-12-17"}</t>
      </text>
    </comment>
    <comment ref="D419" authorId="0" shapeId="0">
      <text>
        <t>https://www.sec.gov/Archives/edgar/data/1730168/000173016823000096/0001730168-23-000096-index.html
{"tag": "us-gaap:LongTermDebtAndCapitalLeaseObligations", "form": "10-K", "accession": "0001730168-23-000096", "filed": "2023-12-14"}</t>
      </text>
    </comment>
    <comment ref="D420" authorId="0" shapeId="0">
      <text>
        <t>https://www.sec.gov/Archives/edgar/data/1730168/000173016824000139/0001730168-24-000139-index.html
{"tag": "us-gaap:LongTermDebtAndCapitalLeaseObligations", "form": "10-K", "accession": "0001730168-24-000139", "filed": "2024-12-20"}</t>
      </text>
    </comment>
    <comment ref="D421" authorId="0" shapeId="0">
      <text>
        <t>https://www.sec.gov/Archives/edgar/data/1730168/000173016825000121/0001730168-25-000121-index.html
{"tag": "us-gaap:LongTermDebtAndCapitalLeaseObligations", "form": "10-K", "accession": "0001730168-25-000121", "filed": "2025-12-18"}</t>
      </text>
    </comment>
    <comment ref="D422" authorId="0" shapeId="0">
      <text>
        <t>https://www.sec.gov/Archives/edgar/data/1730168/000173016825000121/0001730168-25-000121-index.html
{"tag": "us-gaap:LongTermDebtAndCapitalLeaseObligations", "form": "10-K", "accession": "0001730168-25-000121", "filed": "2025-12-18"}</t>
      </text>
    </comment>
    <comment ref="D423" authorId="0" shapeId="0">
      <text>
        <t xml:space="preserve">
null</t>
      </text>
    </comment>
    <comment ref="D424" authorId="0" shapeId="0">
      <text>
        <t xml:space="preserve">
null</t>
      </text>
    </comment>
    <comment ref="D425" authorId="0" shapeId="0">
      <text>
        <t xml:space="preserve">
null</t>
      </text>
    </comment>
    <comment ref="D426" authorId="0" shapeId="0">
      <text>
        <t xml:space="preserve">
null</t>
      </text>
    </comment>
    <comment ref="D427" authorId="0" shapeId="0">
      <text>
        <t xml:space="preserve">
null</t>
      </text>
    </comment>
    <comment ref="D428" authorId="0" shapeId="0">
      <text>
        <t xml:space="preserve">
null</t>
      </text>
    </comment>
    <comment ref="D429" authorId="0" shapeId="0">
      <text>
        <t xml:space="preserve">
null</t>
      </text>
    </comment>
    <comment ref="D430" authorId="0" shapeId="0">
      <text>
        <t xml:space="preserve">
null</t>
      </text>
    </comment>
    <comment ref="D431" authorId="0" shapeId="0">
      <text>
        <t xml:space="preserve">
null</t>
      </text>
    </comment>
    <comment ref="D432" authorId="0" shapeId="0">
      <text>
        <t xml:space="preserve">
null</t>
      </text>
    </comment>
    <comment ref="D433" authorId="0" shapeId="0">
      <text>
        <t xml:space="preserve">
null</t>
      </text>
    </comment>
    <comment ref="D434" authorId="0" shapeId="0">
      <text>
        <t xml:space="preserve">
null</t>
      </text>
    </comment>
    <comment ref="D435" authorId="0" shapeId="0">
      <text>
        <t xml:space="preserve">
null</t>
      </text>
    </comment>
    <comment ref="D436" authorId="0" shapeId="0">
      <text>
        <t xml:space="preserve">
null</t>
      </text>
    </comment>
    <comment ref="D437" authorId="0" shapeId="0">
      <text>
        <t>https://www.sec.gov/Archives/edgar/data/1730168/000173016820000226/0001730168-20-000226-index.html
{"tag": "us-gaap:OperatingLeaseLiability", "form": "10-K", "accession": "0001730168-20-000226", "filed": "2020-12-18"}</t>
      </text>
    </comment>
    <comment ref="D438" authorId="0" shapeId="0">
      <text>
        <t>https://www.sec.gov/Archives/edgar/data/1730168/000173016821000153/0001730168-21-000153-index.html
{"tag": "us-gaap:OperatingLeaseLiability", "form": "10-K", "accession": "0001730168-21-000153", "filed": "2021-12-17"}</t>
      </text>
    </comment>
    <comment ref="D439" authorId="0" shapeId="0">
      <text>
        <t>https://www.sec.gov/Archives/edgar/data/1730168/000173016822000118/0001730168-22-000118-index.html
{"tag": "us-gaap:OperatingLeaseLiability", "form": "10-K", "accession": "0001730168-22-000118", "filed": "2022-12-16"}</t>
      </text>
    </comment>
    <comment ref="D440" authorId="0" shapeId="0">
      <text>
        <t>https://www.sec.gov/Archives/edgar/data/1730168/000173016823000096/0001730168-23-000096-index.html
{"tag": "us-gaap:OperatingLeaseLiability", "form": "10-K", "accession": "0001730168-23-000096", "filed": "2023-12-14"}</t>
      </text>
    </comment>
    <comment ref="D441" authorId="0" shapeId="0">
      <text>
        <t>https://www.sec.gov/Archives/edgar/data/1730168/000173016824000139/0001730168-24-000139-index.html
{"tag": "us-gaap:OperatingLeaseLiability", "form": "10-K", "accession": "0001730168-24-000139", "filed": "2024-12-20"}</t>
      </text>
    </comment>
    <comment ref="D442" authorId="0" shapeId="0">
      <text>
        <t>https://www.sec.gov/Archives/edgar/data/1730168/000173016825000121/0001730168-25-000121-index.html
{"tag": "us-gaap:OperatingLeaseLiability", "form": "10-K", "accession": "0001730168-25-000121", "filed": "2025-12-18"}</t>
      </text>
    </comment>
    <comment ref="D443" authorId="0" shapeId="0">
      <text>
        <t xml:space="preserve">
null</t>
      </text>
    </comment>
    <comment ref="D444" authorId="0" shapeId="0">
      <text>
        <t>https://www.sec.gov/Archives/edgar/data/1730168/000173016818000084/0001730168-18-000084-index.html
{"tag": "us-gaap:Liabilities", "form": "10-K", "accession": "0001730168-18-000084", "filed": "2018-12-21"}</t>
      </text>
    </comment>
    <comment ref="D445" authorId="0" shapeId="0">
      <text>
        <t>https://www.sec.gov/Archives/edgar/data/1730168/000173016819000144/0001730168-19-000144-index.html
{"tag": "us-gaap:Liabilities", "form": "10-K", "accession": "0001730168-19-000144", "filed": "2019-12-20"}</t>
      </text>
    </comment>
    <comment ref="D446" authorId="0" shapeId="0">
      <text>
        <t>https://www.sec.gov/Archives/edgar/data/1730168/000173016820000226/0001730168-20-000226-index.html
{"tag": "us-gaap:Liabilities", "form": "10-K", "accession": "0001730168-20-000226", "filed": "2020-12-18"}</t>
      </text>
    </comment>
    <comment ref="D447" authorId="0" shapeId="0">
      <text>
        <t>https://www.sec.gov/Archives/edgar/data/1730168/000173016821000153/0001730168-21-000153-index.html
{"tag": "us-gaap:Liabilities", "form": "10-K", "accession": "0001730168-21-000153", "filed": "2021-12-17"}</t>
      </text>
    </comment>
    <comment ref="D448" authorId="0" shapeId="0">
      <text>
        <t>https://www.sec.gov/Archives/edgar/data/1730168/000173016822000118/0001730168-22-000118-index.html
{"tag": "us-gaap:Liabilities", "form": "10-K", "accession": "0001730168-22-000118", "filed": "2022-12-16"}</t>
      </text>
    </comment>
    <comment ref="D449" authorId="0" shapeId="0">
      <text>
        <t>https://www.sec.gov/Archives/edgar/data/1730168/000173016823000096/0001730168-23-000096-index.html
{"tag": "us-gaap:Liabilities", "form": "10-K", "accession": "0001730168-23-000096", "filed": "2023-12-14"}</t>
      </text>
    </comment>
    <comment ref="D450" authorId="0" shapeId="0">
      <text>
        <t>https://www.sec.gov/Archives/edgar/data/1730168/000173016824000139/0001730168-24-000139-index.html
{"tag": "us-gaap:Liabilities", "form": "10-K", "accession": "0001730168-24-000139", "filed": "2024-12-20"}</t>
      </text>
    </comment>
    <comment ref="D451" authorId="0" shapeId="0">
      <text>
        <t>https://www.sec.gov/Archives/edgar/data/1730168/000173016825000121/0001730168-25-000121-index.html
{"tag": "us-gaap:Liabilities", "form": "10-K", "accession": "0001730168-25-000121", "filed": "2025-12-18"}</t>
      </text>
    </comment>
    <comment ref="D452" authorId="0" shapeId="0">
      <text>
        <t>https://www.sec.gov/Archives/edgar/data/1730168/000173016825000121/0001730168-25-000121-index.html
{"tag": "us-gaap:Liabilities", "form": "10-K", "accession": "0001730168-25-000121", "filed": "2025-12-18"}</t>
      </text>
    </comment>
    <comment ref="D453" authorId="0" shapeId="0">
      <text>
        <t>https://www.sec.gov/Archives/edgar/data/1730168/000173016819000144/0001730168-19-000144-index.html
{"tag": "us-gaap:StockholdersEquityIncludingPortionAttributableToNoncontrollingInterest", "form": "10-K", "accession": "0001730168-19-000144", "filed": "2019-12-20"}</t>
      </text>
    </comment>
    <comment ref="D454" authorId="0" shapeId="0">
      <text>
        <t>https://www.sec.gov/Archives/edgar/data/1730168/000173016818000084/0001730168-18-000084-index.html
{"tag": "us-gaap:StockholdersEquity", "form": "10-K", "accession": "0001730168-18-000084", "filed": "2018-12-21"}</t>
      </text>
    </comment>
    <comment ref="D455" authorId="0" shapeId="0">
      <text>
        <t>https://www.sec.gov/Archives/edgar/data/1730168/000173016819000144/0001730168-19-000144-index.html
{"tag": "us-gaap:StockholdersEquity", "form": "10-K", "accession": "0001730168-19-000144", "filed": "2019-12-20"}</t>
      </text>
    </comment>
    <comment ref="D456" authorId="0" shapeId="0">
      <text>
        <t>https://www.sec.gov/Archives/edgar/data/1730168/000173016819000144/0001730168-19-000144-index.html
{"tag": "us-gaap:StockholdersEquity", "form": "10-K", "accession": "0001730168-19-000144", "filed": "2019-12-20"}</t>
      </text>
    </comment>
    <comment ref="D457" authorId="0" shapeId="0">
      <text>
        <t>https://www.sec.gov/Archives/edgar/data/1730168/000173016823000096/0001730168-23-000096-index.html
{"tag": "us-gaap:StockholdersEquityIncludingPortionAttributableToNoncontrollingInterest", "form": "10-K", "accession": "0001730168-23-000096", "filed": "2023-12-14"}</t>
      </text>
    </comment>
    <comment ref="D458" authorId="0" shapeId="0">
      <text>
        <t>https://www.sec.gov/Archives/edgar/data/1730168/000173016824000139/0001730168-24-000139-index.html
{"tag": "us-gaap:StockholdersEquityIncludingPortionAttributableToNoncontrollingInterest", "form": "10-K", "accession": "0001730168-24-000139", "filed": "2024-12-20"}</t>
      </text>
    </comment>
    <comment ref="D459" authorId="0" shapeId="0">
      <text>
        <t>https://www.sec.gov/Archives/edgar/data/1730168/000173016825000121/0001730168-25-000121-index.html
{"tag": "us-gaap:StockholdersEquityIncludingPortionAttributableToNoncontrollingInterest", "form": "10-K", "accession": "0001730168-25-000121", "filed": "2025-12-18"}</t>
      </text>
    </comment>
    <comment ref="D460" authorId="0" shapeId="0">
      <text>
        <t>https://www.sec.gov/Archives/edgar/data/1730168/000173016825000121/0001730168-25-000121-index.html
{"tag": "us-gaap:StockholdersEquityIncludingPortionAttributableToNoncontrollingInterest", "form": "10-K", "accession": "0001730168-25-000121", "filed": "2025-12-18"}</t>
      </text>
    </comment>
    <comment ref="D461" authorId="0" shapeId="0">
      <text>
        <t>https://www.sec.gov/Archives/edgar/data/1730168/000173016825000121/0001730168-25-000121-index.html
{"tag": "us-gaap:StockholdersEquityIncludingPortionAttributableToNoncontrollingInterest", "form": "10-K", "accession": "0001730168-25-000121", "filed": "2025-12-18"}</t>
      </text>
    </comment>
    <comment ref="D462" authorId="0" shapeId="0">
      <text>
        <t>https://www.sec.gov/Archives/edgar/data/1730168/000173016825000121/0001730168-25-000121-index.html
{"tag": "us-gaap:StockholdersEquityIncludingPortionAttributableToNoncontrollingInterest", "form": "10-K", "accession": "0001730168-25-000121", "filed": "2025-12-18"}</t>
      </text>
    </comment>
    <comment ref="D463" authorId="0" shapeId="0">
      <text>
        <t xml:space="preserve">
null</t>
      </text>
    </comment>
    <comment ref="D464" authorId="0" shapeId="0">
      <text>
        <t>https://www.sec.gov/Archives/edgar/data/1730168/000173016818000084/0001730168-18-000084-index.html
{"tag": "us-gaap:MinorityInterest", "form": "10-K", "accession": "0001730168-18-000084", "filed": "2018-12-21"}</t>
      </text>
    </comment>
    <comment ref="D465" authorId="0" shapeId="0">
      <text>
        <t>https://www.sec.gov/Archives/edgar/data/1730168/000173016818000084/0001730168-18-000084-index.html
{"tag": "us-gaap:MinorityInterest", "form": "10-K", "accession": "0001730168-18-000084", "filed": "2018-12-21"}</t>
      </text>
    </comment>
    <comment ref="D466" authorId="0" shapeId="0">
      <text>
        <t xml:space="preserve">
null</t>
      </text>
    </comment>
    <comment ref="D467" authorId="0" shapeId="0">
      <text>
        <t xml:space="preserve">
null</t>
      </text>
    </comment>
    <comment ref="D468" authorId="0" shapeId="0">
      <text>
        <t xml:space="preserve">
null</t>
      </text>
    </comment>
    <comment ref="D469" authorId="0" shapeId="0">
      <text>
        <t xml:space="preserve">
null</t>
      </text>
    </comment>
    <comment ref="D470" authorId="0" shapeId="0">
      <text>
        <t xml:space="preserve">
null</t>
      </text>
    </comment>
    <comment ref="D471" authorId="0" shapeId="0">
      <text>
        <t xml:space="preserve">
null</t>
      </text>
    </comment>
    <comment ref="D472" authorId="0" shapeId="0">
      <text>
        <t xml:space="preserve">
null</t>
      </text>
    </comment>
    <comment ref="D473" authorId="0" shapeId="0">
      <text>
        <t xml:space="preserve">
null</t>
      </text>
    </comment>
    <comment ref="D474" authorId="0" shapeId="0">
      <text>
        <t>https://www.sec.gov/Archives/edgar/data/1730168/000173016818000084/0001730168-18-000084-index.html
{"tag": "us-gaap:PreferredStockValue", "form": "10-K", "accession": "0001730168-18-000084", "filed": "2018-12-21"}</t>
      </text>
    </comment>
    <comment ref="D475" authorId="0" shapeId="0">
      <text>
        <t>https://www.sec.gov/Archives/edgar/data/1730168/000173016819000144/0001730168-19-000144-index.html
{"tag": "us-gaap:PreferredStockValue", "form": "10-K", "accession": "0001730168-19-000144", "filed": "2019-12-20"}</t>
      </text>
    </comment>
    <comment ref="D476" authorId="0" shapeId="0">
      <text>
        <t>https://www.sec.gov/Archives/edgar/data/1730168/000173016820000226/0001730168-20-000226-index.html
{"tag": "us-gaap:PreferredStockValue", "form": "10-K", "accession": "0001730168-20-000226", "filed": "2020-12-18"}</t>
      </text>
    </comment>
    <comment ref="D477" authorId="0" shapeId="0">
      <text>
        <t>https://www.sec.gov/Archives/edgar/data/1730168/000173016821000153/0001730168-21-000153-index.html
{"tag": "us-gaap:PreferredStockValue", "form": "10-K", "accession": "0001730168-21-000153", "filed": "2021-12-17"}</t>
      </text>
    </comment>
    <comment ref="D478" authorId="0" shapeId="0">
      <text>
        <t>https://www.sec.gov/Archives/edgar/data/1730168/000173016822000118/0001730168-22-000118-index.html
{"tag": "us-gaap:PreferredStockValue", "form": "10-K", "accession": "0001730168-22-000118", "filed": "2022-12-16"}</t>
      </text>
    </comment>
    <comment ref="D479" authorId="0" shapeId="0">
      <text>
        <t>https://www.sec.gov/Archives/edgar/data/1730168/000173016823000096/0001730168-23-000096-index.html
{"tag": "us-gaap:PreferredStockValue", "form": "10-K", "accession": "0001730168-23-000096", "filed": "2023-12-14"}</t>
      </text>
    </comment>
    <comment ref="D480" authorId="0" shapeId="0">
      <text>
        <t>https://www.sec.gov/Archives/edgar/data/1730168/000173016824000139/0001730168-24-000139-index.html
{"tag": "us-gaap:PreferredStockValue", "form": "10-K", "accession": "0001730168-24-000139", "filed": "2024-12-20"}</t>
      </text>
    </comment>
    <comment ref="D481" authorId="0" shapeId="0">
      <text>
        <t>https://www.sec.gov/Archives/edgar/data/1730168/000173016825000121/0001730168-25-000121-index.html
{"tag": "us-gaap:PreferredStockValue", "form": "10-K", "accession": "0001730168-25-000121", "filed": "2025-12-18"}</t>
      </text>
    </comment>
    <comment ref="D482" authorId="0" shapeId="0">
      <text>
        <t>https://www.sec.gov/Archives/edgar/data/1730168/000173016825000121/0001730168-25-000121-index.html
{"tag": "us-gaap:PreferredStockValue", "form": "10-K", "accession": "0001730168-25-000121", "filed": "2025-12-18"}</t>
      </text>
    </comment>
    <comment ref="D483" authorId="0" shapeId="0">
      <text>
        <t xml:space="preserve">
null</t>
      </text>
    </comment>
    <comment ref="D484" authorId="0" shapeId="0">
      <text>
        <t>https://www.sec.gov/Archives/edgar/data/1730168/000173016818000084/0001730168-18-000084-index.html
{"tag": "us-gaap:CommonStockSharesOutstanding", "form": "10-K", "accession": "0001730168-18-000084", "filed": "2018-12-21"}</t>
      </text>
    </comment>
    <comment ref="D485" authorId="0" shapeId="0">
      <text>
        <t>https://www.sec.gov/Archives/edgar/data/1730168/000173016819000144/0001730168-19-000144-index.html
{"tag": "us-gaap:CommonStockSharesOutstanding", "form": "10-K", "accession": "0001730168-19-000144", "filed": "2019-12-20"}</t>
      </text>
    </comment>
    <comment ref="D486" authorId="0" shapeId="0">
      <text>
        <t>https://www.sec.gov/Archives/edgar/data/1730168/000173016820000226/0001730168-20-000226-index.html
{"tag": "us-gaap:CommonStockSharesOutstanding", "form": "10-K", "accession": "0001730168-20-000226", "filed": "2020-12-18"}</t>
      </text>
    </comment>
    <comment ref="D487" authorId="0" shapeId="0">
      <text>
        <t>https://www.sec.gov/Archives/edgar/data/1730168/000173016821000153/0001730168-21-000153-index.html
{"tag": "us-gaap:CommonStockSharesOutstanding", "form": "10-K", "accession": "0001730168-21-000153", "filed": "2021-12-17"}</t>
      </text>
    </comment>
    <comment ref="D488" authorId="0" shapeId="0">
      <text>
        <t>https://www.sec.gov/Archives/edgar/data/1730168/000173016822000118/0001730168-22-000118-index.html
{"tag": "us-gaap:CommonStockSharesOutstanding", "form": "10-K", "accession": "0001730168-22-000118", "filed": "2022-12-16"}</t>
      </text>
    </comment>
    <comment ref="D489" authorId="0" shapeId="0">
      <text>
        <t>https://www.sec.gov/Archives/edgar/data/1730168/000173016823000096/0001730168-23-000096-index.html
{"tag": "us-gaap:CommonStockSharesOutstanding", "form": "10-K", "accession": "0001730168-23-000096", "filed": "2023-12-14"}</t>
      </text>
    </comment>
    <comment ref="D490" authorId="0" shapeId="0">
      <text>
        <t>https://www.sec.gov/Archives/edgar/data/1730168/000173016824000139/0001730168-24-000139-index.html
{"tag": "us-gaap:CommonStockSharesOutstanding", "form": "10-K", "accession": "0001730168-24-000139", "filed": "2024-12-20"}</t>
      </text>
    </comment>
    <comment ref="D491" authorId="0" shapeId="0">
      <text>
        <t>https://www.sec.gov/Archives/edgar/data/1730168/000173016825000121/0001730168-25-000121-index.html
{"tag": "us-gaap:CommonStockSharesOutstanding", "form": "10-K", "accession": "0001730168-25-000121", "filed": "2025-12-18"}</t>
      </text>
    </comment>
    <comment ref="D492" authorId="0" shapeId="0">
      <text>
        <t>https://www.sec.gov/Archives/edgar/data/1730168/000173016825000121/0001730168-25-000121-index.html
{"tag": "us-gaap:CommonStockSharesOutstanding", "form": "10-K", "accession": "0001730168-25-000121", "filed": "2025-12-18"}</t>
      </text>
    </comment>
    <comment ref="D493" authorId="0" shapeId="0">
      <text>
        <t xml:space="preserve">
null</t>
      </text>
    </comment>
    <comment ref="D494" authorId="0" shapeId="0">
      <text>
        <t xml:space="preserve">
null</t>
      </text>
    </comment>
    <comment ref="D495" authorId="0" shapeId="0">
      <text>
        <t>https://www.sec.gov/Archives/edgar/data/1730168/000173016818000084/0001730168-18-000084-index.html
{"tag": "us-gaap:LongTermDebtMaturitiesRepaymentsOfPrincipalInNextTwelveMonths", "form": "10-K", "accession": "0001730168-18-000084", "filed": "2018-12-21"}</t>
      </text>
    </comment>
    <comment ref="D496" authorId="0" shapeId="0">
      <text>
        <t>https://www.sec.gov/Archives/edgar/data/1730168/000173016819000144/0001730168-19-000144-index.html
{"tag": "us-gaap:LongTermDebtMaturitiesRepaymentsOfPrincipalInNextTwelveMonths", "form": "10-K", "accession": "0001730168-19-000144", "filed": "2019-12-20"}</t>
      </text>
    </comment>
    <comment ref="D497" authorId="0" shapeId="0">
      <text>
        <t xml:space="preserve">
null</t>
      </text>
    </comment>
    <comment ref="D498" authorId="0" shapeId="0">
      <text>
        <t>https://www.sec.gov/Archives/edgar/data/1730168/000173016821000153/0001730168-21-000153-index.html
{"tag": "us-gaap:LongTermDebtMaturitiesRepaymentsOfPrincipalInNextTwelveMonths", "form": "10-K", "accession": "0001730168-21-000153", "filed": "2021-12-17"}</t>
      </text>
    </comment>
    <comment ref="D499" authorId="0" shapeId="0">
      <text>
        <t>https://www.sec.gov/Archives/edgar/data/1730168/000173016822000118/0001730168-22-000118-index.html
{"tag": "us-gaap:LongTermDebtMaturitiesRepaymentsOfPrincipalInNextTwelveMonths", "form": "10-K", "accession": "0001730168-22-000118", "filed": "2022-12-16"}</t>
      </text>
    </comment>
    <comment ref="D500" authorId="0" shapeId="0">
      <text>
        <t>https://www.sec.gov/Archives/edgar/data/1730168/000173016823000096/0001730168-23-000096-index.html
{"tag": "us-gaap:LongTermDebtMaturitiesRepaymentsOfPrincipalInNextTwelveMonths", "form": "10-K", "accession": "0001730168-23-000096", "filed": "2023-12-14"}</t>
      </text>
    </comment>
    <comment ref="D501" authorId="0" shapeId="0">
      <text>
        <t>https://www.sec.gov/Archives/edgar/data/1730168/000173016824000139/0001730168-24-000139-index.html
{"tag": "us-gaap:LongTermDebtMaturitiesRepaymentsOfPrincipalInNextTwelveMonths", "form": "10-K", "accession": "0001730168-24-000139", "filed": "2024-12-20"}</t>
      </text>
    </comment>
    <comment ref="D502" authorId="0" shapeId="0">
      <text>
        <t>https://www.sec.gov/Archives/edgar/data/1730168/000173016825000121/0001730168-25-000121-index.html
{"tag": "us-gaap:LongTermDebtMaturitiesRepaymentsOfPrincipalInNextTwelveMonths", "form": "10-K", "accession": "0001730168-25-000121", "filed": "2025-12-18"}</t>
      </text>
    </comment>
    <comment ref="D503" authorId="0" shapeId="0">
      <text>
        <t xml:space="preserve">
null</t>
      </text>
    </comment>
    <comment ref="D504" authorId="0" shapeId="0">
      <text>
        <t xml:space="preserve">
null</t>
      </text>
    </comment>
    <comment ref="D505" authorId="0" shapeId="0">
      <text>
        <t>https://www.sec.gov/Archives/edgar/data/1730168/000173016818000084/0001730168-18-000084-index.html
{"tag": "us-gaap:LongTermDebtMaturitiesRepaymentsOfPrincipalInYearTwo", "form": "10-K", "accession": "0001730168-18-000084", "filed": "2018-12-21"}</t>
      </text>
    </comment>
    <comment ref="D506" authorId="0" shapeId="0">
      <text>
        <t>https://www.sec.gov/Archives/edgar/data/1730168/000173016819000144/0001730168-19-000144-index.html
{"tag": "us-gaap:LongTermDebtMaturitiesRepaymentsOfPrincipalInYearTwo", "form": "10-K", "accession": "0001730168-19-000144", "filed": "2019-12-20"}</t>
      </text>
    </comment>
    <comment ref="D507" authorId="0" shapeId="0">
      <text>
        <t>https://www.sec.gov/Archives/edgar/data/1730168/000173016820000226/0001730168-20-000226-index.html
{"tag": "us-gaap:LongTermDebtMaturitiesRepaymentsOfPrincipalInYearTwo", "form": "10-K", "accession": "0001730168-20-000226", "filed": "2020-12-18"}</t>
      </text>
    </comment>
    <comment ref="D508" authorId="0" shapeId="0">
      <text>
        <t>https://www.sec.gov/Archives/edgar/data/1730168/000173016821000153/0001730168-21-000153-index.html
{"tag": "us-gaap:LongTermDebtMaturitiesRepaymentsOfPrincipalInYearTwo", "form": "10-K", "accession": "0001730168-21-000153", "filed": "2021-12-17"}</t>
      </text>
    </comment>
    <comment ref="D509" authorId="0" shapeId="0">
      <text>
        <t>https://www.sec.gov/Archives/edgar/data/1730168/000173016822000118/0001730168-22-000118-index.html
{"tag": "us-gaap:LongTermDebtMaturitiesRepaymentsOfPrincipalInYearTwo", "form": "10-K", "accession": "0001730168-22-000118", "filed": "2022-12-16"}</t>
      </text>
    </comment>
    <comment ref="D510" authorId="0" shapeId="0">
      <text>
        <t>https://www.sec.gov/Archives/edgar/data/1730168/000173016823000096/0001730168-23-000096-index.html
{"tag": "us-gaap:LongTermDebtMaturitiesRepaymentsOfPrincipalInYearTwo", "form": "10-K", "accession": "0001730168-23-000096", "filed": "2023-12-14"}</t>
      </text>
    </comment>
    <comment ref="D511" authorId="0" shapeId="0">
      <text>
        <t>https://www.sec.gov/Archives/edgar/data/1730168/000173016824000139/0001730168-24-000139-index.html
{"tag": "us-gaap:LongTermDebtMaturitiesRepaymentsOfPrincipalInYearTwo", "form": "10-K", "accession": "0001730168-24-000139", "filed": "2024-12-20"}</t>
      </text>
    </comment>
    <comment ref="D512" authorId="0" shapeId="0">
      <text>
        <t>https://www.sec.gov/Archives/edgar/data/1730168/000173016825000121/0001730168-25-000121-index.html
{"tag": "us-gaap:LongTermDebtMaturitiesRepaymentsOfPrincipalInYearTwo", "form": "10-K", "accession": "0001730168-25-000121", "filed": "2025-12-18"}</t>
      </text>
    </comment>
    <comment ref="D513" authorId="0" shapeId="0">
      <text>
        <t xml:space="preserve">
null</t>
      </text>
    </comment>
    <comment ref="D514" authorId="0" shapeId="0">
      <text>
        <t xml:space="preserve">
null</t>
      </text>
    </comment>
    <comment ref="D515" authorId="0" shapeId="0">
      <text>
        <t>https://www.sec.gov/Archives/edgar/data/1730168/000173016818000084/0001730168-18-000084-index.html
{"tag": "us-gaap:LongTermDebtMaturitiesRepaymentsOfPrincipalInYearThree", "form": "10-K", "accession": "0001730168-18-000084", "filed": "2018-12-21"}</t>
      </text>
    </comment>
    <comment ref="D516" authorId="0" shapeId="0">
      <text>
        <t>https://www.sec.gov/Archives/edgar/data/1730168/000173016819000144/0001730168-19-000144-index.html
{"tag": "us-gaap:LongTermDebtMaturitiesRepaymentsOfPrincipalInYearThree", "form": "10-K", "accession": "0001730168-19-000144", "filed": "2019-12-20"}</t>
      </text>
    </comment>
    <comment ref="D517" authorId="0" shapeId="0">
      <text>
        <t>https://www.sec.gov/Archives/edgar/data/1730168/000173016820000226/0001730168-20-000226-index.html
{"tag": "us-gaap:LongTermDebtMaturitiesRepaymentsOfPrincipalInYearThree", "form": "10-K", "accession": "0001730168-20-000226", "filed": "2020-12-18"}</t>
      </text>
    </comment>
    <comment ref="D518" authorId="0" shapeId="0">
      <text>
        <t>https://www.sec.gov/Archives/edgar/data/1730168/000173016821000153/0001730168-21-000153-index.html
{"tag": "us-gaap:LongTermDebtMaturitiesRepaymentsOfPrincipalInYearThree", "form": "10-K", "accession": "0001730168-21-000153", "filed": "2021-12-17"}</t>
      </text>
    </comment>
    <comment ref="D519" authorId="0" shapeId="0">
      <text>
        <t>https://www.sec.gov/Archives/edgar/data/1730168/000173016822000118/0001730168-22-000118-index.html
{"tag": "us-gaap:LongTermDebtMaturitiesRepaymentsOfPrincipalInYearThree", "form": "10-K", "accession": "0001730168-22-000118", "filed": "2022-12-16"}</t>
      </text>
    </comment>
    <comment ref="D520" authorId="0" shapeId="0">
      <text>
        <t>https://www.sec.gov/Archives/edgar/data/1730168/000173016823000096/0001730168-23-000096-index.html
{"tag": "us-gaap:LongTermDebtMaturitiesRepaymentsOfPrincipalInYearThree", "form": "10-K", "accession": "0001730168-23-000096", "filed": "2023-12-14"}</t>
      </text>
    </comment>
    <comment ref="D521" authorId="0" shapeId="0">
      <text>
        <t>https://www.sec.gov/Archives/edgar/data/1730168/000173016824000139/0001730168-24-000139-index.html
{"tag": "us-gaap:LongTermDebtMaturitiesRepaymentsOfPrincipalInYearThree", "form": "10-K", "accession": "0001730168-24-000139", "filed": "2024-12-20"}</t>
      </text>
    </comment>
    <comment ref="D522" authorId="0" shapeId="0">
      <text>
        <t>https://www.sec.gov/Archives/edgar/data/1730168/000173016825000121/0001730168-25-000121-index.html
{"tag": "us-gaap:LongTermDebtMaturitiesRepaymentsOfPrincipalInYearThree", "form": "10-K", "accession": "0001730168-25-000121", "filed": "2025-12-18"}</t>
      </text>
    </comment>
    <comment ref="D523" authorId="0" shapeId="0">
      <text>
        <t xml:space="preserve">
null</t>
      </text>
    </comment>
    <comment ref="D524" authorId="0" shapeId="0">
      <text>
        <t xml:space="preserve">
null</t>
      </text>
    </comment>
    <comment ref="D525" authorId="0" shapeId="0">
      <text>
        <t>https://www.sec.gov/Archives/edgar/data/1730168/000173016818000084/0001730168-18-000084-index.html
{"tag": "us-gaap:LongTermDebtMaturitiesRepaymentsOfPrincipalInYearFour", "form": "10-K", "accession": "0001730168-18-000084", "filed": "2018-12-21"}</t>
      </text>
    </comment>
    <comment ref="D526" authorId="0" shapeId="0">
      <text>
        <t>https://www.sec.gov/Archives/edgar/data/1730168/000173016819000144/0001730168-19-000144-index.html
{"tag": "us-gaap:LongTermDebtMaturitiesRepaymentsOfPrincipalInYearFour", "form": "10-K", "accession": "0001730168-19-000144", "filed": "2019-12-20"}</t>
      </text>
    </comment>
    <comment ref="D527" authorId="0" shapeId="0">
      <text>
        <t>https://www.sec.gov/Archives/edgar/data/1730168/000173016820000226/0001730168-20-000226-index.html
{"tag": "us-gaap:LongTermDebtMaturitiesRepaymentsOfPrincipalInYearFour", "form": "10-K", "accession": "0001730168-20-000226", "filed": "2020-12-18"}</t>
      </text>
    </comment>
    <comment ref="D528" authorId="0" shapeId="0">
      <text>
        <t>https://www.sec.gov/Archives/edgar/data/1730168/000173016821000153/0001730168-21-000153-index.html
{"tag": "us-gaap:LongTermDebtMaturitiesRepaymentsOfPrincipalInYearFour", "form": "10-K", "accession": "0001730168-21-000153", "filed": "2021-12-17"}</t>
      </text>
    </comment>
    <comment ref="D529" authorId="0" shapeId="0">
      <text>
        <t>https://www.sec.gov/Archives/edgar/data/1730168/000173016822000118/0001730168-22-000118-index.html
{"tag": "us-gaap:LongTermDebtMaturitiesRepaymentsOfPrincipalInYearFour", "form": "10-K", "accession": "0001730168-22-000118", "filed": "2022-12-16"}</t>
      </text>
    </comment>
    <comment ref="D530" authorId="0" shapeId="0">
      <text>
        <t>https://www.sec.gov/Archives/edgar/data/1730168/000173016823000096/0001730168-23-000096-index.html
{"tag": "us-gaap:LongTermDebtMaturitiesRepaymentsOfPrincipalInYearFour", "form": "10-K", "accession": "0001730168-23-000096", "filed": "2023-12-14"}</t>
      </text>
    </comment>
    <comment ref="D531" authorId="0" shapeId="0">
      <text>
        <t>https://www.sec.gov/Archives/edgar/data/1730168/000173016824000139/0001730168-24-000139-index.html
{"tag": "us-gaap:LongTermDebtMaturitiesRepaymentsOfPrincipalInYearFour", "form": "10-K", "accession": "0001730168-24-000139", "filed": "2024-12-20"}</t>
      </text>
    </comment>
    <comment ref="D532" authorId="0" shapeId="0">
      <text>
        <t>https://www.sec.gov/Archives/edgar/data/1730168/000173016825000121/0001730168-25-000121-index.html
{"tag": "us-gaap:LongTermDebtMaturitiesRepaymentsOfPrincipalInYearFour", "form": "10-K", "accession": "0001730168-25-000121", "filed": "2025-12-18"}</t>
      </text>
    </comment>
    <comment ref="D533" authorId="0" shapeId="0">
      <text>
        <t xml:space="preserve">
null</t>
      </text>
    </comment>
    <comment ref="D534" authorId="0" shapeId="0">
      <text>
        <t xml:space="preserve">
null</t>
      </text>
    </comment>
    <comment ref="D535" authorId="0" shapeId="0">
      <text>
        <t>https://www.sec.gov/Archives/edgar/data/1730168/000173016818000084/0001730168-18-000084-index.html
{"tag": "us-gaap:LongTermDebtMaturitiesRepaymentsOfPrincipalInYearFive", "form": "10-K", "accession": "0001730168-18-000084", "filed": "2018-12-21"}</t>
      </text>
    </comment>
    <comment ref="D536" authorId="0" shapeId="0">
      <text>
        <t>https://www.sec.gov/Archives/edgar/data/1730168/000173016819000144/0001730168-19-000144-index.html
{"tag": "us-gaap:LongTermDebtMaturitiesRepaymentsOfPrincipalInYearFive", "form": "10-K", "accession": "0001730168-19-000144", "filed": "2019-12-20"}</t>
      </text>
    </comment>
    <comment ref="D537" authorId="0" shapeId="0">
      <text>
        <t>https://www.sec.gov/Archives/edgar/data/1730168/000173016820000226/0001730168-20-000226-index.html
{"tag": "us-gaap:LongTermDebtMaturitiesRepaymentsOfPrincipalInYearFive", "form": "10-K", "accession": "0001730168-20-000226", "filed": "2020-12-18"}</t>
      </text>
    </comment>
    <comment ref="D538" authorId="0" shapeId="0">
      <text>
        <t>https://www.sec.gov/Archives/edgar/data/1730168/000173016821000153/0001730168-21-000153-index.html
{"tag": "us-gaap:LongTermDebtMaturitiesRepaymentsOfPrincipalInYearFive", "form": "10-K", "accession": "0001730168-21-000153", "filed": "2021-12-17"}</t>
      </text>
    </comment>
    <comment ref="D539" authorId="0" shapeId="0">
      <text>
        <t>https://www.sec.gov/Archives/edgar/data/1730168/000173016822000118/0001730168-22-000118-index.html
{"tag": "us-gaap:LongTermDebtMaturitiesRepaymentsOfPrincipalInYearFive", "form": "10-K", "accession": "0001730168-22-000118", "filed": "2022-12-16"}</t>
      </text>
    </comment>
    <comment ref="D540" authorId="0" shapeId="0">
      <text>
        <t>https://www.sec.gov/Archives/edgar/data/1730168/000173016823000096/0001730168-23-000096-index.html
{"tag": "us-gaap:LongTermDebtMaturitiesRepaymentsOfPrincipalInYearFive", "form": "10-K", "accession": "0001730168-23-000096", "filed": "2023-12-14"}</t>
      </text>
    </comment>
    <comment ref="D541" authorId="0" shapeId="0">
      <text>
        <t>https://www.sec.gov/Archives/edgar/data/1730168/000173016824000139/0001730168-24-000139-index.html
{"tag": "us-gaap:LongTermDebtMaturitiesRepaymentsOfPrincipalInYearFive", "form": "10-K", "accession": "0001730168-24-000139", "filed": "2024-12-20"}</t>
      </text>
    </comment>
    <comment ref="D542" authorId="0" shapeId="0">
      <text>
        <t>https://www.sec.gov/Archives/edgar/data/1730168/000173016825000121/0001730168-25-000121-index.html
{"tag": "us-gaap:LongTermDebtMaturitiesRepaymentsOfPrincipalInYearFive", "form": "10-K", "accession": "0001730168-25-000121", "filed": "2025-12-18"}</t>
      </text>
    </comment>
    <comment ref="D543" authorId="0" shapeId="0">
      <text>
        <t xml:space="preserve">
null</t>
      </text>
    </comment>
    <comment ref="D544" authorId="0" shapeId="0">
      <text>
        <t xml:space="preserve">
null</t>
      </text>
    </comment>
    <comment ref="D545" authorId="0" shapeId="0">
      <text>
        <t>https://www.sec.gov/Archives/edgar/data/1730168/000173016818000084/0001730168-18-000084-index.html
{"tag": "us-gaap:LongTermDebtMaturitiesRepaymentsOfPrincipalAfterYearFive", "form": "10-K", "accession": "0001730168-18-000084", "filed": "2018-12-21"}</t>
      </text>
    </comment>
    <comment ref="D546" authorId="0" shapeId="0">
      <text>
        <t>https://www.sec.gov/Archives/edgar/data/1730168/000173016819000144/0001730168-19-000144-index.html
{"tag": "us-gaap:LongTermDebtMaturitiesRepaymentsOfPrincipalAfterYearFive", "form": "10-K", "accession": "0001730168-19-000144", "filed": "2019-12-20"}</t>
      </text>
    </comment>
    <comment ref="D547" authorId="0" shapeId="0">
      <text>
        <t>https://www.sec.gov/Archives/edgar/data/1730168/000173016820000226/0001730168-20-000226-index.html
{"tag": "us-gaap:LongTermDebtMaturitiesRepaymentsOfPrincipalAfterYearFive", "form": "10-K", "accession": "0001730168-20-000226", "filed": "2020-12-18"}</t>
      </text>
    </comment>
    <comment ref="D548" authorId="0" shapeId="0">
      <text>
        <t>https://www.sec.gov/Archives/edgar/data/1730168/000173016821000153/0001730168-21-000153-index.html
{"tag": "us-gaap:LongTermDebtMaturitiesRepaymentsOfPrincipalAfterYearFive", "form": "10-K", "accession": "0001730168-21-000153", "filed": "2021-12-17"}</t>
      </text>
    </comment>
    <comment ref="D549" authorId="0" shapeId="0">
      <text>
        <t>https://www.sec.gov/Archives/edgar/data/1730168/000173016822000118/0001730168-22-000118-index.html
{"tag": "us-gaap:LongTermDebtMaturitiesRepaymentsOfPrincipalAfterYearFive", "form": "10-K", "accession": "0001730168-22-000118", "filed": "2022-12-16"}</t>
      </text>
    </comment>
    <comment ref="D550" authorId="0" shapeId="0">
      <text>
        <t>https://www.sec.gov/Archives/edgar/data/1730168/000173016823000096/0001730168-23-000096-index.html
{"tag": "us-gaap:LongTermDebtMaturitiesRepaymentsOfPrincipalAfterYearFive", "form": "10-K", "accession": "0001730168-23-000096", "filed": "2023-12-14"}</t>
      </text>
    </comment>
    <comment ref="D551" authorId="0" shapeId="0">
      <text>
        <t>https://www.sec.gov/Archives/edgar/data/1730168/000173016824000139/0001730168-24-000139-index.html
{"tag": "us-gaap:LongTermDebtMaturitiesRepaymentsOfPrincipalAfterYearFive", "form": "10-K", "accession": "0001730168-24-000139", "filed": "2024-12-20"}</t>
      </text>
    </comment>
    <comment ref="D552" authorId="0" shapeId="0">
      <text>
        <t>https://www.sec.gov/Archives/edgar/data/1730168/000173016825000121/0001730168-25-000121-index.html
{"tag": "us-gaap:LongTermDebtMaturitiesRepaymentsOfPrincipalAfterYearFive", "form": "10-K", "accession": "0001730168-25-000121", "filed": "2025-12-18"}</t>
      </text>
    </comment>
    <comment ref="D553" authorId="0" shapeId="0">
      <text>
        <t>https://www.sec.gov/Archives/edgar/data/1730168/000173016826000080/0001730168-26-000080-index.html
{"parts": [{"tag": "us-gaap:CashAndCashEquivalentsAtCarryingValue", "value": 23975000000.0, "sign": 1, "accession": "0001730168-26-000080"}]}</t>
      </text>
    </comment>
    <comment ref="D554" authorId="0" shapeId="0">
      <text>
        <t>https://www.sec.gov/Archives/edgar/data/1730168/000173016826000080/0001730168-26-000080-index.html
{"tag": "us-gaap:AccountsReceivableNetCurrent", "form": "10-Q", "accession": "0001730168-26-000080", "filed": "2026-09-10"}</t>
      </text>
    </comment>
    <comment ref="D555" authorId="0" shapeId="0">
      <text>
        <t>https://www.sec.gov/Archives/edgar/data/1730168/000173016826000080/0001730168-26-000080-index.html
{"tag": "us-gaap:InventoryNet", "form": "10-Q", "accession": "0001730168-26-000080", "filed": "2026-09-10"}</t>
      </text>
    </comment>
    <comment ref="D556" authorId="0" shapeId="0">
      <text>
        <t>https://www.sec.gov/Archives/edgar/data/1730168/000173016826000080/0001730168-26-000080-index.html
{"tag": "us-gaap:AssetsCurrent", "form": "10-Q", "accession": "0001730168-26-000080", "filed": "2026-09-10"}</t>
      </text>
    </comment>
    <comment ref="D557" authorId="0" shapeId="0">
      <text>
        <t>https://www.sec.gov/Archives/edgar/data/1730168/000173016826000080/0001730168-26-000080-index.html
{"tag": "us-gaap:PropertyPlantAndEquipmentNet", "form": "10-Q", "accession": "0001730168-26-000080", "filed": "2026-09-10"}</t>
      </text>
    </comment>
    <comment ref="D558" authorId="0" shapeId="0">
      <text>
        <t>https://www.sec.gov/Archives/edgar/data/1730168/000173016826000080/0001730168-26-000080-index.html
{"tag": "us-gaap:Goodwill", "form": "10-Q", "accession": "0001730168-26-000080", "filed": "2026-09-10"}</t>
      </text>
    </comment>
    <comment ref="D559" authorId="0" shapeId="0">
      <text>
        <t>https://www.sec.gov/Archives/edgar/data/1730168/000173016826000080/0001730168-26-000080-index.html
{"tag": "us-gaap:IntangibleAssetsNetExcludingGoodwill", "form": "10-Q", "accession": "0001730168-26-000080", "filed": "2026-09-10"}</t>
      </text>
    </comment>
    <comment ref="D560" authorId="0" shapeId="0">
      <text>
        <t>https://www.sec.gov/Archives/edgar/data/1730168/000173016826000080/0001730168-26-000080-index.html
{"tag": "us-gaap:Assets", "form": "10-Q", "accession": "0001730168-26-000080", "filed": "2026-09-10"}</t>
      </text>
    </comment>
    <comment ref="D561" authorId="0" shapeId="0">
      <text>
        <t>https://www.sec.gov/Archives/edgar/data/1730168/000173016826000080/0001730168-26-000080-index.html
{"tag": "us-gaap:AccountsPayableCurrent", "form": "10-Q", "accession": "0001730168-26-000080", "filed": "2026-09-10"}</t>
      </text>
    </comment>
    <comment ref="D562" authorId="0" shapeId="0">
      <text>
        <t>https://www.sec.gov/Archives/edgar/data/1730168/000173016826000080/0001730168-26-000080-index.html
{"tag": "us-gaap:LiabilitiesCurrent", "form": "10-Q", "accession": "0001730168-26-000080", "filed": "2026-09-10"}</t>
      </text>
    </comment>
    <comment ref="D563" authorId="0" shapeId="0">
      <text>
        <t>https://www.sec.gov/Archives/edgar/data/1730168/000173016826000080/0001730168-26-000080-index.html
{"tag": "us-gaap:DebtCurrent", "form": "10-Q", "accession": "0001730168-26-000080", "filed": "2026-09-10"}</t>
      </text>
    </comment>
    <comment ref="D564" authorId="0" shapeId="0">
      <text>
        <t>https://www.sec.gov/Archives/edgar/data/1730168/000173016826000080/0001730168-26-000080-index.html
{"tag": "us-gaap:LongTermDebtNoncurrent", "form": "10-Q", "accession": "0001730168-26-000080", "filed": "2026-09-10"}</t>
      </text>
    </comment>
    <comment ref="D565" authorId="0" shapeId="0">
      <text>
        <t xml:space="preserve">
null</t>
      </text>
    </comment>
    <comment ref="D566" authorId="0" shapeId="0">
      <text>
        <t xml:space="preserve">
null</t>
      </text>
    </comment>
    <comment ref="D567" authorId="0" shapeId="0">
      <text>
        <t>https://www.sec.gov/Archives/edgar/data/1730168/000173016826000080/0001730168-26-000080-index.html
{"tag": "us-gaap:Liabilities", "form": "10-Q", "accession": "0001730168-26-000080", "filed": "2026-09-10"}</t>
      </text>
    </comment>
    <comment ref="D568" authorId="0" shapeId="0">
      <text>
        <t>https://www.sec.gov/Archives/edgar/data/1730168/000173016826000080/0001730168-26-000080-index.html
{"tag": "us-gaap:StockholdersEquityIncludingPortionAttributableToNoncontrollingInterest", "form": "10-Q", "accession": "0001730168-26-000080", "filed": "2026-09-10"}</t>
      </text>
    </comment>
    <comment ref="D569" authorId="0" shapeId="0">
      <text>
        <t xml:space="preserve">
null</t>
      </text>
    </comment>
    <comment ref="D570" authorId="0" shapeId="0">
      <text>
        <t>https://www.sec.gov/Archives/edgar/data/1730168/000173016826000080/0001730168-26-000080-index.html
{"tag": "us-gaap:PreferredStockValue", "form": "10-Q", "accession": "0001730168-26-000080", "filed": "2026-09-10"}</t>
      </text>
    </comment>
    <comment ref="D571" authorId="0" shapeId="0">
      <text>
        <t>https://www.sec.gov/Archives/edgar/data/1730168/000173016826000080/0001730168-26-000080-index.html
{"tag": "us-gaap:CommonStockSharesOutstanding", "form": "10-Q", "accession": "0001730168-26-000080", "filed": "2026-09-10"}</t>
      </text>
    </comment>
    <comment ref="D572" authorId="0" shapeId="0">
      <text>
        <t>https://www.sec.gov/Archives/edgar/data/1730168/000173016826000080/0001730168-26-000080-index.html
{"tag": "us-gaap:LongTermDebtMaturitiesRepaymentsOfPrincipalInNextTwelveMonths", "form": "10-Q", "accession": "0001730168-26-000080", "filed": "2026-09-10"}</t>
      </text>
    </comment>
    <comment ref="D573" authorId="0" shapeId="0">
      <text>
        <t>https://www.sec.gov/Archives/edgar/data/1730168/000173016826000080/0001730168-26-000080-index.html
{"tag": "us-gaap:LongTermDebtMaturitiesRepaymentsOfPrincipalInYearTwo", "form": "10-Q", "accession": "0001730168-26-000080", "filed": "2026-09-10"}</t>
      </text>
    </comment>
    <comment ref="D574" authorId="0" shapeId="0">
      <text>
        <t>https://www.sec.gov/Archives/edgar/data/1730168/000173016826000080/0001730168-26-000080-index.html
{"tag": "us-gaap:LongTermDebtMaturitiesRepaymentsOfPrincipalInYearThree", "form": "10-Q", "accession": "0001730168-26-000080", "filed": "2026-09-10"}</t>
      </text>
    </comment>
    <comment ref="D575" authorId="0" shapeId="0">
      <text>
        <t>https://www.sec.gov/Archives/edgar/data/1730168/000173016826000080/0001730168-26-000080-index.html
{"tag": "us-gaap:LongTermDebtMaturitiesRepaymentsOfPrincipalInYearFour", "form": "10-Q", "accession": "0001730168-26-000080", "filed": "2026-09-10"}</t>
      </text>
    </comment>
    <comment ref="D576" authorId="0" shapeId="0">
      <text>
        <t xml:space="preserve">
null</t>
      </text>
    </comment>
    <comment ref="D577" authorId="0" shapeId="0">
      <text>
        <t xml:space="preserve">
null</t>
      </text>
    </comment>
    <comment ref="D578" authorId="0" shapeId="0">
      <text>
        <t>https://www.sec.gov/Archives/edgar/data/1730168/000173016826000080/0001730168-26-000080-index.html
{"tag": "dei:EntityCommonStockSharesOutstanding", "form": "10-Q", "accession": "0001730168-26-000080", "filed": "2026-09-10"}</t>
      </text>
    </comment>
  </commentList>
</comments>
</file>

<file path=xl/comments/comment2.xml><?xml version="1.0" encoding="utf-8"?>
<comments xmlns="http://schemas.openxmlformats.org/spreadsheetml/2006/main">
  <authors>
    <author>SEC source</author>
  </authors>
  <commentList>
    <comment ref="D2" authorId="0" shapeId="0">
      <text>
        <t>reported; 
https://www.sec.gov/Archives/edgar/data/1730168/000173016818000084/0001730168-18-000084-index.html</t>
      </text>
    </comment>
    <comment ref="E2" authorId="0" shapeId="0">
      <text>
        <t>reported; 
https://www.sec.gov/Archives/edgar/data/1730168/000173016818000084/0001730168-18-000084-index.html</t>
      </text>
    </comment>
    <comment ref="F2" authorId="0" shapeId="0">
      <text>
        <t>reported; long_year
https://www.sec.gov/Archives/edgar/data/1730168/000173016818000084/0001730168-18-000084-index.html</t>
      </text>
    </comment>
    <comment ref="G2" authorId="0" shapeId="0">
      <text>
        <t>reported; 
https://www.sec.gov/Archives/edgar/data/1730168/000173016821000153/0001730168-21-000153-index.html</t>
      </text>
    </comment>
    <comment ref="H2" authorId="0" shapeId="0">
      <text>
        <t>reported; 
https://www.sec.gov/Archives/edgar/data/1730168/000173016822000118/0001730168-22-000118-index.html</t>
      </text>
    </comment>
    <comment ref="I2" authorId="0" shapeId="0">
      <text>
        <t>reported; 
https://www.sec.gov/Archives/edgar/data/1730168/000173016823000096/0001730168-23-000096-index.html</t>
      </text>
    </comment>
    <comment ref="J2" authorId="0" shapeId="0">
      <text>
        <t>reported; 
https://www.sec.gov/Archives/edgar/data/1730168/000173016824000139/0001730168-24-000139-index.html</t>
      </text>
    </comment>
    <comment ref="K2" authorId="0" shapeId="0">
      <text>
        <t>reported; 
https://www.sec.gov/Archives/edgar/data/1730168/000173016825000121/0001730168-25-000121-index.html</t>
      </text>
    </comment>
    <comment ref="L2" authorId="0" shapeId="0">
      <text>
        <t>reported; long_year
https://www.sec.gov/Archives/edgar/data/1730168/000173016825000121/0001730168-25-000121-index.html</t>
      </text>
    </comment>
    <comment ref="M2" authorId="0" shapeId="0">
      <text>
        <t>reported; 
https://www.sec.gov/Archives/edgar/data/1730168/000173016825000121/0001730168-25-000121-index.html</t>
      </text>
    </comment>
    <comment ref="D3" authorId="0" shapeId="0">
      <text>
        <t>reported; 
https://www.sec.gov/Archives/edgar/data/1730168/000173016818000084/0001730168-18-000084-index.html</t>
      </text>
    </comment>
    <comment ref="E3" authorId="0" shapeId="0">
      <text>
        <t>reported; 
https://www.sec.gov/Archives/edgar/data/1730168/000173016819000144/0001730168-19-000144-index.html</t>
      </text>
    </comment>
    <comment ref="F3" authorId="0" shapeId="0">
      <text>
        <t>reported; long_year
https://www.sec.gov/Archives/edgar/data/1730168/000173016820000226/0001730168-20-000226-index.html</t>
      </text>
    </comment>
    <comment ref="G3" authorId="0" shapeId="0">
      <text>
        <t>reported; 
https://www.sec.gov/Archives/edgar/data/1730168/000173016821000153/0001730168-21-000153-index.html</t>
      </text>
    </comment>
    <comment ref="H3" authorId="0" shapeId="0">
      <text>
        <t>reported; 
https://www.sec.gov/Archives/edgar/data/1730168/000173016822000118/0001730168-22-000118-index.html</t>
      </text>
    </comment>
    <comment ref="I3" authorId="0" shapeId="0">
      <text>
        <t>reported; 
https://www.sec.gov/Archives/edgar/data/1730168/000173016823000096/0001730168-23-000096-index.html</t>
      </text>
    </comment>
    <comment ref="J3" authorId="0" shapeId="0">
      <text>
        <t>reported; 
https://www.sec.gov/Archives/edgar/data/1730168/000173016824000139/0001730168-24-000139-index.html</t>
      </text>
    </comment>
    <comment ref="K3" authorId="0" shapeId="0">
      <text>
        <t>reported; 
https://www.sec.gov/Archives/edgar/data/1730168/000173016825000121/0001730168-25-000121-index.html</t>
      </text>
    </comment>
    <comment ref="L3" authorId="0" shapeId="0">
      <text>
        <t>reported; long_year
https://www.sec.gov/Archives/edgar/data/1730168/000173016825000121/0001730168-25-000121-index.html</t>
      </text>
    </comment>
    <comment ref="M3" authorId="0" shapeId="0">
      <text>
        <t>reported; 
https://www.sec.gov/Archives/edgar/data/1730168/000173016825000121/0001730168-25-000121-index.html</t>
      </text>
    </comment>
    <comment ref="D4" authorId="0" shapeId="0">
      <text>
        <t>reported; 
https://www.sec.gov/Archives/edgar/data/1730168/000173016818000084/0001730168-18-000084-index.html</t>
      </text>
    </comment>
    <comment ref="E4" authorId="0" shapeId="0">
      <text>
        <t>reported; 
https://www.sec.gov/Archives/edgar/data/1730168/000173016819000144/0001730168-19-000144-index.html</t>
      </text>
    </comment>
    <comment ref="F4" authorId="0" shapeId="0">
      <text>
        <t>reported; long_year
https://www.sec.gov/Archives/edgar/data/1730168/000173016820000226/0001730168-20-000226-index.html</t>
      </text>
    </comment>
    <comment ref="G4" authorId="0" shapeId="0">
      <text>
        <t>reported; 
https://www.sec.gov/Archives/edgar/data/1730168/000173016821000153/0001730168-21-000153-index.html</t>
      </text>
    </comment>
    <comment ref="H4" authorId="0" shapeId="0">
      <text>
        <t>reported; 
https://www.sec.gov/Archives/edgar/data/1730168/000173016822000118/0001730168-22-000118-index.html</t>
      </text>
    </comment>
    <comment ref="I4" authorId="0" shapeId="0">
      <text>
        <t>reported; 
https://www.sec.gov/Archives/edgar/data/1730168/000173016823000096/0001730168-23-000096-index.html</t>
      </text>
    </comment>
    <comment ref="J4" authorId="0" shapeId="0">
      <text>
        <t>reported; 
https://www.sec.gov/Archives/edgar/data/1730168/000173016824000139/0001730168-24-000139-index.html</t>
      </text>
    </comment>
    <comment ref="K4" authorId="0" shapeId="0">
      <text>
        <t>reported; 
https://www.sec.gov/Archives/edgar/data/1730168/000173016825000121/0001730168-25-000121-index.html</t>
      </text>
    </comment>
    <comment ref="L4" authorId="0" shapeId="0">
      <text>
        <t>reported; long_year
https://www.sec.gov/Archives/edgar/data/1730168/000173016825000121/0001730168-25-000121-index.html</t>
      </text>
    </comment>
    <comment ref="M4" authorId="0" shapeId="0">
      <text>
        <t>reported; 
https://www.sec.gov/Archives/edgar/data/1730168/000173016825000121/0001730168-25-000121-index.html</t>
      </text>
    </comment>
    <comment ref="D5" authorId="0" shapeId="0">
      <text>
        <t>reported; 
https://www.sec.gov/Archives/edgar/data/1730168/000173016818000084/0001730168-18-000084-index.html</t>
      </text>
    </comment>
    <comment ref="E5" authorId="0" shapeId="0">
      <text>
        <t>reported; restated
https://www.sec.gov/Archives/edgar/data/1730168/000173016819000144/0001730168-19-000144-index.html</t>
      </text>
    </comment>
    <comment ref="F5" authorId="0" shapeId="0">
      <text>
        <t>reported; long_year
https://www.sec.gov/Archives/edgar/data/1730168/000173016820000226/0001730168-20-000226-index.html</t>
      </text>
    </comment>
    <comment ref="G5" authorId="0" shapeId="0">
      <text>
        <t>reported; 
https://www.sec.gov/Archives/edgar/data/1730168/000173016821000153/0001730168-21-000153-index.html</t>
      </text>
    </comment>
    <comment ref="H5" authorId="0" shapeId="0">
      <text>
        <t>reported; 
https://www.sec.gov/Archives/edgar/data/1730168/000173016822000118/0001730168-22-000118-index.html</t>
      </text>
    </comment>
    <comment ref="I5" authorId="0" shapeId="0">
      <text>
        <t>reported; 
https://www.sec.gov/Archives/edgar/data/1730168/000173016823000096/0001730168-23-000096-index.html</t>
      </text>
    </comment>
    <comment ref="J5" authorId="0" shapeId="0">
      <text>
        <t>reported; 
https://www.sec.gov/Archives/edgar/data/1730168/000173016824000139/0001730168-24-000139-index.html</t>
      </text>
    </comment>
    <comment ref="K5" authorId="0" shapeId="0">
      <text>
        <t>reported; 
https://www.sec.gov/Archives/edgar/data/1730168/000173016825000121/0001730168-25-000121-index.html</t>
      </text>
    </comment>
    <comment ref="L5" authorId="0" shapeId="0">
      <text>
        <t>reported; long_year
https://www.sec.gov/Archives/edgar/data/1730168/000173016825000121/0001730168-25-000121-index.html</t>
      </text>
    </comment>
    <comment ref="M5" authorId="0" shapeId="0">
      <text>
        <t>reported; 
https://www.sec.gov/Archives/edgar/data/1730168/000173016825000121/0001730168-25-000121-index.html</t>
      </text>
    </comment>
    <comment ref="D6" authorId="0" shapeId="0">
      <text>
        <t>reported; 
https://www.sec.gov/Archives/edgar/data/1730168/000173016818000084/0001730168-18-000084-index.html</t>
      </text>
    </comment>
    <comment ref="E6" authorId="0" shapeId="0">
      <text>
        <t>reported; restated
https://www.sec.gov/Archives/edgar/data/1730168/000173016819000144/0001730168-19-000144-index.html</t>
      </text>
    </comment>
    <comment ref="F6" authorId="0" shapeId="0">
      <text>
        <t>reported; long_year
https://www.sec.gov/Archives/edgar/data/1730168/000173016820000226/0001730168-20-000226-index.html</t>
      </text>
    </comment>
    <comment ref="G6" authorId="0" shapeId="0">
      <text>
        <t>reported; 
https://www.sec.gov/Archives/edgar/data/1730168/000173016821000153/0001730168-21-000153-index.html</t>
      </text>
    </comment>
    <comment ref="H6" authorId="0" shapeId="0">
      <text>
        <t>reported; 
https://www.sec.gov/Archives/edgar/data/1730168/000173016822000118/0001730168-22-000118-index.html</t>
      </text>
    </comment>
    <comment ref="I6" authorId="0" shapeId="0">
      <text>
        <t>reported; 
https://www.sec.gov/Archives/edgar/data/1730168/000173016823000096/0001730168-23-000096-index.html</t>
      </text>
    </comment>
    <comment ref="J6" authorId="0" shapeId="0">
      <text>
        <t>reported; 
https://www.sec.gov/Archives/edgar/data/1730168/000173016824000139/0001730168-24-000139-index.html</t>
      </text>
    </comment>
    <comment ref="K6" authorId="0" shapeId="0">
      <text>
        <t>reported; 
https://www.sec.gov/Archives/edgar/data/1730168/000173016825000121/0001730168-25-000121-index.html</t>
      </text>
    </comment>
    <comment ref="L6" authorId="0" shapeId="0">
      <text>
        <t>reported; long_year
https://www.sec.gov/Archives/edgar/data/1730168/000173016825000121/0001730168-25-000121-index.html</t>
      </text>
    </comment>
    <comment ref="M6" authorId="0" shapeId="0">
      <text>
        <t>reported; 
https://www.sec.gov/Archives/edgar/data/1730168/000173016825000121/0001730168-25-000121-index.html</t>
      </text>
    </comment>
    <comment ref="D7" authorId="0" shapeId="0">
      <text>
        <t>reported; 
https://www.sec.gov/Archives/edgar/data/1730168/000173016818000084/0001730168-18-000084-index.html</t>
      </text>
    </comment>
    <comment ref="E7" authorId="0" shapeId="0">
      <text>
        <t>reported; restated
https://www.sec.gov/Archives/edgar/data/1730168/000173016819000144/0001730168-19-000144-index.html</t>
      </text>
    </comment>
    <comment ref="F7" authorId="0" shapeId="0">
      <text>
        <t>reported; long_year
https://www.sec.gov/Archives/edgar/data/1730168/000173016820000226/0001730168-20-000226-index.html</t>
      </text>
    </comment>
    <comment ref="G7" authorId="0" shapeId="0">
      <text>
        <t>reported; 
https://www.sec.gov/Archives/edgar/data/1730168/000173016821000153/0001730168-21-000153-index.html</t>
      </text>
    </comment>
    <comment ref="H7" authorId="0" shapeId="0">
      <text>
        <t>reported; 
https://www.sec.gov/Archives/edgar/data/1730168/000173016822000118/0001730168-22-000118-index.html</t>
      </text>
    </comment>
    <comment ref="I7" authorId="0" shapeId="0">
      <text>
        <t>reported; 
https://www.sec.gov/Archives/edgar/data/1730168/000173016823000096/0001730168-23-000096-index.html</t>
      </text>
    </comment>
    <comment ref="J7" authorId="0" shapeId="0">
      <text>
        <t>reported; 
https://www.sec.gov/Archives/edgar/data/1730168/000173016824000139/0001730168-24-000139-index.html</t>
      </text>
    </comment>
    <comment ref="K7" authorId="0" shapeId="0">
      <text>
        <t>reported; 
https://www.sec.gov/Archives/edgar/data/1730168/000173016825000121/0001730168-25-000121-index.html</t>
      </text>
    </comment>
    <comment ref="L7" authorId="0" shapeId="0">
      <text>
        <t>reported; long_year
https://www.sec.gov/Archives/edgar/data/1730168/000173016825000121/0001730168-25-000121-index.html</t>
      </text>
    </comment>
    <comment ref="M7" authorId="0" shapeId="0">
      <text>
        <t>reported; 
https://www.sec.gov/Archives/edgar/data/1730168/000173016825000121/0001730168-25-000121-index.html</t>
      </text>
    </comment>
    <comment ref="D8" authorId="0" shapeId="0">
      <text>
        <t>reported; 
https://www.sec.gov/Archives/edgar/data/1730168/000173016818000084/0001730168-18-000084-index.html</t>
      </text>
    </comment>
    <comment ref="E8" authorId="0" shapeId="0">
      <text>
        <t>reported; 
https://www.sec.gov/Archives/edgar/data/1730168/000173016819000144/0001730168-19-000144-index.html</t>
      </text>
    </comment>
    <comment ref="F8" authorId="0" shapeId="0">
      <text>
        <t>reported; long_year
https://www.sec.gov/Archives/edgar/data/1730168/000173016820000226/0001730168-20-000226-index.html</t>
      </text>
    </comment>
    <comment ref="G8" authorId="0" shapeId="0">
      <text>
        <t>reported; 
https://www.sec.gov/Archives/edgar/data/1730168/000173016821000153/0001730168-21-000153-index.html</t>
      </text>
    </comment>
    <comment ref="H8" authorId="0" shapeId="0">
      <text>
        <t>reported; 
https://www.sec.gov/Archives/edgar/data/1730168/000173016822000118/0001730168-22-000118-index.html</t>
      </text>
    </comment>
    <comment ref="I8" authorId="0" shapeId="0">
      <text>
        <t>reported; 
https://www.sec.gov/Archives/edgar/data/1730168/000173016823000096/0001730168-23-000096-index.html</t>
      </text>
    </comment>
    <comment ref="J8" authorId="0" shapeId="0">
      <text>
        <t>reported; 
https://www.sec.gov/Archives/edgar/data/1730168/000173016824000139/0001730168-24-000139-index.html</t>
      </text>
    </comment>
    <comment ref="K8" authorId="0" shapeId="0">
      <text>
        <t>reported; 
https://www.sec.gov/Archives/edgar/data/1730168/000173016824000139/0001730168-24-000139-index.html</t>
      </text>
    </comment>
    <comment ref="L8" authorId="0" shapeId="0">
      <text>
        <t>reported; long_year
https://www.sec.gov/Archives/edgar/data/1730168/000173016824000139/0001730168-24-000139-index.html</t>
      </text>
    </comment>
    <comment ref="M8" authorId="0" shapeId="0">
      <text>
        <t>reported; 
https://www.sec.gov/Archives/edgar/data/1730168/000173016825000121/0001730168-25-000121-index.html</t>
      </text>
    </comment>
    <comment ref="D9" authorId="0" shapeId="0">
      <text>
        <t>reported; 
https://www.sec.gov/Archives/edgar/data/1730168/000173016818000084/0001730168-18-000084-index.html</t>
      </text>
    </comment>
    <comment ref="E9" authorId="0" shapeId="0">
      <text>
        <t>reported; 
https://www.sec.gov/Archives/edgar/data/1730168/000173016819000144/0001730168-19-000144-index.html</t>
      </text>
    </comment>
    <comment ref="F9" authorId="0" shapeId="0">
      <text>
        <t>reported; long_year
https://www.sec.gov/Archives/edgar/data/1730168/000173016820000226/0001730168-20-000226-index.html</t>
      </text>
    </comment>
    <comment ref="G9" authorId="0" shapeId="0">
      <text>
        <t>reported; 
https://www.sec.gov/Archives/edgar/data/1730168/000173016821000153/0001730168-21-000153-index.html</t>
      </text>
    </comment>
    <comment ref="H9" authorId="0" shapeId="0">
      <text>
        <t>reported; 
https://www.sec.gov/Archives/edgar/data/1730168/000173016822000118/0001730168-22-000118-index.html</t>
      </text>
    </comment>
    <comment ref="I9" authorId="0" shapeId="0">
      <text>
        <t>reported; 
https://www.sec.gov/Archives/edgar/data/1730168/000173016823000096/0001730168-23-000096-index.html</t>
      </text>
    </comment>
    <comment ref="J9" authorId="0" shapeId="0">
      <text>
        <t>reported; 
https://www.sec.gov/Archives/edgar/data/1730168/000173016824000139/0001730168-24-000139-index.html</t>
      </text>
    </comment>
    <comment ref="K9" authorId="0" shapeId="0">
      <text>
        <t>reported; 
https://www.sec.gov/Archives/edgar/data/1730168/000173016825000121/0001730168-25-000121-index.html</t>
      </text>
    </comment>
    <comment ref="L9" authorId="0" shapeId="0">
      <text>
        <t>reported; long_year
https://www.sec.gov/Archives/edgar/data/1730168/000173016825000121/0001730168-25-000121-index.html</t>
      </text>
    </comment>
    <comment ref="M9" authorId="0" shapeId="0">
      <text>
        <t>reported; 
https://www.sec.gov/Archives/edgar/data/1730168/000173016825000121/0001730168-25-000121-index.html</t>
      </text>
    </comment>
    <comment ref="D10" authorId="0" shapeId="0">
      <text>
        <t>reported; 
https://www.sec.gov/Archives/edgar/data/1730168/000173016818000084/0001730168-18-000084-index.html</t>
      </text>
    </comment>
    <comment ref="E10" authorId="0" shapeId="0">
      <text>
        <t>reported; 
https://www.sec.gov/Archives/edgar/data/1730168/000173016819000144/0001730168-19-000144-index.html</t>
      </text>
    </comment>
    <comment ref="F10" authorId="0" shapeId="0">
      <text>
        <t>reported; long_year
https://www.sec.gov/Archives/edgar/data/1730168/000173016820000226/0001730168-20-000226-index.html</t>
      </text>
    </comment>
    <comment ref="G10" authorId="0" shapeId="0">
      <text>
        <t>reported; 
https://www.sec.gov/Archives/edgar/data/1730168/000173016821000153/0001730168-21-000153-index.html</t>
      </text>
    </comment>
    <comment ref="H10" authorId="0" shapeId="0">
      <text>
        <t>reported; 
https://www.sec.gov/Archives/edgar/data/1730168/000173016822000118/0001730168-22-000118-index.html</t>
      </text>
    </comment>
    <comment ref="I10" authorId="0" shapeId="0">
      <text>
        <t>reported; 
https://www.sec.gov/Archives/edgar/data/1730168/000173016823000096/0001730168-23-000096-index.html</t>
      </text>
    </comment>
    <comment ref="J10" authorId="0" shapeId="0">
      <text>
        <t>reported; 
https://www.sec.gov/Archives/edgar/data/1730168/000173016824000139/0001730168-24-000139-index.html</t>
      </text>
    </comment>
    <comment ref="K10" authorId="0" shapeId="0">
      <text>
        <t>reported; 
https://www.sec.gov/Archives/edgar/data/1730168/000173016825000121/0001730168-25-000121-index.html</t>
      </text>
    </comment>
    <comment ref="L10" authorId="0" shapeId="0">
      <text>
        <t>reported; long_year
https://www.sec.gov/Archives/edgar/data/1730168/000173016825000121/0001730168-25-000121-index.html</t>
      </text>
    </comment>
    <comment ref="M10" authorId="0" shapeId="0">
      <text>
        <t>reported; 
https://www.sec.gov/Archives/edgar/data/1730168/000173016825000121/0001730168-25-000121-index.html</t>
      </text>
    </comment>
    <comment ref="D11" authorId="0" shapeId="0">
      <text>
        <t>reported; tag_conflict
https://www.sec.gov/Archives/edgar/data/1730168/000173016818000084/0001730168-18-000084-index.html</t>
      </text>
    </comment>
    <comment ref="E11" authorId="0" shapeId="0">
      <text>
        <t>reported; tag_conflict
https://www.sec.gov/Archives/edgar/data/1730168/000173016818000084/0001730168-18-000084-index.html</t>
      </text>
    </comment>
    <comment ref="F11" authorId="0" shapeId="0">
      <text>
        <t>reported; long_year, tag_conflict
https://www.sec.gov/Archives/edgar/data/1730168/000173016818000084/0001730168-18-000084-index.html</t>
      </text>
    </comment>
    <comment ref="G11" authorId="0" shapeId="0">
      <text>
        <t>reported; tag_conflict
https://www.sec.gov/Archives/edgar/data/1730168/000173016821000153/0001730168-21-000153-index.html</t>
      </text>
    </comment>
    <comment ref="H11" authorId="0" shapeId="0">
      <text>
        <t>reported; tag_conflict
https://www.sec.gov/Archives/edgar/data/1730168/000173016822000118/0001730168-22-000118-index.html</t>
      </text>
    </comment>
    <comment ref="I11" authorId="0" shapeId="0">
      <text>
        <t>reported; tag_conflict
https://www.sec.gov/Archives/edgar/data/1730168/000173016823000096/0001730168-23-000096-index.html</t>
      </text>
    </comment>
    <comment ref="J11" authorId="0" shapeId="0">
      <text>
        <t>reported; 
https://www.sec.gov/Archives/edgar/data/1730168/000173016824000139/0001730168-24-000139-index.html</t>
      </text>
    </comment>
    <comment ref="K11" authorId="0" shapeId="0">
      <text>
        <t>reported; 
https://www.sec.gov/Archives/edgar/data/1730168/000173016824000139/0001730168-24-000139-index.html</t>
      </text>
    </comment>
    <comment ref="L11" authorId="0" shapeId="0">
      <text>
        <t>reported; long_year
https://www.sec.gov/Archives/edgar/data/1730168/000173016824000139/0001730168-24-000139-index.html</t>
      </text>
    </comment>
    <comment ref="M11" authorId="0" shapeId="0">
      <text>
        <t>reported; 
https://www.sec.gov/Archives/edgar/data/1730168/000173016825000121/0001730168-25-000121-index.html</t>
      </text>
    </comment>
    <comment ref="D12" authorId="0" shapeId="0">
      <text>
        <t>constructed; constructed
https://www.sec.gov/Archives/edgar/data/1730168/000173016818000084/0001730168-18-000084-index.html</t>
      </text>
    </comment>
    <comment ref="E12" authorId="0" shapeId="0">
      <text>
        <t>constructed; constructed
https://www.sec.gov/Archives/edgar/data/1730168/000173016819000144/0001730168-19-000144-index.html</t>
      </text>
    </comment>
    <comment ref="F12" authorId="0" shapeId="0">
      <text>
        <t>constructed; constructed, long_year
https://www.sec.gov/Archives/edgar/data/1730168/000173016820000226/0001730168-20-000226-index.html
https://www.sec.gov/Archives/edgar/data/1730168/000173016819000144/0001730168-19-000144-index.html</t>
      </text>
    </comment>
    <comment ref="G12" authorId="0" shapeId="0">
      <text>
        <t>constructed; constructed
https://www.sec.gov/Archives/edgar/data/1730168/000173016821000153/0001730168-21-000153-index.html
https://www.sec.gov/Archives/edgar/data/1730168/000173016819000144/0001730168-19-000144-index.html</t>
      </text>
    </comment>
    <comment ref="H12" authorId="0" shapeId="0">
      <text>
        <t xml:space="preserve">not_available; 
</t>
      </text>
    </comment>
    <comment ref="I12" authorId="0" shapeId="0">
      <text>
        <t xml:space="preserve">not_available; 
</t>
      </text>
    </comment>
    <comment ref="J12" authorId="0" shapeId="0">
      <text>
        <t xml:space="preserve">not_available; 
</t>
      </text>
    </comment>
    <comment ref="K12" authorId="0" shapeId="0">
      <text>
        <t>constructed; constructed
https://www.sec.gov/Archives/edgar/data/1730168/000173016825000121/0001730168-25-000121-index.html</t>
      </text>
    </comment>
    <comment ref="L12" authorId="0" shapeId="0">
      <text>
        <t>constructed; constructed, long_year
https://www.sec.gov/Archives/edgar/data/1730168/000173016825000121/0001730168-25-000121-index.html</t>
      </text>
    </comment>
    <comment ref="M12" authorId="0" shapeId="0">
      <text>
        <t>constructed; constructed
https://www.sec.gov/Archives/edgar/data/1730168/000173016825000121/0001730168-25-000121-index.html</t>
      </text>
    </comment>
    <comment ref="D13" authorId="0" shapeId="0">
      <text>
        <t>reported; 
https://www.sec.gov/Archives/edgar/data/1730168/000173016818000084/0001730168-18-000084-index.html</t>
      </text>
    </comment>
    <comment ref="E13" authorId="0" shapeId="0">
      <text>
        <t>reported; 
https://www.sec.gov/Archives/edgar/data/1730168/000173016819000144/0001730168-19-000144-index.html</t>
      </text>
    </comment>
    <comment ref="F13" authorId="0" shapeId="0">
      <text>
        <t>reported; long_year
https://www.sec.gov/Archives/edgar/data/1730168/000173016820000226/0001730168-20-000226-index.html</t>
      </text>
    </comment>
    <comment ref="G13" authorId="0" shapeId="0">
      <text>
        <t>reported; 
https://www.sec.gov/Archives/edgar/data/1730168/000173016821000153/0001730168-21-000153-index.html</t>
      </text>
    </comment>
    <comment ref="H13" authorId="0" shapeId="0">
      <text>
        <t>reported; 
https://www.sec.gov/Archives/edgar/data/1730168/000173016822000118/0001730168-22-000118-index.html</t>
      </text>
    </comment>
    <comment ref="I13" authorId="0" shapeId="0">
      <text>
        <t>reported; 
https://www.sec.gov/Archives/edgar/data/1730168/000173016823000096/0001730168-23-000096-index.html</t>
      </text>
    </comment>
    <comment ref="J13" authorId="0" shapeId="0">
      <text>
        <t>reported; 
https://www.sec.gov/Archives/edgar/data/1730168/000173016824000139/0001730168-24-000139-index.html</t>
      </text>
    </comment>
    <comment ref="K13" authorId="0" shapeId="0">
      <text>
        <t>reported; 
https://www.sec.gov/Archives/edgar/data/1730168/000173016825000121/0001730168-25-000121-index.html</t>
      </text>
    </comment>
    <comment ref="L13" authorId="0" shapeId="0">
      <text>
        <t>reported; long_year
https://www.sec.gov/Archives/edgar/data/1730168/000173016825000121/0001730168-25-000121-index.html</t>
      </text>
    </comment>
    <comment ref="M13" authorId="0" shapeId="0">
      <text>
        <t>reported; 
https://www.sec.gov/Archives/edgar/data/1730168/000173016825000121/0001730168-25-000121-index.html</t>
      </text>
    </comment>
    <comment ref="D14" authorId="0" shapeId="0">
      <text>
        <t>reported; 
https://www.sec.gov/Archives/edgar/data/1730168/000173016818000084/0001730168-18-000084-index.html</t>
      </text>
    </comment>
    <comment ref="E14" authorId="0" shapeId="0">
      <text>
        <t>reported; 
https://www.sec.gov/Archives/edgar/data/1730168/000173016819000144/0001730168-19-000144-index.html</t>
      </text>
    </comment>
    <comment ref="F14" authorId="0" shapeId="0">
      <text>
        <t>reported; long_year
https://www.sec.gov/Archives/edgar/data/1730168/000173016819000144/0001730168-19-000144-index.html</t>
      </text>
    </comment>
    <comment ref="G14" authorId="0" shapeId="0">
      <text>
        <t>reported; 
https://www.sec.gov/Archives/edgar/data/1730168/000173016819000144/0001730168-19-000144-index.html</t>
      </text>
    </comment>
    <comment ref="H14" authorId="0" shapeId="0">
      <text>
        <t xml:space="preserve">not_available; 
</t>
      </text>
    </comment>
    <comment ref="I14" authorId="0" shapeId="0">
      <text>
        <t xml:space="preserve">not_available; 
</t>
      </text>
    </comment>
    <comment ref="J14" authorId="0" shapeId="0">
      <text>
        <t xml:space="preserve">not_available; 
</t>
      </text>
    </comment>
    <comment ref="K14" authorId="0" shapeId="0">
      <text>
        <t>reported; 
https://www.sec.gov/Archives/edgar/data/1730168/000173016825000121/0001730168-25-000121-index.html</t>
      </text>
    </comment>
    <comment ref="L14" authorId="0" shapeId="0">
      <text>
        <t>reported; long_year
https://www.sec.gov/Archives/edgar/data/1730168/000173016825000121/0001730168-25-000121-index.html</t>
      </text>
    </comment>
    <comment ref="M14" authorId="0" shapeId="0">
      <text>
        <t>reported; 
https://www.sec.gov/Archives/edgar/data/1730168/000173016825000121/0001730168-25-000121-index.html</t>
      </text>
    </comment>
    <comment ref="D15" authorId="0" shapeId="0">
      <text>
        <t>reported; split_adjusted
https://www.sec.gov/Archives/edgar/data/1730168/000173016818000084/0001730168-18-000084-index.html</t>
      </text>
    </comment>
    <comment ref="E15" authorId="0" shapeId="0">
      <text>
        <t>reported; split_adjusted
https://www.sec.gov/Archives/edgar/data/1730168/000173016819000144/0001730168-19-000144-index.html</t>
      </text>
    </comment>
    <comment ref="F15" authorId="0" shapeId="0">
      <text>
        <t>reported; long_year, split_adjusted
https://www.sec.gov/Archives/edgar/data/1730168/000173016820000226/0001730168-20-000226-index.html</t>
      </text>
    </comment>
    <comment ref="G15" authorId="0" shapeId="0">
      <text>
        <t>reported; split_adjusted
https://www.sec.gov/Archives/edgar/data/1730168/000173016821000153/0001730168-21-000153-index.html</t>
      </text>
    </comment>
    <comment ref="H15" authorId="0" shapeId="0">
      <text>
        <t>reported; split_adjusted
https://www.sec.gov/Archives/edgar/data/1730168/000173016822000118/0001730168-22-000118-index.html</t>
      </text>
    </comment>
    <comment ref="I15" authorId="0" shapeId="0">
      <text>
        <t>reported; split_adjusted
https://www.sec.gov/Archives/edgar/data/1730168/000173016823000096/0001730168-23-000096-index.html</t>
      </text>
    </comment>
    <comment ref="J15" authorId="0" shapeId="0">
      <text>
        <t>reported; split_adjusted
https://www.sec.gov/Archives/edgar/data/1730168/000173016824000139/0001730168-24-000139-index.html</t>
      </text>
    </comment>
    <comment ref="K15" authorId="0" shapeId="0">
      <text>
        <t>reported; restated
https://www.sec.gov/Archives/edgar/data/1730168/000173016825000121/0001730168-25-000121-index.html</t>
      </text>
    </comment>
    <comment ref="L15" authorId="0" shapeId="0">
      <text>
        <t>reported; long_year
https://www.sec.gov/Archives/edgar/data/1730168/000173016825000121/0001730168-25-000121-index.html</t>
      </text>
    </comment>
    <comment ref="M15" authorId="0" shapeId="0">
      <text>
        <t>reported; 
https://www.sec.gov/Archives/edgar/data/1730168/000173016825000121/0001730168-25-000121-index.html</t>
      </text>
    </comment>
    <comment ref="D16" authorId="0" shapeId="0">
      <text>
        <t>reported; 
https://www.sec.gov/Archives/edgar/data/1730168/000173016818000084/0001730168-18-000084-index.html</t>
      </text>
    </comment>
    <comment ref="E16" authorId="0" shapeId="0">
      <text>
        <t>reported; 
https://www.sec.gov/Archives/edgar/data/1730168/000173016819000144/0001730168-19-000144-index.html</t>
      </text>
    </comment>
    <comment ref="F16" authorId="0" shapeId="0">
      <text>
        <t>reported; long_year
https://www.sec.gov/Archives/edgar/data/1730168/000173016820000226/0001730168-20-000226-index.html</t>
      </text>
    </comment>
    <comment ref="G16" authorId="0" shapeId="0">
      <text>
        <t>reported; 
https://www.sec.gov/Archives/edgar/data/1730168/000173016821000153/0001730168-21-000153-index.html</t>
      </text>
    </comment>
    <comment ref="H16" authorId="0" shapeId="0">
      <text>
        <t>reported; 
https://www.sec.gov/Archives/edgar/data/1730168/000173016822000118/0001730168-22-000118-index.html</t>
      </text>
    </comment>
    <comment ref="I16" authorId="0" shapeId="0">
      <text>
        <t>reported; 
https://www.sec.gov/Archives/edgar/data/1730168/000173016823000096/0001730168-23-000096-index.html</t>
      </text>
    </comment>
    <comment ref="J16" authorId="0" shapeId="0">
      <text>
        <t>reported; 
https://www.sec.gov/Archives/edgar/data/1730168/000173016824000139/0001730168-24-000139-index.html</t>
      </text>
    </comment>
    <comment ref="K16" authorId="0" shapeId="0">
      <text>
        <t>reported; 
https://www.sec.gov/Archives/edgar/data/1730168/000173016825000121/0001730168-25-000121-index.html</t>
      </text>
    </comment>
    <comment ref="L16" authorId="0" shapeId="0">
      <text>
        <t>reported; long_year
https://www.sec.gov/Archives/edgar/data/1730168/000173016825000121/0001730168-25-000121-index.html</t>
      </text>
    </comment>
    <comment ref="M16" authorId="0" shapeId="0">
      <text>
        <t>reported; 
https://www.sec.gov/Archives/edgar/data/1730168/000173016825000121/0001730168-25-000121-index.html</t>
      </text>
    </comment>
    <comment ref="D17" authorId="0" shapeId="0">
      <text>
        <t>reported; 
https://www.sec.gov/Archives/edgar/data/1730168/000173016818000084/0001730168-18-000084-index.html</t>
      </text>
    </comment>
    <comment ref="E17" authorId="0" shapeId="0">
      <text>
        <t>reported; 
https://www.sec.gov/Archives/edgar/data/1730168/000173016819000144/0001730168-19-000144-index.html</t>
      </text>
    </comment>
    <comment ref="F17" authorId="0" shapeId="0">
      <text>
        <t>reported; long_year
https://www.sec.gov/Archives/edgar/data/1730168/000173016820000226/0001730168-20-000226-index.html</t>
      </text>
    </comment>
    <comment ref="G17" authorId="0" shapeId="0">
      <text>
        <t>reported; 
https://www.sec.gov/Archives/edgar/data/1730168/000173016821000153/0001730168-21-000153-index.html</t>
      </text>
    </comment>
    <comment ref="H17" authorId="0" shapeId="0">
      <text>
        <t>reported; 
https://www.sec.gov/Archives/edgar/data/1730168/000173016822000118/0001730168-22-000118-index.html</t>
      </text>
    </comment>
    <comment ref="I17" authorId="0" shapeId="0">
      <text>
        <t>reported; 
https://www.sec.gov/Archives/edgar/data/1730168/000173016823000096/0001730168-23-000096-index.html</t>
      </text>
    </comment>
    <comment ref="J17" authorId="0" shapeId="0">
      <text>
        <t>reported; 
https://www.sec.gov/Archives/edgar/data/1730168/000173016824000139/0001730168-24-000139-index.html</t>
      </text>
    </comment>
    <comment ref="K17" authorId="0" shapeId="0">
      <text>
        <t>reported; 
https://www.sec.gov/Archives/edgar/data/1730168/000173016825000121/0001730168-25-000121-index.html</t>
      </text>
    </comment>
    <comment ref="L17" authorId="0" shapeId="0">
      <text>
        <t>reported; long_year
https://www.sec.gov/Archives/edgar/data/1730168/000173016825000121/0001730168-25-000121-index.html</t>
      </text>
    </comment>
    <comment ref="M17" authorId="0" shapeId="0">
      <text>
        <t>reported; 
https://www.sec.gov/Archives/edgar/data/1730168/000173016825000121/0001730168-25-000121-index.html</t>
      </text>
    </comment>
    <comment ref="D18" authorId="0" shapeId="0">
      <text>
        <t>reported; tag_conflict
https://www.sec.gov/Archives/edgar/data/1730168/000173016818000084/0001730168-18-000084-index.html</t>
      </text>
    </comment>
    <comment ref="E18" authorId="0" shapeId="0">
      <text>
        <t>reported; 
https://www.sec.gov/Archives/edgar/data/1730168/000173016819000144/0001730168-19-000144-index.html</t>
      </text>
    </comment>
    <comment ref="F18" authorId="0" shapeId="0">
      <text>
        <t>reported; long_year
https://www.sec.gov/Archives/edgar/data/1730168/000173016820000226/0001730168-20-000226-index.html</t>
      </text>
    </comment>
    <comment ref="G18" authorId="0" shapeId="0">
      <text>
        <t>reported; 
https://www.sec.gov/Archives/edgar/data/1730168/000173016821000153/0001730168-21-000153-index.html</t>
      </text>
    </comment>
    <comment ref="H18" authorId="0" shapeId="0">
      <text>
        <t>reported; 
https://www.sec.gov/Archives/edgar/data/1730168/000173016822000118/0001730168-22-000118-index.html</t>
      </text>
    </comment>
    <comment ref="I18" authorId="0" shapeId="0">
      <text>
        <t>reported; 
https://www.sec.gov/Archives/edgar/data/1730168/000173016823000096/0001730168-23-000096-index.html</t>
      </text>
    </comment>
    <comment ref="J18" authorId="0" shapeId="0">
      <text>
        <t>reported; 
https://www.sec.gov/Archives/edgar/data/1730168/000173016824000139/0001730168-24-000139-index.html</t>
      </text>
    </comment>
    <comment ref="K18" authorId="0" shapeId="0">
      <text>
        <t>reported; 
https://www.sec.gov/Archives/edgar/data/1730168/000173016825000121/0001730168-25-000121-index.html</t>
      </text>
    </comment>
    <comment ref="L18" authorId="0" shapeId="0">
      <text>
        <t>reported; long_year, tag_conflict
https://www.sec.gov/Archives/edgar/data/1730168/000173016825000121/0001730168-25-000121-index.html</t>
      </text>
    </comment>
    <comment ref="M18" authorId="0" shapeId="0">
      <text>
        <t>reported; 
https://www.sec.gov/Archives/edgar/data/1730168/000173016825000121/0001730168-25-000121-index.html</t>
      </text>
    </comment>
    <comment ref="D19" authorId="0" shapeId="0">
      <text>
        <t>reported; 
https://www.sec.gov/Archives/edgar/data/1730168/000173016818000084/0001730168-18-000084-index.html</t>
      </text>
    </comment>
    <comment ref="E19" authorId="0" shapeId="0">
      <text>
        <t>reported; 
https://www.sec.gov/Archives/edgar/data/1730168/000173016819000144/0001730168-19-000144-index.html</t>
      </text>
    </comment>
    <comment ref="F19" authorId="0" shapeId="0">
      <text>
        <t>reported; long_year
https://www.sec.gov/Archives/edgar/data/1730168/000173016820000226/0001730168-20-000226-index.html</t>
      </text>
    </comment>
    <comment ref="G19" authorId="0" shapeId="0">
      <text>
        <t>reported; 
https://www.sec.gov/Archives/edgar/data/1730168/000173016821000153/0001730168-21-000153-index.html</t>
      </text>
    </comment>
    <comment ref="H19" authorId="0" shapeId="0">
      <text>
        <t>reported; 
https://www.sec.gov/Archives/edgar/data/1730168/000173016822000118/0001730168-22-000118-index.html</t>
      </text>
    </comment>
    <comment ref="I19" authorId="0" shapeId="0">
      <text>
        <t>reported; 
https://www.sec.gov/Archives/edgar/data/1730168/000173016823000096/0001730168-23-000096-index.html</t>
      </text>
    </comment>
    <comment ref="J19" authorId="0" shapeId="0">
      <text>
        <t>reported; 
https://www.sec.gov/Archives/edgar/data/1730168/000173016824000139/0001730168-24-000139-index.html</t>
      </text>
    </comment>
    <comment ref="K19" authorId="0" shapeId="0">
      <text>
        <t>reported; 
https://www.sec.gov/Archives/edgar/data/1730168/000173016825000121/0001730168-25-000121-index.html</t>
      </text>
    </comment>
    <comment ref="L19" authorId="0" shapeId="0">
      <text>
        <t>reported; long_year
https://www.sec.gov/Archives/edgar/data/1730168/000173016825000121/0001730168-25-000121-index.html</t>
      </text>
    </comment>
    <comment ref="M19" authorId="0" shapeId="0">
      <text>
        <t>reported; 
https://www.sec.gov/Archives/edgar/data/1730168/000173016825000121/0001730168-25-000121-index.html</t>
      </text>
    </comment>
    <comment ref="D20" authorId="0" shapeId="0">
      <text>
        <t>reported; 
https://www.sec.gov/Archives/edgar/data/1730168/000173016818000084/0001730168-18-000084-index.html</t>
      </text>
    </comment>
    <comment ref="E20" authorId="0" shapeId="0">
      <text>
        <t>reported; 
https://www.sec.gov/Archives/edgar/data/1730168/000173016819000144/0001730168-19-000144-index.html</t>
      </text>
    </comment>
    <comment ref="F20" authorId="0" shapeId="0">
      <text>
        <t>reported; long_year
https://www.sec.gov/Archives/edgar/data/1730168/000173016820000226/0001730168-20-000226-index.html</t>
      </text>
    </comment>
    <comment ref="G20" authorId="0" shapeId="0">
      <text>
        <t>reported; 
https://www.sec.gov/Archives/edgar/data/1730168/000173016821000153/0001730168-21-000153-index.html</t>
      </text>
    </comment>
    <comment ref="H20" authorId="0" shapeId="0">
      <text>
        <t>reported; 
https://www.sec.gov/Archives/edgar/data/1730168/000173016822000118/0001730168-22-000118-index.html</t>
      </text>
    </comment>
    <comment ref="I20" authorId="0" shapeId="0">
      <text>
        <t>reported; 
https://www.sec.gov/Archives/edgar/data/1730168/000173016823000096/0001730168-23-000096-index.html</t>
      </text>
    </comment>
    <comment ref="J20" authorId="0" shapeId="0">
      <text>
        <t>reported; 
https://www.sec.gov/Archives/edgar/data/1730168/000173016824000139/0001730168-24-000139-index.html</t>
      </text>
    </comment>
    <comment ref="K20" authorId="0" shapeId="0">
      <text>
        <t>reported; 
https://www.sec.gov/Archives/edgar/data/1730168/000173016825000121/0001730168-25-000121-index.html</t>
      </text>
    </comment>
    <comment ref="L20" authorId="0" shapeId="0">
      <text>
        <t>reported; long_year
https://www.sec.gov/Archives/edgar/data/1730168/000173016825000121/0001730168-25-000121-index.html</t>
      </text>
    </comment>
    <comment ref="M20" authorId="0" shapeId="0">
      <text>
        <t>reported; 
https://www.sec.gov/Archives/edgar/data/1730168/000173016825000121/0001730168-25-000121-index.html</t>
      </text>
    </comment>
    <comment ref="D21" authorId="0" shapeId="0">
      <text>
        <t>reported; tag_conflict
https://www.sec.gov/Archives/edgar/data/1730168/000173016818000084/0001730168-18-000084-index.html</t>
      </text>
    </comment>
    <comment ref="E21" authorId="0" shapeId="0">
      <text>
        <t>reported; tag_conflict
https://www.sec.gov/Archives/edgar/data/1730168/000173016819000144/0001730168-19-000144-index.html</t>
      </text>
    </comment>
    <comment ref="F21" authorId="0" shapeId="0">
      <text>
        <t>reported; long_year, tag_conflict
https://www.sec.gov/Archives/edgar/data/1730168/000173016820000226/0001730168-20-000226-index.html</t>
      </text>
    </comment>
    <comment ref="G21" authorId="0" shapeId="0">
      <text>
        <t>reported; 
https://www.sec.gov/Archives/edgar/data/1730168/000173016821000153/0001730168-21-000153-index.html</t>
      </text>
    </comment>
    <comment ref="H21" authorId="0" shapeId="0">
      <text>
        <t>reported; tag_conflict
https://www.sec.gov/Archives/edgar/data/1730168/000173016822000118/0001730168-22-000118-index.html</t>
      </text>
    </comment>
    <comment ref="I21" authorId="0" shapeId="0">
      <text>
        <t>reported; tag_conflict
https://www.sec.gov/Archives/edgar/data/1730168/000173016823000096/0001730168-23-000096-index.html</t>
      </text>
    </comment>
    <comment ref="J21" authorId="0" shapeId="0">
      <text>
        <t>reported; tag_conflict
https://www.sec.gov/Archives/edgar/data/1730168/000173016824000139/0001730168-24-000139-index.html</t>
      </text>
    </comment>
    <comment ref="K21" authorId="0" shapeId="0">
      <text>
        <t>reported; 
https://www.sec.gov/Archives/edgar/data/1730168/000173016825000121/0001730168-25-000121-index.html</t>
      </text>
    </comment>
    <comment ref="L21" authorId="0" shapeId="0">
      <text>
        <t>reported; long_year
https://www.sec.gov/Archives/edgar/data/1730168/000173016825000121/0001730168-25-000121-index.html</t>
      </text>
    </comment>
    <comment ref="M21" authorId="0" shapeId="0">
      <text>
        <t>reported; 
https://www.sec.gov/Archives/edgar/data/1730168/000173016825000121/0001730168-25-000121-index.html</t>
      </text>
    </comment>
    <comment ref="D22" authorId="0" shapeId="0">
      <text>
        <t>reported; 
https://www.sec.gov/Archives/edgar/data/1730168/000173016818000084/0001730168-18-000084-index.html</t>
      </text>
    </comment>
    <comment ref="E22" authorId="0" shapeId="0">
      <text>
        <t>reported; 
https://www.sec.gov/Archives/edgar/data/1730168/000173016819000144/0001730168-19-000144-index.html</t>
      </text>
    </comment>
    <comment ref="F22" authorId="0" shapeId="0">
      <text>
        <t>reported; long_year
https://www.sec.gov/Archives/edgar/data/1730168/000173016820000226/0001730168-20-000226-index.html</t>
      </text>
    </comment>
    <comment ref="G22" authorId="0" shapeId="0">
      <text>
        <t>reported; 
https://www.sec.gov/Archives/edgar/data/1730168/000173016821000153/0001730168-21-000153-index.html</t>
      </text>
    </comment>
    <comment ref="H22" authorId="0" shapeId="0">
      <text>
        <t>reported; 
https://www.sec.gov/Archives/edgar/data/1730168/000173016822000118/0001730168-22-000118-index.html</t>
      </text>
    </comment>
    <comment ref="I22" authorId="0" shapeId="0">
      <text>
        <t>reported; 
https://www.sec.gov/Archives/edgar/data/1730168/000173016823000096/0001730168-23-000096-index.html</t>
      </text>
    </comment>
    <comment ref="J22" authorId="0" shapeId="0">
      <text>
        <t>reported; 
https://www.sec.gov/Archives/edgar/data/1730168/000173016824000139/0001730168-24-000139-index.html</t>
      </text>
    </comment>
    <comment ref="K22" authorId="0" shapeId="0">
      <text>
        <t>reported; 
https://www.sec.gov/Archives/edgar/data/1730168/000173016825000121/0001730168-25-000121-index.html</t>
      </text>
    </comment>
    <comment ref="L22" authorId="0" shapeId="0">
      <text>
        <t>reported; long_year
https://www.sec.gov/Archives/edgar/data/1730168/000173016825000121/0001730168-25-000121-index.html</t>
      </text>
    </comment>
    <comment ref="M22" authorId="0" shapeId="0">
      <text>
        <t>reported; 
https://www.sec.gov/Archives/edgar/data/1730168/000173016825000121/0001730168-25-000121-index.html</t>
      </text>
    </comment>
    <comment ref="D23" authorId="0" shapeId="0">
      <text>
        <t>reported; 
https://www.sec.gov/Archives/edgar/data/1730168/000173016818000084/0001730168-18-000084-index.html</t>
      </text>
    </comment>
    <comment ref="E23" authorId="0" shapeId="0">
      <text>
        <t>reported; 
https://www.sec.gov/Archives/edgar/data/1730168/000173016819000144/0001730168-19-000144-index.html</t>
      </text>
    </comment>
    <comment ref="F23" authorId="0" shapeId="0">
      <text>
        <t>reported; long_year
https://www.sec.gov/Archives/edgar/data/1730168/000173016820000226/0001730168-20-000226-index.html</t>
      </text>
    </comment>
    <comment ref="G23" authorId="0" shapeId="0">
      <text>
        <t>reported; 
https://www.sec.gov/Archives/edgar/data/1730168/000173016821000153/0001730168-21-000153-index.html</t>
      </text>
    </comment>
    <comment ref="H23" authorId="0" shapeId="0">
      <text>
        <t>reported; 
https://www.sec.gov/Archives/edgar/data/1730168/000173016822000118/0001730168-22-000118-index.html</t>
      </text>
    </comment>
    <comment ref="I23" authorId="0" shapeId="0">
      <text>
        <t>reported; 
https://www.sec.gov/Archives/edgar/data/1730168/000173016823000096/0001730168-23-000096-index.html</t>
      </text>
    </comment>
    <comment ref="J23" authorId="0" shapeId="0">
      <text>
        <t>reported; 
https://www.sec.gov/Archives/edgar/data/1730168/000173016824000139/0001730168-24-000139-index.html</t>
      </text>
    </comment>
    <comment ref="K23" authorId="0" shapeId="0">
      <text>
        <t>reported; 
https://www.sec.gov/Archives/edgar/data/1730168/000173016825000121/0001730168-25-000121-index.html</t>
      </text>
    </comment>
    <comment ref="L23" authorId="0" shapeId="0">
      <text>
        <t>reported; long_year
https://www.sec.gov/Archives/edgar/data/1730168/000173016825000121/0001730168-25-000121-index.html</t>
      </text>
    </comment>
    <comment ref="M23" authorId="0" shapeId="0">
      <text>
        <t>reported; 
https://www.sec.gov/Archives/edgar/data/1730168/000173016825000121/0001730168-25-000121-index.html</t>
      </text>
    </comment>
    <comment ref="D24" authorId="0" shapeId="0">
      <text>
        <t>reported; split_adjusted
https://www.sec.gov/Archives/edgar/data/1730168/000173016818000084/0001730168-18-000084-index.html</t>
      </text>
    </comment>
    <comment ref="E24" authorId="0" shapeId="0">
      <text>
        <t>reported; split_adjusted
https://www.sec.gov/Archives/edgar/data/1730168/000173016819000144/0001730168-19-000144-index.html</t>
      </text>
    </comment>
    <comment ref="F24" authorId="0" shapeId="0">
      <text>
        <t>reported; long_year, split_adjusted
https://www.sec.gov/Archives/edgar/data/1730168/000173016820000226/0001730168-20-000226-index.html</t>
      </text>
    </comment>
    <comment ref="G24" authorId="0" shapeId="0">
      <text>
        <t>reported; split_adjusted
https://www.sec.gov/Archives/edgar/data/1730168/000173016821000153/0001730168-21-000153-index.html</t>
      </text>
    </comment>
    <comment ref="H24" authorId="0" shapeId="0">
      <text>
        <t>reported; split_adjusted
https://www.sec.gov/Archives/edgar/data/1730168/000173016822000118/0001730168-22-000118-index.html</t>
      </text>
    </comment>
    <comment ref="I24" authorId="0" shapeId="0">
      <text>
        <t>reported; split_adjusted
https://www.sec.gov/Archives/edgar/data/1730168/000173016823000096/0001730168-23-000096-index.html</t>
      </text>
    </comment>
    <comment ref="J24" authorId="0" shapeId="0">
      <text>
        <t>reported; split_adjusted
https://www.sec.gov/Archives/edgar/data/1730168/000173016824000139/0001730168-24-000139-index.html</t>
      </text>
    </comment>
    <comment ref="K24" authorId="0" shapeId="0">
      <text>
        <t>reported; restated
https://www.sec.gov/Archives/edgar/data/1730168/000173016825000121/0001730168-25-000121-index.html</t>
      </text>
    </comment>
    <comment ref="L24" authorId="0" shapeId="0">
      <text>
        <t>reported; long_year
https://www.sec.gov/Archives/edgar/data/1730168/000173016825000121/0001730168-25-000121-index.html</t>
      </text>
    </comment>
    <comment ref="M24" authorId="0" shapeId="0">
      <text>
        <t>reported; 
https://www.sec.gov/Archives/edgar/data/1730168/000173016825000121/0001730168-25-000121-index.html</t>
      </text>
    </comment>
    <comment ref="D25" authorId="0" shapeId="0">
      <text>
        <t>constructed; constructed
https://www.sec.gov/Archives/edgar/data/1730168/000173016819000144/0001730168-19-000144-index.html</t>
      </text>
    </comment>
    <comment ref="E25" authorId="0" shapeId="0">
      <text>
        <t>constructed; constructed
https://www.sec.gov/Archives/edgar/data/1730168/000173016820000226/0001730168-20-000226-index.html</t>
      </text>
    </comment>
    <comment ref="F25" authorId="0" shapeId="0">
      <text>
        <t>constructed; constructed
https://www.sec.gov/Archives/edgar/data/1730168/000173016821000153/0001730168-21-000153-index.html</t>
      </text>
    </comment>
    <comment ref="G25" authorId="0" shapeId="0">
      <text>
        <t>constructed; constructed
https://www.sec.gov/Archives/edgar/data/1730168/000173016821000153/0001730168-21-000153-index.html</t>
      </text>
    </comment>
    <comment ref="H25" authorId="0" shapeId="0">
      <text>
        <t>constructed; constructed
https://www.sec.gov/Archives/edgar/data/1730168/000173016821000153/0001730168-21-000153-index.html</t>
      </text>
    </comment>
    <comment ref="I25" authorId="0" shapeId="0">
      <text>
        <t>constructed; constructed
https://www.sec.gov/Archives/edgar/data/1730168/000173016822000118/0001730168-22-000118-index.html</t>
      </text>
    </comment>
    <comment ref="J25" authorId="0" shapeId="0">
      <text>
        <t>constructed; constructed
https://www.sec.gov/Archives/edgar/data/1730168/000173016823000096/0001730168-23-000096-index.html</t>
      </text>
    </comment>
    <comment ref="K25" authorId="0" shapeId="0">
      <text>
        <t>constructed; constructed
https://www.sec.gov/Archives/edgar/data/1730168/000173016824000139/0001730168-24-000139-index.html</t>
      </text>
    </comment>
    <comment ref="L25" authorId="0" shapeId="0">
      <text>
        <t>constructed; constructed
https://www.sec.gov/Archives/edgar/data/1730168/000173016825000121/0001730168-25-000121-index.html</t>
      </text>
    </comment>
    <comment ref="M25" authorId="0" shapeId="0">
      <text>
        <t>constructed; constructed
https://www.sec.gov/Archives/edgar/data/1730168/000173016825000121/0001730168-25-000121-index.html</t>
      </text>
    </comment>
    <comment ref="D26" authorId="0" shapeId="0">
      <text>
        <t xml:space="preserve">not_available; 
</t>
      </text>
    </comment>
    <comment ref="E26" authorId="0" shapeId="0">
      <text>
        <t>reported; 
https://www.sec.gov/Archives/edgar/data/1730168/000173016818000084/0001730168-18-000084-index.html</t>
      </text>
    </comment>
    <comment ref="F26" authorId="0" shapeId="0">
      <text>
        <t>reported; 
https://www.sec.gov/Archives/edgar/data/1730168/000173016819000144/0001730168-19-000144-index.html</t>
      </text>
    </comment>
    <comment ref="G26" authorId="0" shapeId="0">
      <text>
        <t>reported; 
https://www.sec.gov/Archives/edgar/data/1730168/000173016820000226/0001730168-20-000226-index.html</t>
      </text>
    </comment>
    <comment ref="H26" authorId="0" shapeId="0">
      <text>
        <t>reported; 
https://www.sec.gov/Archives/edgar/data/1730168/000173016821000153/0001730168-21-000153-index.html</t>
      </text>
    </comment>
    <comment ref="I26" authorId="0" shapeId="0">
      <text>
        <t>reported; 
https://www.sec.gov/Archives/edgar/data/1730168/000173016822000118/0001730168-22-000118-index.html</t>
      </text>
    </comment>
    <comment ref="J26" authorId="0" shapeId="0">
      <text>
        <t>reported; 
https://www.sec.gov/Archives/edgar/data/1730168/000173016823000096/0001730168-23-000096-index.html</t>
      </text>
    </comment>
    <comment ref="K26" authorId="0" shapeId="0">
      <text>
        <t>reported; 
https://www.sec.gov/Archives/edgar/data/1730168/000173016824000139/0001730168-24-000139-index.html</t>
      </text>
    </comment>
    <comment ref="L26" authorId="0" shapeId="0">
      <text>
        <t>reported; 
https://www.sec.gov/Archives/edgar/data/1730168/000173016825000121/0001730168-25-000121-index.html</t>
      </text>
    </comment>
    <comment ref="M26" authorId="0" shapeId="0">
      <text>
        <t>reported; 
https://www.sec.gov/Archives/edgar/data/1730168/000173016825000121/0001730168-25-000121-index.html</t>
      </text>
    </comment>
    <comment ref="D27" authorId="0" shapeId="0">
      <text>
        <t xml:space="preserve">not_available; 
</t>
      </text>
    </comment>
    <comment ref="E27" authorId="0" shapeId="0">
      <text>
        <t>reported; 
https://www.sec.gov/Archives/edgar/data/1730168/000173016818000084/0001730168-18-000084-index.html</t>
      </text>
    </comment>
    <comment ref="F27" authorId="0" shapeId="0">
      <text>
        <t>reported; 
https://www.sec.gov/Archives/edgar/data/1730168/000173016819000144/0001730168-19-000144-index.html</t>
      </text>
    </comment>
    <comment ref="G27" authorId="0" shapeId="0">
      <text>
        <t>reported; 
https://www.sec.gov/Archives/edgar/data/1730168/000173016820000226/0001730168-20-000226-index.html</t>
      </text>
    </comment>
    <comment ref="H27" authorId="0" shapeId="0">
      <text>
        <t>reported; 
https://www.sec.gov/Archives/edgar/data/1730168/000173016821000153/0001730168-21-000153-index.html</t>
      </text>
    </comment>
    <comment ref="I27" authorId="0" shapeId="0">
      <text>
        <t>reported; 
https://www.sec.gov/Archives/edgar/data/1730168/000173016822000118/0001730168-22-000118-index.html</t>
      </text>
    </comment>
    <comment ref="J27" authorId="0" shapeId="0">
      <text>
        <t>reported; 
https://www.sec.gov/Archives/edgar/data/1730168/000173016823000096/0001730168-23-000096-index.html</t>
      </text>
    </comment>
    <comment ref="K27" authorId="0" shapeId="0">
      <text>
        <t>reported; 
https://www.sec.gov/Archives/edgar/data/1730168/000173016824000139/0001730168-24-000139-index.html</t>
      </text>
    </comment>
    <comment ref="L27" authorId="0" shapeId="0">
      <text>
        <t>reported; 
https://www.sec.gov/Archives/edgar/data/1730168/000173016825000121/0001730168-25-000121-index.html</t>
      </text>
    </comment>
    <comment ref="M27" authorId="0" shapeId="0">
      <text>
        <t>reported; 
https://www.sec.gov/Archives/edgar/data/1730168/000173016825000121/0001730168-25-000121-index.html</t>
      </text>
    </comment>
    <comment ref="D28" authorId="0" shapeId="0">
      <text>
        <t xml:space="preserve">not_available; 
</t>
      </text>
    </comment>
    <comment ref="E28" authorId="0" shapeId="0">
      <text>
        <t>reported; 
https://www.sec.gov/Archives/edgar/data/1730168/000173016818000084/0001730168-18-000084-index.html</t>
      </text>
    </comment>
    <comment ref="F28" authorId="0" shapeId="0">
      <text>
        <t>reported; 
https://www.sec.gov/Archives/edgar/data/1730168/000173016819000144/0001730168-19-000144-index.html</t>
      </text>
    </comment>
    <comment ref="G28" authorId="0" shapeId="0">
      <text>
        <t>reported; 
https://www.sec.gov/Archives/edgar/data/1730168/000173016820000226/0001730168-20-000226-index.html</t>
      </text>
    </comment>
    <comment ref="H28" authorId="0" shapeId="0">
      <text>
        <t>reported; 
https://www.sec.gov/Archives/edgar/data/1730168/000173016821000153/0001730168-21-000153-index.html</t>
      </text>
    </comment>
    <comment ref="I28" authorId="0" shapeId="0">
      <text>
        <t>reported; 
https://www.sec.gov/Archives/edgar/data/1730168/000173016822000118/0001730168-22-000118-index.html</t>
      </text>
    </comment>
    <comment ref="J28" authorId="0" shapeId="0">
      <text>
        <t>reported; 
https://www.sec.gov/Archives/edgar/data/1730168/000173016823000096/0001730168-23-000096-index.html</t>
      </text>
    </comment>
    <comment ref="K28" authorId="0" shapeId="0">
      <text>
        <t>reported; 
https://www.sec.gov/Archives/edgar/data/1730168/000173016824000139/0001730168-24-000139-index.html</t>
      </text>
    </comment>
    <comment ref="L28" authorId="0" shapeId="0">
      <text>
        <t>reported; 
https://www.sec.gov/Archives/edgar/data/1730168/000173016825000121/0001730168-25-000121-index.html</t>
      </text>
    </comment>
    <comment ref="M28" authorId="0" shapeId="0">
      <text>
        <t>reported; 
https://www.sec.gov/Archives/edgar/data/1730168/000173016825000121/0001730168-25-000121-index.html</t>
      </text>
    </comment>
    <comment ref="D29" authorId="0" shapeId="0">
      <text>
        <t xml:space="preserve">not_available; 
</t>
      </text>
    </comment>
    <comment ref="E29" authorId="0" shapeId="0">
      <text>
        <t>reported; 
https://www.sec.gov/Archives/edgar/data/1730168/000173016818000084/0001730168-18-000084-index.html</t>
      </text>
    </comment>
    <comment ref="F29" authorId="0" shapeId="0">
      <text>
        <t>reported; 
https://www.sec.gov/Archives/edgar/data/1730168/000173016819000144/0001730168-19-000144-index.html</t>
      </text>
    </comment>
    <comment ref="G29" authorId="0" shapeId="0">
      <text>
        <t>reported; 
https://www.sec.gov/Archives/edgar/data/1730168/000173016820000226/0001730168-20-000226-index.html</t>
      </text>
    </comment>
    <comment ref="H29" authorId="0" shapeId="0">
      <text>
        <t>reported; 
https://www.sec.gov/Archives/edgar/data/1730168/000173016821000153/0001730168-21-000153-index.html</t>
      </text>
    </comment>
    <comment ref="I29" authorId="0" shapeId="0">
      <text>
        <t>reported; 
https://www.sec.gov/Archives/edgar/data/1730168/000173016822000118/0001730168-22-000118-index.html</t>
      </text>
    </comment>
    <comment ref="J29" authorId="0" shapeId="0">
      <text>
        <t>reported; 
https://www.sec.gov/Archives/edgar/data/1730168/000173016823000096/0001730168-23-000096-index.html</t>
      </text>
    </comment>
    <comment ref="K29" authorId="0" shapeId="0">
      <text>
        <t>reported; 
https://www.sec.gov/Archives/edgar/data/1730168/000173016824000139/0001730168-24-000139-index.html</t>
      </text>
    </comment>
    <comment ref="L29" authorId="0" shapeId="0">
      <text>
        <t>reported; 
https://www.sec.gov/Archives/edgar/data/1730168/000173016825000121/0001730168-25-000121-index.html</t>
      </text>
    </comment>
    <comment ref="M29" authorId="0" shapeId="0">
      <text>
        <t>reported; 
https://www.sec.gov/Archives/edgar/data/1730168/000173016825000121/0001730168-25-000121-index.html</t>
      </text>
    </comment>
    <comment ref="D30" authorId="0" shapeId="0">
      <text>
        <t>reported; 
https://www.sec.gov/Archives/edgar/data/1730168/000173016818000084/0001730168-18-000084-index.html</t>
      </text>
    </comment>
    <comment ref="E30" authorId="0" shapeId="0">
      <text>
        <t>reported; 
https://www.sec.gov/Archives/edgar/data/1730168/000173016819000144/0001730168-19-000144-index.html</t>
      </text>
    </comment>
    <comment ref="F30" authorId="0" shapeId="0">
      <text>
        <t>reported; 
https://www.sec.gov/Archives/edgar/data/1730168/000173016820000226/0001730168-20-000226-index.html</t>
      </text>
    </comment>
    <comment ref="G30" authorId="0" shapeId="0">
      <text>
        <t>reported; 
https://www.sec.gov/Archives/edgar/data/1730168/000173016821000153/0001730168-21-000153-index.html</t>
      </text>
    </comment>
    <comment ref="H30" authorId="0" shapeId="0">
      <text>
        <t>reported; 
https://www.sec.gov/Archives/edgar/data/1730168/000173016822000118/0001730168-22-000118-index.html</t>
      </text>
    </comment>
    <comment ref="I30" authorId="0" shapeId="0">
      <text>
        <t>reported; 
https://www.sec.gov/Archives/edgar/data/1730168/000173016823000096/0001730168-23-000096-index.html</t>
      </text>
    </comment>
    <comment ref="J30" authorId="0" shapeId="0">
      <text>
        <t>reported; 
https://www.sec.gov/Archives/edgar/data/1730168/000173016824000139/0001730168-24-000139-index.html</t>
      </text>
    </comment>
    <comment ref="K30" authorId="0" shapeId="0">
      <text>
        <t>reported; 
https://www.sec.gov/Archives/edgar/data/1730168/000173016825000121/0001730168-25-000121-index.html</t>
      </text>
    </comment>
    <comment ref="L30" authorId="0" shapeId="0">
      <text>
        <t>reported; 
https://www.sec.gov/Archives/edgar/data/1730168/000173016825000121/0001730168-25-000121-index.html</t>
      </text>
    </comment>
    <comment ref="M30" authorId="0" shapeId="0">
      <text>
        <t>reported; 
https://www.sec.gov/Archives/edgar/data/1730168/000173016825000121/0001730168-25-000121-index.html</t>
      </text>
    </comment>
    <comment ref="D31" authorId="0" shapeId="0">
      <text>
        <t xml:space="preserve">not_available; 
</t>
      </text>
    </comment>
    <comment ref="E31" authorId="0" shapeId="0">
      <text>
        <t>reported; tag_conflict
https://www.sec.gov/Archives/edgar/data/1730168/000173016818000084/0001730168-18-000084-index.html</t>
      </text>
    </comment>
    <comment ref="F31" authorId="0" shapeId="0">
      <text>
        <t>reported; tag_conflict
https://www.sec.gov/Archives/edgar/data/1730168/000173016819000144/0001730168-19-000144-index.html</t>
      </text>
    </comment>
    <comment ref="G31" authorId="0" shapeId="0">
      <text>
        <t>reported; tag_conflict
https://www.sec.gov/Archives/edgar/data/1730168/000173016820000226/0001730168-20-000226-index.html</t>
      </text>
    </comment>
    <comment ref="H31" authorId="0" shapeId="0">
      <text>
        <t>reported; 
https://www.sec.gov/Archives/edgar/data/1730168/000173016821000153/0001730168-21-000153-index.html</t>
      </text>
    </comment>
    <comment ref="I31" authorId="0" shapeId="0">
      <text>
        <t>reported; 
https://www.sec.gov/Archives/edgar/data/1730168/000173016822000118/0001730168-22-000118-index.html</t>
      </text>
    </comment>
    <comment ref="J31" authorId="0" shapeId="0">
      <text>
        <t>reported; 
https://www.sec.gov/Archives/edgar/data/1730168/000173016823000096/0001730168-23-000096-index.html</t>
      </text>
    </comment>
    <comment ref="K31" authorId="0" shapeId="0">
      <text>
        <t>reported; 
https://www.sec.gov/Archives/edgar/data/1730168/000173016824000139/0001730168-24-000139-index.html</t>
      </text>
    </comment>
    <comment ref="L31" authorId="0" shapeId="0">
      <text>
        <t>reported; tag_conflict
https://www.sec.gov/Archives/edgar/data/1730168/000173016825000121/0001730168-25-000121-index.html</t>
      </text>
    </comment>
    <comment ref="M31" authorId="0" shapeId="0">
      <text>
        <t>reported; tag_conflict
https://www.sec.gov/Archives/edgar/data/1730168/000173016825000121/0001730168-25-000121-index.html</t>
      </text>
    </comment>
    <comment ref="D32" authorId="0" shapeId="0">
      <text>
        <t xml:space="preserve">not_available; 
</t>
      </text>
    </comment>
    <comment ref="E32" authorId="0" shapeId="0">
      <text>
        <t>reported; 
https://www.sec.gov/Archives/edgar/data/1730168/000173016818000084/0001730168-18-000084-index.html</t>
      </text>
    </comment>
    <comment ref="F32" authorId="0" shapeId="0">
      <text>
        <t>reported; 
https://www.sec.gov/Archives/edgar/data/1730168/000173016819000144/0001730168-19-000144-index.html</t>
      </text>
    </comment>
    <comment ref="G32" authorId="0" shapeId="0">
      <text>
        <t>reported; 
https://www.sec.gov/Archives/edgar/data/1730168/000173016820000226/0001730168-20-000226-index.html</t>
      </text>
    </comment>
    <comment ref="H32" authorId="0" shapeId="0">
      <text>
        <t>reported; 
https://www.sec.gov/Archives/edgar/data/1730168/000173016821000153/0001730168-21-000153-index.html</t>
      </text>
    </comment>
    <comment ref="I32" authorId="0" shapeId="0">
      <text>
        <t>reported; 
https://www.sec.gov/Archives/edgar/data/1730168/000173016822000118/0001730168-22-000118-index.html</t>
      </text>
    </comment>
    <comment ref="J32" authorId="0" shapeId="0">
      <text>
        <t>reported; 
https://www.sec.gov/Archives/edgar/data/1730168/000173016823000096/0001730168-23-000096-index.html</t>
      </text>
    </comment>
    <comment ref="K32" authorId="0" shapeId="0">
      <text>
        <t>reported; 
https://www.sec.gov/Archives/edgar/data/1730168/000173016824000139/0001730168-24-000139-index.html</t>
      </text>
    </comment>
    <comment ref="L32" authorId="0" shapeId="0">
      <text>
        <t>reported; 
https://www.sec.gov/Archives/edgar/data/1730168/000173016825000121/0001730168-25-000121-index.html</t>
      </text>
    </comment>
    <comment ref="M32" authorId="0" shapeId="0">
      <text>
        <t>reported; 
https://www.sec.gov/Archives/edgar/data/1730168/000173016825000121/0001730168-25-000121-index.html</t>
      </text>
    </comment>
    <comment ref="D33" authorId="0" shapeId="0">
      <text>
        <t xml:space="preserve">not_available; 
</t>
      </text>
    </comment>
    <comment ref="E33" authorId="0" shapeId="0">
      <text>
        <t>reported; 
https://www.sec.gov/Archives/edgar/data/1730168/000173016818000084/0001730168-18-000084-index.html</t>
      </text>
    </comment>
    <comment ref="F33" authorId="0" shapeId="0">
      <text>
        <t>reported; 
https://www.sec.gov/Archives/edgar/data/1730168/000173016819000144/0001730168-19-000144-index.html</t>
      </text>
    </comment>
    <comment ref="G33" authorId="0" shapeId="0">
      <text>
        <t>reported; 
https://www.sec.gov/Archives/edgar/data/1730168/000173016820000226/0001730168-20-000226-index.html</t>
      </text>
    </comment>
    <comment ref="H33" authorId="0" shapeId="0">
      <text>
        <t>reported; 
https://www.sec.gov/Archives/edgar/data/1730168/000173016821000153/0001730168-21-000153-index.html</t>
      </text>
    </comment>
    <comment ref="I33" authorId="0" shapeId="0">
      <text>
        <t>reported; 
https://www.sec.gov/Archives/edgar/data/1730168/000173016822000118/0001730168-22-000118-index.html</t>
      </text>
    </comment>
    <comment ref="J33" authorId="0" shapeId="0">
      <text>
        <t>reported; 
https://www.sec.gov/Archives/edgar/data/1730168/000173016823000096/0001730168-23-000096-index.html</t>
      </text>
    </comment>
    <comment ref="K33" authorId="0" shapeId="0">
      <text>
        <t>reported; 
https://www.sec.gov/Archives/edgar/data/1730168/000173016824000139/0001730168-24-000139-index.html</t>
      </text>
    </comment>
    <comment ref="L33" authorId="0" shapeId="0">
      <text>
        <t>reported; 
https://www.sec.gov/Archives/edgar/data/1730168/000173016825000121/0001730168-25-000121-index.html</t>
      </text>
    </comment>
    <comment ref="M33" authorId="0" shapeId="0">
      <text>
        <t>reported; 
https://www.sec.gov/Archives/edgar/data/1730168/000173016825000121/0001730168-25-000121-index.html</t>
      </text>
    </comment>
    <comment ref="D34" authorId="0" shapeId="0">
      <text>
        <t xml:space="preserve">not_available; 
</t>
      </text>
    </comment>
    <comment ref="E34" authorId="0" shapeId="0">
      <text>
        <t>reported; 
https://www.sec.gov/Archives/edgar/data/1730168/000173016818000084/0001730168-18-000084-index.html</t>
      </text>
    </comment>
    <comment ref="F34" authorId="0" shapeId="0">
      <text>
        <t>reported; 
https://www.sec.gov/Archives/edgar/data/1730168/000173016819000144/0001730168-19-000144-index.html</t>
      </text>
    </comment>
    <comment ref="G34" authorId="0" shapeId="0">
      <text>
        <t>reported; 
https://www.sec.gov/Archives/edgar/data/1730168/000173016820000226/0001730168-20-000226-index.html</t>
      </text>
    </comment>
    <comment ref="H34" authorId="0" shapeId="0">
      <text>
        <t>reported; 
https://www.sec.gov/Archives/edgar/data/1730168/000173016821000153/0001730168-21-000153-index.html</t>
      </text>
    </comment>
    <comment ref="I34" authorId="0" shapeId="0">
      <text>
        <t>reported; 
https://www.sec.gov/Archives/edgar/data/1730168/000173016822000118/0001730168-22-000118-index.html</t>
      </text>
    </comment>
    <comment ref="J34" authorId="0" shapeId="0">
      <text>
        <t>reported; 
https://www.sec.gov/Archives/edgar/data/1730168/000173016823000096/0001730168-23-000096-index.html</t>
      </text>
    </comment>
    <comment ref="K34" authorId="0" shapeId="0">
      <text>
        <t>reported; 
https://www.sec.gov/Archives/edgar/data/1730168/000173016824000139/0001730168-24-000139-index.html</t>
      </text>
    </comment>
    <comment ref="L34" authorId="0" shapeId="0">
      <text>
        <t>reported; 
https://www.sec.gov/Archives/edgar/data/1730168/000173016825000121/0001730168-25-000121-index.html</t>
      </text>
    </comment>
    <comment ref="M34" authorId="0" shapeId="0">
      <text>
        <t>reported; 
https://www.sec.gov/Archives/edgar/data/1730168/000173016825000121/0001730168-25-000121-index.html</t>
      </text>
    </comment>
    <comment ref="D35" authorId="0" shapeId="0">
      <text>
        <t xml:space="preserve">not_available; 
</t>
      </text>
    </comment>
    <comment ref="E35" authorId="0" shapeId="0">
      <text>
        <t>reported; 
https://www.sec.gov/Archives/edgar/data/1730168/000173016818000084/0001730168-18-000084-index.html</t>
      </text>
    </comment>
    <comment ref="F35" authorId="0" shapeId="0">
      <text>
        <t>reported; 
https://www.sec.gov/Archives/edgar/data/1730168/000173016819000144/0001730168-19-000144-index.html</t>
      </text>
    </comment>
    <comment ref="G35" authorId="0" shapeId="0">
      <text>
        <t>reported; 
https://www.sec.gov/Archives/edgar/data/1730168/000173016820000226/0001730168-20-000226-index.html</t>
      </text>
    </comment>
    <comment ref="H35" authorId="0" shapeId="0">
      <text>
        <t>reported; 
https://www.sec.gov/Archives/edgar/data/1730168/000173016821000153/0001730168-21-000153-index.html</t>
      </text>
    </comment>
    <comment ref="I35" authorId="0" shapeId="0">
      <text>
        <t>reported; restated
https://www.sec.gov/Archives/edgar/data/1730168/000173016822000118/0001730168-22-000118-index.html</t>
      </text>
    </comment>
    <comment ref="J35" authorId="0" shapeId="0">
      <text>
        <t>reported; 
https://www.sec.gov/Archives/edgar/data/1730168/000173016823000096/0001730168-23-000096-index.html</t>
      </text>
    </comment>
    <comment ref="K35" authorId="0" shapeId="0">
      <text>
        <t>reported; 
https://www.sec.gov/Archives/edgar/data/1730168/000173016824000139/0001730168-24-000139-index.html</t>
      </text>
    </comment>
    <comment ref="L35" authorId="0" shapeId="0">
      <text>
        <t>reported; 
https://www.sec.gov/Archives/edgar/data/1730168/000173016825000121/0001730168-25-000121-index.html</t>
      </text>
    </comment>
    <comment ref="M35" authorId="0" shapeId="0">
      <text>
        <t>reported; 
https://www.sec.gov/Archives/edgar/data/1730168/000173016825000121/0001730168-25-000121-index.html</t>
      </text>
    </comment>
    <comment ref="D36" authorId="0" shapeId="0">
      <text>
        <t xml:space="preserve">not_available; 
</t>
      </text>
    </comment>
    <comment ref="E36" authorId="0" shapeId="0">
      <text>
        <t>reported; tag_conflict
https://www.sec.gov/Archives/edgar/data/1730168/000173016818000084/0001730168-18-000084-index.html</t>
      </text>
    </comment>
    <comment ref="F36" authorId="0" shapeId="0">
      <text>
        <t>reported; 
https://www.sec.gov/Archives/edgar/data/1730168/000173016819000144/0001730168-19-000144-index.html</t>
      </text>
    </comment>
    <comment ref="G36" authorId="0" shapeId="0">
      <text>
        <t>reported; tag_conflict
https://www.sec.gov/Archives/edgar/data/1730168/000173016820000226/0001730168-20-000226-index.html</t>
      </text>
    </comment>
    <comment ref="H36" authorId="0" shapeId="0">
      <text>
        <t>reported; tag_conflict
https://www.sec.gov/Archives/edgar/data/1730168/000173016821000153/0001730168-21-000153-index.html</t>
      </text>
    </comment>
    <comment ref="I36" authorId="0" shapeId="0">
      <text>
        <t>reported; 
https://www.sec.gov/Archives/edgar/data/1730168/000173016821000153/0001730168-21-000153-index.html</t>
      </text>
    </comment>
    <comment ref="J36" authorId="0" shapeId="0">
      <text>
        <t>reported; 
https://www.sec.gov/Archives/edgar/data/1730168/000173016823000096/0001730168-23-000096-index.html</t>
      </text>
    </comment>
    <comment ref="K36" authorId="0" shapeId="0">
      <text>
        <t>reported; 
https://www.sec.gov/Archives/edgar/data/1730168/000173016824000139/0001730168-24-000139-index.html</t>
      </text>
    </comment>
    <comment ref="L36" authorId="0" shapeId="0">
      <text>
        <t>reported; 
https://www.sec.gov/Archives/edgar/data/1730168/000173016825000121/0001730168-25-000121-index.html</t>
      </text>
    </comment>
    <comment ref="M36" authorId="0" shapeId="0">
      <text>
        <t>reported; 
https://www.sec.gov/Archives/edgar/data/1730168/000173016825000121/0001730168-25-000121-index.html</t>
      </text>
    </comment>
    <comment ref="D37" authorId="0" shapeId="0">
      <text>
        <t xml:space="preserve">not_available; 
</t>
      </text>
    </comment>
    <comment ref="E37" authorId="0" shapeId="0">
      <text>
        <t xml:space="preserve">not_available; 
</t>
      </text>
    </comment>
    <comment ref="F37" authorId="0" shapeId="0">
      <text>
        <t xml:space="preserve">not_available; 
</t>
      </text>
    </comment>
    <comment ref="G37" authorId="0" shapeId="0">
      <text>
        <t xml:space="preserve">not_available; 
</t>
      </text>
    </comment>
    <comment ref="H37" authorId="0" shapeId="0">
      <text>
        <t xml:space="preserve">not_available; 
</t>
      </text>
    </comment>
    <comment ref="I37" authorId="0" shapeId="0">
      <text>
        <t xml:space="preserve">not_available; 
</t>
      </text>
    </comment>
    <comment ref="J37" authorId="0" shapeId="0">
      <text>
        <t xml:space="preserve">not_available; 
</t>
      </text>
    </comment>
    <comment ref="K37" authorId="0" shapeId="0">
      <text>
        <t xml:space="preserve">not_available; 
</t>
      </text>
    </comment>
    <comment ref="L37" authorId="0" shapeId="0">
      <text>
        <t xml:space="preserve">not_available; 
</t>
      </text>
    </comment>
    <comment ref="M37" authorId="0" shapeId="0">
      <text>
        <t xml:space="preserve">not_available; 
</t>
      </text>
    </comment>
    <comment ref="D38" authorId="0" shapeId="0">
      <text>
        <t xml:space="preserve">not_available; 
</t>
      </text>
    </comment>
    <comment ref="E38" authorId="0" shapeId="0">
      <text>
        <t xml:space="preserve">not_available; 
</t>
      </text>
    </comment>
    <comment ref="F38" authorId="0" shapeId="0">
      <text>
        <t xml:space="preserve">not_available; 
</t>
      </text>
    </comment>
    <comment ref="G38" authorId="0" shapeId="0">
      <text>
        <t xml:space="preserve">not_available; 
</t>
      </text>
    </comment>
    <comment ref="H38" authorId="0" shapeId="0">
      <text>
        <t>reported; tag_conflict
https://www.sec.gov/Archives/edgar/data/1730168/000173016820000226/0001730168-20-000226-index.html</t>
      </text>
    </comment>
    <comment ref="I38" authorId="0" shapeId="0">
      <text>
        <t>reported; tag_conflict
https://www.sec.gov/Archives/edgar/data/1730168/000173016821000153/0001730168-21-000153-index.html</t>
      </text>
    </comment>
    <comment ref="J38" authorId="0" shapeId="0">
      <text>
        <t>reported; tag_conflict
https://www.sec.gov/Archives/edgar/data/1730168/000173016822000118/0001730168-22-000118-index.html</t>
      </text>
    </comment>
    <comment ref="K38" authorId="0" shapeId="0">
      <text>
        <t>reported; tag_conflict
https://www.sec.gov/Archives/edgar/data/1730168/000173016823000096/0001730168-23-000096-index.html</t>
      </text>
    </comment>
    <comment ref="L38" authorId="0" shapeId="0">
      <text>
        <t>reported; tag_conflict
https://www.sec.gov/Archives/edgar/data/1730168/000173016824000139/0001730168-24-000139-index.html</t>
      </text>
    </comment>
    <comment ref="M38" authorId="0" shapeId="0">
      <text>
        <t>reported; tag_conflict
https://www.sec.gov/Archives/edgar/data/1730168/000173016825000121/0001730168-25-000121-index.html</t>
      </text>
    </comment>
    <comment ref="D39" authorId="0" shapeId="0">
      <text>
        <t xml:space="preserve">not_available; 
</t>
      </text>
    </comment>
    <comment ref="E39" authorId="0" shapeId="0">
      <text>
        <t>reported; 
https://www.sec.gov/Archives/edgar/data/1730168/000173016818000084/0001730168-18-000084-index.html</t>
      </text>
    </comment>
    <comment ref="F39" authorId="0" shapeId="0">
      <text>
        <t>reported; 
https://www.sec.gov/Archives/edgar/data/1730168/000173016819000144/0001730168-19-000144-index.html</t>
      </text>
    </comment>
    <comment ref="G39" authorId="0" shapeId="0">
      <text>
        <t>reported; 
https://www.sec.gov/Archives/edgar/data/1730168/000173016820000226/0001730168-20-000226-index.html</t>
      </text>
    </comment>
    <comment ref="H39" authorId="0" shapeId="0">
      <text>
        <t>reported; 
https://www.sec.gov/Archives/edgar/data/1730168/000173016821000153/0001730168-21-000153-index.html</t>
      </text>
    </comment>
    <comment ref="I39" authorId="0" shapeId="0">
      <text>
        <t>reported; 
https://www.sec.gov/Archives/edgar/data/1730168/000173016822000118/0001730168-22-000118-index.html</t>
      </text>
    </comment>
    <comment ref="J39" authorId="0" shapeId="0">
      <text>
        <t>reported; 
https://www.sec.gov/Archives/edgar/data/1730168/000173016823000096/0001730168-23-000096-index.html</t>
      </text>
    </comment>
    <comment ref="K39" authorId="0" shapeId="0">
      <text>
        <t>reported; 
https://www.sec.gov/Archives/edgar/data/1730168/000173016824000139/0001730168-24-000139-index.html</t>
      </text>
    </comment>
    <comment ref="L39" authorId="0" shapeId="0">
      <text>
        <t>reported; 
https://www.sec.gov/Archives/edgar/data/1730168/000173016825000121/0001730168-25-000121-index.html</t>
      </text>
    </comment>
    <comment ref="M39" authorId="0" shapeId="0">
      <text>
        <t>reported; 
https://www.sec.gov/Archives/edgar/data/1730168/000173016825000121/0001730168-25-000121-index.html</t>
      </text>
    </comment>
    <comment ref="D40" authorId="0" shapeId="0">
      <text>
        <t>reported; 
https://www.sec.gov/Archives/edgar/data/1730168/000173016819000144/0001730168-19-000144-index.html</t>
      </text>
    </comment>
    <comment ref="E40" authorId="0" shapeId="0">
      <text>
        <t>reported; tag_conflict
https://www.sec.gov/Archives/edgar/data/1730168/000173016818000084/0001730168-18-000084-index.html</t>
      </text>
    </comment>
    <comment ref="F40" authorId="0" shapeId="0">
      <text>
        <t>reported; 
https://www.sec.gov/Archives/edgar/data/1730168/000173016819000144/0001730168-19-000144-index.html</t>
      </text>
    </comment>
    <comment ref="G40" authorId="0" shapeId="0">
      <text>
        <t>reported; 
https://www.sec.gov/Archives/edgar/data/1730168/000173016819000144/0001730168-19-000144-index.html</t>
      </text>
    </comment>
    <comment ref="H40" authorId="0" shapeId="0">
      <text>
        <t>reported; 
https://www.sec.gov/Archives/edgar/data/1730168/000173016823000096/0001730168-23-000096-index.html</t>
      </text>
    </comment>
    <comment ref="I40" authorId="0" shapeId="0">
      <text>
        <t>reported; 
https://www.sec.gov/Archives/edgar/data/1730168/000173016824000139/0001730168-24-000139-index.html</t>
      </text>
    </comment>
    <comment ref="J40" authorId="0" shapeId="0">
      <text>
        <t>reported; 
https://www.sec.gov/Archives/edgar/data/1730168/000173016825000121/0001730168-25-000121-index.html</t>
      </text>
    </comment>
    <comment ref="K40" authorId="0" shapeId="0">
      <text>
        <t>reported; 
https://www.sec.gov/Archives/edgar/data/1730168/000173016825000121/0001730168-25-000121-index.html</t>
      </text>
    </comment>
    <comment ref="L40" authorId="0" shapeId="0">
      <text>
        <t>reported; 
https://www.sec.gov/Archives/edgar/data/1730168/000173016825000121/0001730168-25-000121-index.html</t>
      </text>
    </comment>
    <comment ref="M40" authorId="0" shapeId="0">
      <text>
        <t>reported; 
https://www.sec.gov/Archives/edgar/data/1730168/000173016825000121/0001730168-25-000121-index.html</t>
      </text>
    </comment>
    <comment ref="D41" authorId="0" shapeId="0">
      <text>
        <t xml:space="preserve">not_available; 
</t>
      </text>
    </comment>
    <comment ref="E41" authorId="0" shapeId="0">
      <text>
        <t>reported; 
https://www.sec.gov/Archives/edgar/data/1730168/000173016818000084/0001730168-18-000084-index.html</t>
      </text>
    </comment>
    <comment ref="F41" authorId="0" shapeId="0">
      <text>
        <t>reported; 
https://www.sec.gov/Archives/edgar/data/1730168/000173016818000084/0001730168-18-000084-index.html</t>
      </text>
    </comment>
    <comment ref="G41" authorId="0" shapeId="0">
      <text>
        <t xml:space="preserve">not_available; 
</t>
      </text>
    </comment>
    <comment ref="H41" authorId="0" shapeId="0">
      <text>
        <t xml:space="preserve">not_available; 
</t>
      </text>
    </comment>
    <comment ref="I41" authorId="0" shapeId="0">
      <text>
        <t xml:space="preserve">not_available; 
</t>
      </text>
    </comment>
    <comment ref="J41" authorId="0" shapeId="0">
      <text>
        <t xml:space="preserve">not_available; 
</t>
      </text>
    </comment>
    <comment ref="K41" authorId="0" shapeId="0">
      <text>
        <t xml:space="preserve">not_available; 
</t>
      </text>
    </comment>
    <comment ref="L41" authorId="0" shapeId="0">
      <text>
        <t xml:space="preserve">not_available; 
</t>
      </text>
    </comment>
    <comment ref="M41" authorId="0" shapeId="0">
      <text>
        <t xml:space="preserve">not_available; 
</t>
      </text>
    </comment>
    <comment ref="D42" authorId="0" shapeId="0">
      <text>
        <t xml:space="preserve">not_available; 
</t>
      </text>
    </comment>
    <comment ref="E42" authorId="0" shapeId="0">
      <text>
        <t>reported; 
https://www.sec.gov/Archives/edgar/data/1730168/000173016818000084/0001730168-18-000084-index.html</t>
      </text>
    </comment>
    <comment ref="F42" authorId="0" shapeId="0">
      <text>
        <t>reported; 
https://www.sec.gov/Archives/edgar/data/1730168/000173016819000144/0001730168-19-000144-index.html</t>
      </text>
    </comment>
    <comment ref="G42" authorId="0" shapeId="0">
      <text>
        <t>reported; 
https://www.sec.gov/Archives/edgar/data/1730168/000173016820000226/0001730168-20-000226-index.html</t>
      </text>
    </comment>
    <comment ref="H42" authorId="0" shapeId="0">
      <text>
        <t>reported; 
https://www.sec.gov/Archives/edgar/data/1730168/000173016821000153/0001730168-21-000153-index.html</t>
      </text>
    </comment>
    <comment ref="I42" authorId="0" shapeId="0">
      <text>
        <t>reported; 
https://www.sec.gov/Archives/edgar/data/1730168/000173016822000118/0001730168-22-000118-index.html</t>
      </text>
    </comment>
    <comment ref="J42" authorId="0" shapeId="0">
      <text>
        <t>reported; 
https://www.sec.gov/Archives/edgar/data/1730168/000173016823000096/0001730168-23-000096-index.html</t>
      </text>
    </comment>
    <comment ref="K42" authorId="0" shapeId="0">
      <text>
        <t>reported; 
https://www.sec.gov/Archives/edgar/data/1730168/000173016824000139/0001730168-24-000139-index.html</t>
      </text>
    </comment>
    <comment ref="L42" authorId="0" shapeId="0">
      <text>
        <t>reported; 
https://www.sec.gov/Archives/edgar/data/1730168/000173016825000121/0001730168-25-000121-index.html</t>
      </text>
    </comment>
    <comment ref="M42" authorId="0" shapeId="0">
      <text>
        <t>reported; 
https://www.sec.gov/Archives/edgar/data/1730168/000173016825000121/0001730168-25-000121-index.html</t>
      </text>
    </comment>
    <comment ref="D43" authorId="0" shapeId="0">
      <text>
        <t xml:space="preserve">not_available; 
</t>
      </text>
    </comment>
    <comment ref="E43" authorId="0" shapeId="0">
      <text>
        <t>reported; split_adjusted
https://www.sec.gov/Archives/edgar/data/1730168/000173016818000084/0001730168-18-000084-index.html</t>
      </text>
    </comment>
    <comment ref="F43" authorId="0" shapeId="0">
      <text>
        <t>reported; split_adjusted
https://www.sec.gov/Archives/edgar/data/1730168/000173016819000144/0001730168-19-000144-index.html</t>
      </text>
    </comment>
    <comment ref="G43" authorId="0" shapeId="0">
      <text>
        <t>reported; restated, split_adjusted
https://www.sec.gov/Archives/edgar/data/1730168/000173016820000226/0001730168-20-000226-index.html</t>
      </text>
    </comment>
    <comment ref="H43" authorId="0" shapeId="0">
      <text>
        <t>reported; split_adjusted
https://www.sec.gov/Archives/edgar/data/1730168/000173016821000153/0001730168-21-000153-index.html</t>
      </text>
    </comment>
    <comment ref="I43" authorId="0" shapeId="0">
      <text>
        <t>reported; split_adjusted
https://www.sec.gov/Archives/edgar/data/1730168/000173016822000118/0001730168-22-000118-index.html</t>
      </text>
    </comment>
    <comment ref="J43" authorId="0" shapeId="0">
      <text>
        <t>reported; split_adjusted
https://www.sec.gov/Archives/edgar/data/1730168/000173016823000096/0001730168-23-000096-index.html</t>
      </text>
    </comment>
    <comment ref="K43" authorId="0" shapeId="0">
      <text>
        <t>reported; split_adjusted
https://www.sec.gov/Archives/edgar/data/1730168/000173016824000139/0001730168-24-000139-index.html</t>
      </text>
    </comment>
    <comment ref="L43" authorId="0" shapeId="0">
      <text>
        <t>reported; 
https://www.sec.gov/Archives/edgar/data/1730168/000173016825000121/0001730168-25-000121-index.html</t>
      </text>
    </comment>
    <comment ref="M43" authorId="0" shapeId="0">
      <text>
        <t>reported; 
https://www.sec.gov/Archives/edgar/data/1730168/000173016825000121/0001730168-25-000121-index.html</t>
      </text>
    </comment>
    <comment ref="D44" authorId="0" shapeId="0">
      <text>
        <t xml:space="preserve">not_available; 
</t>
      </text>
    </comment>
    <comment ref="E44" authorId="0" shapeId="0">
      <text>
        <t xml:space="preserve">not_available; 
</t>
      </text>
    </comment>
    <comment ref="F44" authorId="0" shapeId="0">
      <text>
        <t>reported; 
https://www.sec.gov/Archives/edgar/data/1730168/000173016818000084/0001730168-18-000084-index.html</t>
      </text>
    </comment>
    <comment ref="G44" authorId="0" shapeId="0">
      <text>
        <t>reported; 
https://www.sec.gov/Archives/edgar/data/1730168/000173016819000144/0001730168-19-000144-index.html</t>
      </text>
    </comment>
    <comment ref="H44" authorId="0" shapeId="0">
      <text>
        <t xml:space="preserve">not_available; 
</t>
      </text>
    </comment>
    <comment ref="I44" authorId="0" shapeId="0">
      <text>
        <t>reported; 
https://www.sec.gov/Archives/edgar/data/1730168/000173016821000153/0001730168-21-000153-index.html</t>
      </text>
    </comment>
    <comment ref="J44" authorId="0" shapeId="0">
      <text>
        <t>reported; 
https://www.sec.gov/Archives/edgar/data/1730168/000173016822000118/0001730168-22-000118-index.html</t>
      </text>
    </comment>
    <comment ref="K44" authorId="0" shapeId="0">
      <text>
        <t>reported; 
https://www.sec.gov/Archives/edgar/data/1730168/000173016823000096/0001730168-23-000096-index.html</t>
      </text>
    </comment>
    <comment ref="L44" authorId="0" shapeId="0">
      <text>
        <t>reported; 
https://www.sec.gov/Archives/edgar/data/1730168/000173016824000139/0001730168-24-000139-index.html</t>
      </text>
    </comment>
    <comment ref="M44" authorId="0" shapeId="0">
      <text>
        <t>reported; 
https://www.sec.gov/Archives/edgar/data/1730168/000173016825000121/0001730168-25-000121-index.html</t>
      </text>
    </comment>
    <comment ref="D45" authorId="0" shapeId="0">
      <text>
        <t xml:space="preserve">not_available; 
</t>
      </text>
    </comment>
    <comment ref="E45" authorId="0" shapeId="0">
      <text>
        <t xml:space="preserve">not_available; 
</t>
      </text>
    </comment>
    <comment ref="F45" authorId="0" shapeId="0">
      <text>
        <t>reported; 
https://www.sec.gov/Archives/edgar/data/1730168/000173016818000084/0001730168-18-000084-index.html</t>
      </text>
    </comment>
    <comment ref="G45" authorId="0" shapeId="0">
      <text>
        <t>reported; 
https://www.sec.gov/Archives/edgar/data/1730168/000173016819000144/0001730168-19-000144-index.html</t>
      </text>
    </comment>
    <comment ref="H45" authorId="0" shapeId="0">
      <text>
        <t>reported; 
https://www.sec.gov/Archives/edgar/data/1730168/000173016820000226/0001730168-20-000226-index.html</t>
      </text>
    </comment>
    <comment ref="I45" authorId="0" shapeId="0">
      <text>
        <t>reported; 
https://www.sec.gov/Archives/edgar/data/1730168/000173016821000153/0001730168-21-000153-index.html</t>
      </text>
    </comment>
    <comment ref="J45" authorId="0" shapeId="0">
      <text>
        <t>reported; 
https://www.sec.gov/Archives/edgar/data/1730168/000173016822000118/0001730168-22-000118-index.html</t>
      </text>
    </comment>
    <comment ref="K45" authorId="0" shapeId="0">
      <text>
        <t>reported; 
https://www.sec.gov/Archives/edgar/data/1730168/000173016823000096/0001730168-23-000096-index.html</t>
      </text>
    </comment>
    <comment ref="L45" authorId="0" shapeId="0">
      <text>
        <t>reported; 
https://www.sec.gov/Archives/edgar/data/1730168/000173016824000139/0001730168-24-000139-index.html</t>
      </text>
    </comment>
    <comment ref="M45" authorId="0" shapeId="0">
      <text>
        <t>reported; 
https://www.sec.gov/Archives/edgar/data/1730168/000173016825000121/0001730168-25-000121-index.html</t>
      </text>
    </comment>
    <comment ref="D46" authorId="0" shapeId="0">
      <text>
        <t xml:space="preserve">not_available; 
</t>
      </text>
    </comment>
    <comment ref="E46" authorId="0" shapeId="0">
      <text>
        <t xml:space="preserve">not_available; 
</t>
      </text>
    </comment>
    <comment ref="F46" authorId="0" shapeId="0">
      <text>
        <t>reported; 
https://www.sec.gov/Archives/edgar/data/1730168/000173016818000084/0001730168-18-000084-index.html</t>
      </text>
    </comment>
    <comment ref="G46" authorId="0" shapeId="0">
      <text>
        <t>reported; 
https://www.sec.gov/Archives/edgar/data/1730168/000173016819000144/0001730168-19-000144-index.html</t>
      </text>
    </comment>
    <comment ref="H46" authorId="0" shapeId="0">
      <text>
        <t>reported; 
https://www.sec.gov/Archives/edgar/data/1730168/000173016820000226/0001730168-20-000226-index.html</t>
      </text>
    </comment>
    <comment ref="I46" authorId="0" shapeId="0">
      <text>
        <t>reported; 
https://www.sec.gov/Archives/edgar/data/1730168/000173016821000153/0001730168-21-000153-index.html</t>
      </text>
    </comment>
    <comment ref="J46" authorId="0" shapeId="0">
      <text>
        <t>reported; 
https://www.sec.gov/Archives/edgar/data/1730168/000173016822000118/0001730168-22-000118-index.html</t>
      </text>
    </comment>
    <comment ref="K46" authorId="0" shapeId="0">
      <text>
        <t>reported; 
https://www.sec.gov/Archives/edgar/data/1730168/000173016823000096/0001730168-23-000096-index.html</t>
      </text>
    </comment>
    <comment ref="L46" authorId="0" shapeId="0">
      <text>
        <t>reported; 
https://www.sec.gov/Archives/edgar/data/1730168/000173016824000139/0001730168-24-000139-index.html</t>
      </text>
    </comment>
    <comment ref="M46" authorId="0" shapeId="0">
      <text>
        <t>reported; 
https://www.sec.gov/Archives/edgar/data/1730168/000173016825000121/0001730168-25-000121-index.html</t>
      </text>
    </comment>
    <comment ref="D47" authorId="0" shapeId="0">
      <text>
        <t xml:space="preserve">not_available; 
</t>
      </text>
    </comment>
    <comment ref="E47" authorId="0" shapeId="0">
      <text>
        <t xml:space="preserve">not_available; 
</t>
      </text>
    </comment>
    <comment ref="F47" authorId="0" shapeId="0">
      <text>
        <t>reported; 
https://www.sec.gov/Archives/edgar/data/1730168/000173016818000084/0001730168-18-000084-index.html</t>
      </text>
    </comment>
    <comment ref="G47" authorId="0" shapeId="0">
      <text>
        <t>reported; 
https://www.sec.gov/Archives/edgar/data/1730168/000173016819000144/0001730168-19-000144-index.html</t>
      </text>
    </comment>
    <comment ref="H47" authorId="0" shapeId="0">
      <text>
        <t>reported; 
https://www.sec.gov/Archives/edgar/data/1730168/000173016820000226/0001730168-20-000226-index.html</t>
      </text>
    </comment>
    <comment ref="I47" authorId="0" shapeId="0">
      <text>
        <t>reported; 
https://www.sec.gov/Archives/edgar/data/1730168/000173016821000153/0001730168-21-000153-index.html</t>
      </text>
    </comment>
    <comment ref="J47" authorId="0" shapeId="0">
      <text>
        <t>reported; 
https://www.sec.gov/Archives/edgar/data/1730168/000173016822000118/0001730168-22-000118-index.html</t>
      </text>
    </comment>
    <comment ref="K47" authorId="0" shapeId="0">
      <text>
        <t>reported; 
https://www.sec.gov/Archives/edgar/data/1730168/000173016823000096/0001730168-23-000096-index.html</t>
      </text>
    </comment>
    <comment ref="L47" authorId="0" shapeId="0">
      <text>
        <t>reported; 
https://www.sec.gov/Archives/edgar/data/1730168/000173016824000139/0001730168-24-000139-index.html</t>
      </text>
    </comment>
    <comment ref="M47" authorId="0" shapeId="0">
      <text>
        <t>reported; 
https://www.sec.gov/Archives/edgar/data/1730168/000173016825000121/0001730168-25-000121-index.html</t>
      </text>
    </comment>
    <comment ref="D48" authorId="0" shapeId="0">
      <text>
        <t xml:space="preserve">not_available; 
</t>
      </text>
    </comment>
    <comment ref="E48" authorId="0" shapeId="0">
      <text>
        <t xml:space="preserve">not_available; 
</t>
      </text>
    </comment>
    <comment ref="F48" authorId="0" shapeId="0">
      <text>
        <t>reported; 
https://www.sec.gov/Archives/edgar/data/1730168/000173016818000084/0001730168-18-000084-index.html</t>
      </text>
    </comment>
    <comment ref="G48" authorId="0" shapeId="0">
      <text>
        <t>reported; 
https://www.sec.gov/Archives/edgar/data/1730168/000173016819000144/0001730168-19-000144-index.html</t>
      </text>
    </comment>
    <comment ref="H48" authorId="0" shapeId="0">
      <text>
        <t>reported; 
https://www.sec.gov/Archives/edgar/data/1730168/000173016820000226/0001730168-20-000226-index.html</t>
      </text>
    </comment>
    <comment ref="I48" authorId="0" shapeId="0">
      <text>
        <t>reported; 
https://www.sec.gov/Archives/edgar/data/1730168/000173016821000153/0001730168-21-000153-index.html</t>
      </text>
    </comment>
    <comment ref="J48" authorId="0" shapeId="0">
      <text>
        <t>reported; 
https://www.sec.gov/Archives/edgar/data/1730168/000173016822000118/0001730168-22-000118-index.html</t>
      </text>
    </comment>
    <comment ref="K48" authorId="0" shapeId="0">
      <text>
        <t>reported; 
https://www.sec.gov/Archives/edgar/data/1730168/000173016823000096/0001730168-23-000096-index.html</t>
      </text>
    </comment>
    <comment ref="L48" authorId="0" shapeId="0">
      <text>
        <t>reported; 
https://www.sec.gov/Archives/edgar/data/1730168/000173016824000139/0001730168-24-000139-index.html</t>
      </text>
    </comment>
    <comment ref="M48" authorId="0" shapeId="0">
      <text>
        <t>reported; 
https://www.sec.gov/Archives/edgar/data/1730168/000173016825000121/0001730168-25-000121-index.html</t>
      </text>
    </comment>
    <comment ref="D49" authorId="0" shapeId="0">
      <text>
        <t xml:space="preserve">not_available; 
</t>
      </text>
    </comment>
    <comment ref="E49" authorId="0" shapeId="0">
      <text>
        <t xml:space="preserve">not_available; 
</t>
      </text>
    </comment>
    <comment ref="F49" authorId="0" shapeId="0">
      <text>
        <t>reported; 
https://www.sec.gov/Archives/edgar/data/1730168/000173016818000084/0001730168-18-000084-index.html</t>
      </text>
    </comment>
    <comment ref="G49" authorId="0" shapeId="0">
      <text>
        <t>reported; 
https://www.sec.gov/Archives/edgar/data/1730168/000173016819000144/0001730168-19-000144-index.html</t>
      </text>
    </comment>
    <comment ref="H49" authorId="0" shapeId="0">
      <text>
        <t>reported; 
https://www.sec.gov/Archives/edgar/data/1730168/000173016820000226/0001730168-20-000226-index.html</t>
      </text>
    </comment>
    <comment ref="I49" authorId="0" shapeId="0">
      <text>
        <t>reported; 
https://www.sec.gov/Archives/edgar/data/1730168/000173016821000153/0001730168-21-000153-index.html</t>
      </text>
    </comment>
    <comment ref="J49" authorId="0" shapeId="0">
      <text>
        <t>reported; 
https://www.sec.gov/Archives/edgar/data/1730168/000173016822000118/0001730168-22-000118-index.html</t>
      </text>
    </comment>
    <comment ref="K49" authorId="0" shapeId="0">
      <text>
        <t>reported; 
https://www.sec.gov/Archives/edgar/data/1730168/000173016823000096/0001730168-23-000096-index.html</t>
      </text>
    </comment>
    <comment ref="L49" authorId="0" shapeId="0">
      <text>
        <t>reported; 
https://www.sec.gov/Archives/edgar/data/1730168/000173016824000139/0001730168-24-000139-index.html</t>
      </text>
    </comment>
    <comment ref="M49" authorId="0" shapeId="0">
      <text>
        <t>reported; 
https://www.sec.gov/Archives/edgar/data/1730168/000173016825000121/0001730168-25-000121-index.html</t>
      </text>
    </comment>
  </commentList>
</comments>
</file>

<file path=xl/comments/comment3.xml><?xml version="1.0" encoding="utf-8"?>
<comments xmlns="http://schemas.openxmlformats.org/spreadsheetml/2006/main">
  <authors>
    <author>Calculation</author>
  </authors>
  <commentList>
    <comment ref="C2" authorId="0" shapeId="0">
      <text>
        <t>not_available
Revenue / Previous revenue − 1
See Calc inputs for dates and sources.</t>
      </text>
    </comment>
    <comment ref="D2" authorId="0" shapeId="0">
      <text>
        <t>ok
Revenue / Previous revenue − 1
See Calc inputs for dates and sources.</t>
      </text>
    </comment>
    <comment ref="E2" authorId="0" shapeId="0">
      <text>
        <t>ok
Revenue / Previous revenue − 1 (annualized: 53-week year scaled to 364 days)
See Calc inputs for dates and sources.</t>
      </text>
    </comment>
    <comment ref="F2" authorId="0" shapeId="0">
      <text>
        <t>ok
Revenue / Previous revenue − 1 (annualized: 53-week year scaled to 364 days)
See Calc inputs for dates and sources.</t>
      </text>
    </comment>
    <comment ref="G2" authorId="0" shapeId="0">
      <text>
        <t>ok
Revenue / Previous revenue − 1
See Calc inputs for dates and sources.</t>
      </text>
    </comment>
    <comment ref="H2" authorId="0" shapeId="0">
      <text>
        <t>ok
Revenue / Previous revenue − 1
See Calc inputs for dates and sources.</t>
      </text>
    </comment>
    <comment ref="I2" authorId="0" shapeId="0">
      <text>
        <t>ok
Revenue / Previous revenue − 1
See Calc inputs for dates and sources.</t>
      </text>
    </comment>
    <comment ref="J2" authorId="0" shapeId="0">
      <text>
        <t>ok
Revenue / Previous revenue − 1
See Calc inputs for dates and sources.</t>
      </text>
    </comment>
    <comment ref="K2" authorId="0" shapeId="0">
      <text>
        <t>ok
Revenue / Previous revenue − 1 (annualized: 53-week year scaled to 364 days)
See Calc inputs for dates and sources.</t>
      </text>
    </comment>
    <comment ref="L2" authorId="0" shapeId="0">
      <text>
        <t>ok
Revenue / Previous revenue − 1 (annualized: 53-week year scaled to 364 days)
See Calc inputs for dates and sources.</t>
      </text>
    </comment>
    <comment ref="C3" authorId="0" shapeId="0">
      <text>
        <t>ok
Gross profit / Revenue
See Calc inputs for dates and sources.</t>
      </text>
    </comment>
    <comment ref="D3" authorId="0" shapeId="0">
      <text>
        <t>ok
Gross profit / Revenue
See Calc inputs for dates and sources.</t>
      </text>
    </comment>
    <comment ref="E3" authorId="0" shapeId="0">
      <text>
        <t>ok
Gross profit / Revenue
See Calc inputs for dates and sources.</t>
      </text>
    </comment>
    <comment ref="F3" authorId="0" shapeId="0">
      <text>
        <t>ok
Gross profit / Revenue
See Calc inputs for dates and sources.</t>
      </text>
    </comment>
    <comment ref="G3" authorId="0" shapeId="0">
      <text>
        <t>ok
Gross profit / Revenue
See Calc inputs for dates and sources.</t>
      </text>
    </comment>
    <comment ref="H3" authorId="0" shapeId="0">
      <text>
        <t>ok
Gross profit / Revenue
See Calc inputs for dates and sources.</t>
      </text>
    </comment>
    <comment ref="I3" authorId="0" shapeId="0">
      <text>
        <t>ok
Gross profit / Revenue
See Calc inputs for dates and sources.</t>
      </text>
    </comment>
    <comment ref="J3" authorId="0" shapeId="0">
      <text>
        <t>ok
Gross profit / Revenue
See Calc inputs for dates and sources.</t>
      </text>
    </comment>
    <comment ref="K3" authorId="0" shapeId="0">
      <text>
        <t>ok
Gross profit / Revenue
See Calc inputs for dates and sources.</t>
      </text>
    </comment>
    <comment ref="L3" authorId="0" shapeId="0">
      <text>
        <t>ok
Gross profit / Revenue
See Calc inputs for dates and sources.</t>
      </text>
    </comment>
    <comment ref="C4" authorId="0" shapeId="0">
      <text>
        <t>ok
Operating income / Revenue
See Calc inputs for dates and sources.</t>
      </text>
    </comment>
    <comment ref="D4" authorId="0" shapeId="0">
      <text>
        <t>ok
Operating income / Revenue
See Calc inputs for dates and sources.</t>
      </text>
    </comment>
    <comment ref="E4" authorId="0" shapeId="0">
      <text>
        <t>ok
Operating income / Revenue
See Calc inputs for dates and sources.</t>
      </text>
    </comment>
    <comment ref="F4" authorId="0" shapeId="0">
      <text>
        <t>ok
Operating income / Revenue
See Calc inputs for dates and sources.</t>
      </text>
    </comment>
    <comment ref="G4" authorId="0" shapeId="0">
      <text>
        <t>ok
Operating income / Revenue
See Calc inputs for dates and sources.</t>
      </text>
    </comment>
    <comment ref="H4" authorId="0" shapeId="0">
      <text>
        <t>ok
Operating income / Revenue
See Calc inputs for dates and sources.</t>
      </text>
    </comment>
    <comment ref="I4" authorId="0" shapeId="0">
      <text>
        <t>ok
Operating income / Revenue
See Calc inputs for dates and sources.</t>
      </text>
    </comment>
    <comment ref="J4" authorId="0" shapeId="0">
      <text>
        <t>ok
Operating income / Revenue
See Calc inputs for dates and sources.</t>
      </text>
    </comment>
    <comment ref="K4" authorId="0" shapeId="0">
      <text>
        <t>ok
Operating income / Revenue
See Calc inputs for dates and sources.</t>
      </text>
    </comment>
    <comment ref="L4" authorId="0" shapeId="0">
      <text>
        <t>ok
Operating income / Revenue
See Calc inputs for dates and sources.</t>
      </text>
    </comment>
    <comment ref="C5" authorId="0" shapeId="0">
      <text>
        <t>ok
Net income / Revenue
See Calc inputs for dates and sources.</t>
      </text>
    </comment>
    <comment ref="D5" authorId="0" shapeId="0">
      <text>
        <t>ok
Net income / Revenue
See Calc inputs for dates and sources.</t>
      </text>
    </comment>
    <comment ref="E5" authorId="0" shapeId="0">
      <text>
        <t>ok
Net income / Revenue
See Calc inputs for dates and sources.</t>
      </text>
    </comment>
    <comment ref="F5" authorId="0" shapeId="0">
      <text>
        <t>ok
Net income / Revenue
See Calc inputs for dates and sources.</t>
      </text>
    </comment>
    <comment ref="G5" authorId="0" shapeId="0">
      <text>
        <t>ok
Net income / Revenue
See Calc inputs for dates and sources.</t>
      </text>
    </comment>
    <comment ref="H5" authorId="0" shapeId="0">
      <text>
        <t>ok
Net income / Revenue
See Calc inputs for dates and sources.</t>
      </text>
    </comment>
    <comment ref="I5" authorId="0" shapeId="0">
      <text>
        <t>ok
Net income / Revenue
See Calc inputs for dates and sources.</t>
      </text>
    </comment>
    <comment ref="J5" authorId="0" shapeId="0">
      <text>
        <t>ok
Net income / Revenue
See Calc inputs for dates and sources.</t>
      </text>
    </comment>
    <comment ref="K5" authorId="0" shapeId="0">
      <text>
        <t>ok
Net income / Revenue
See Calc inputs for dates and sources.</t>
      </text>
    </comment>
    <comment ref="L5" authorId="0" shapeId="0">
      <text>
        <t>ok
Net income / Revenue
See Calc inputs for dates and sources.</t>
      </text>
    </comment>
    <comment ref="C6" authorId="0" shapeId="0">
      <text>
        <t>ok
OCF − CapEx
See Calc inputs for dates and sources.</t>
      </text>
    </comment>
    <comment ref="D6" authorId="0" shapeId="0">
      <text>
        <t>ok
OCF − CapEx
See Calc inputs for dates and sources.</t>
      </text>
    </comment>
    <comment ref="E6" authorId="0" shapeId="0">
      <text>
        <t>ok
OCF − CapEx
See Calc inputs for dates and sources.</t>
      </text>
    </comment>
    <comment ref="F6" authorId="0" shapeId="0">
      <text>
        <t>ok
OCF − CapEx
See Calc inputs for dates and sources.</t>
      </text>
    </comment>
    <comment ref="G6" authorId="0" shapeId="0">
      <text>
        <t>ok
OCF − CapEx
See Calc inputs for dates and sources.</t>
      </text>
    </comment>
    <comment ref="H6" authorId="0" shapeId="0">
      <text>
        <t>ok
OCF − CapEx
See Calc inputs for dates and sources.</t>
      </text>
    </comment>
    <comment ref="I6" authorId="0" shapeId="0">
      <text>
        <t>ok
OCF − CapEx
See Calc inputs for dates and sources.</t>
      </text>
    </comment>
    <comment ref="J6" authorId="0" shapeId="0">
      <text>
        <t>ok
OCF − CapEx
See Calc inputs for dates and sources.</t>
      </text>
    </comment>
    <comment ref="K6" authorId="0" shapeId="0">
      <text>
        <t>ok
OCF − CapEx
See Calc inputs for dates and sources.</t>
      </text>
    </comment>
    <comment ref="L6" authorId="0" shapeId="0">
      <text>
        <t>ok
OCF − CapEx
See Calc inputs for dates and sources.</t>
      </text>
    </comment>
    <comment ref="C7" authorId="0" shapeId="0">
      <text>
        <t>ok
(OCF − CapEx) / Revenue
See Calc inputs for dates and sources.</t>
      </text>
    </comment>
    <comment ref="D7" authorId="0" shapeId="0">
      <text>
        <t>ok
(OCF − CapEx) / Revenue
See Calc inputs for dates and sources.</t>
      </text>
    </comment>
    <comment ref="E7" authorId="0" shapeId="0">
      <text>
        <t>ok
(OCF − CapEx) / Revenue
See Calc inputs for dates and sources.</t>
      </text>
    </comment>
    <comment ref="F7" authorId="0" shapeId="0">
      <text>
        <t>ok
(OCF − CapEx) / Revenue
See Calc inputs for dates and sources.</t>
      </text>
    </comment>
    <comment ref="G7" authorId="0" shapeId="0">
      <text>
        <t>ok
(OCF − CapEx) / Revenue
See Calc inputs for dates and sources.</t>
      </text>
    </comment>
    <comment ref="H7" authorId="0" shapeId="0">
      <text>
        <t>ok
(OCF − CapEx) / Revenue
See Calc inputs for dates and sources.</t>
      </text>
    </comment>
    <comment ref="I7" authorId="0" shapeId="0">
      <text>
        <t>ok
(OCF − CapEx) / Revenue
See Calc inputs for dates and sources.</t>
      </text>
    </comment>
    <comment ref="J7" authorId="0" shapeId="0">
      <text>
        <t>ok
(OCF − CapEx) / Revenue
See Calc inputs for dates and sources.</t>
      </text>
    </comment>
    <comment ref="K7" authorId="0" shapeId="0">
      <text>
        <t>ok
(OCF − CapEx) / Revenue
See Calc inputs for dates and sources.</t>
      </text>
    </comment>
    <comment ref="L7" authorId="0" shapeId="0">
      <text>
        <t>ok
(OCF − CapEx) / Revenue
See Calc inputs for dates and sources.</t>
      </text>
    </comment>
    <comment ref="C8" authorId="0" shapeId="0">
      <text>
        <t>ok
OCF + Interest × (1 − Tax rate) − CapEx − SBC
See Calc inputs for dates and sources.</t>
      </text>
    </comment>
    <comment ref="D8" authorId="0" shapeId="0">
      <text>
        <t>ok
OCF + Interest × (1 − Tax rate) − CapEx − SBC
See Calc inputs for dates and sources.</t>
      </text>
    </comment>
    <comment ref="E8" authorId="0" shapeId="0">
      <text>
        <t>ok
OCF + Interest × (1 − Tax rate) − CapEx − SBC
See Calc inputs for dates and sources.</t>
      </text>
    </comment>
    <comment ref="F8" authorId="0" shapeId="0">
      <text>
        <t>ok
OCF + Interest × (1 − Tax rate) − CapEx − SBC
See Calc inputs for dates and sources.</t>
      </text>
    </comment>
    <comment ref="G8" authorId="0" shapeId="0">
      <text>
        <t>ok
OCF + Interest × (1 − Tax rate) − CapEx − SBC
See Calc inputs for dates and sources.</t>
      </text>
    </comment>
    <comment ref="H8" authorId="0" shapeId="0">
      <text>
        <t>ok
OCF + Interest × (1 − Tax rate) − CapEx − SBC
See Calc inputs for dates and sources.</t>
      </text>
    </comment>
    <comment ref="I8" authorId="0" shapeId="0">
      <text>
        <t>ok
OCF + Interest × (1 − Tax rate) − CapEx − SBC
See Calc inputs for dates and sources.</t>
      </text>
    </comment>
    <comment ref="J8" authorId="0" shapeId="0">
      <text>
        <t>ok
OCF + Interest × (1 − Tax rate) − CapEx − SBC
See Calc inputs for dates and sources.</t>
      </text>
    </comment>
    <comment ref="K8" authorId="0" shapeId="0">
      <text>
        <t>ok
OCF + Interest × (1 − Tax rate) − CapEx − SBC
See Calc inputs for dates and sources.</t>
      </text>
    </comment>
    <comment ref="L8" authorId="0" shapeId="0">
      <text>
        <t>ok
OCF + Interest × (1 − Tax rate) − CapEx − SBC
See Calc inputs for dates and sources.</t>
      </text>
    </comment>
    <comment ref="C9" authorId="0" shapeId="0">
      <text>
        <t>not_available
Net income + D&amp;A − CapEx − ΔOperating working capital + (Debt issued − Debt repaid)
See Calc inputs for dates and sources.</t>
      </text>
    </comment>
    <comment ref="D9" authorId="0" shapeId="0">
      <text>
        <t>not_available
Net income + D&amp;A − CapEx − ΔOperating working capital + (Debt issued − Debt repaid)
See Calc inputs for dates and sources.</t>
      </text>
    </comment>
    <comment ref="E9" authorId="0" shapeId="0">
      <text>
        <t>ok
Net income + D&amp;A − CapEx − ΔOperating working capital + (Debt issued − Debt repaid)
See Calc inputs for dates and sources.</t>
      </text>
    </comment>
    <comment ref="F9" authorId="0" shapeId="0">
      <text>
        <t>ok
Net income + D&amp;A − CapEx − ΔOperating working capital + (Debt issued − Debt repaid)
See Calc inputs for dates and sources.</t>
      </text>
    </comment>
    <comment ref="G9" authorId="0" shapeId="0">
      <text>
        <t>not_available
Net income + D&amp;A − CapEx − ΔOperating working capital + (Debt issued − Debt repaid)
See Calc inputs for dates and sources.</t>
      </text>
    </comment>
    <comment ref="H9" authorId="0" shapeId="0">
      <text>
        <t>not_available
Net income + D&amp;A − CapEx − ΔOperating working capital + (Debt issued − Debt repaid)
See Calc inputs for dates and sources.</t>
      </text>
    </comment>
    <comment ref="I9" authorId="0" shapeId="0">
      <text>
        <t>not_available
Net income + D&amp;A − CapEx − ΔOperating working capital + (Debt issued − Debt repaid)
See Calc inputs for dates and sources.</t>
      </text>
    </comment>
    <comment ref="J9" authorId="0" shapeId="0">
      <text>
        <t>ok
Net income + D&amp;A − CapEx − ΔOperating working capital + (Debt issued − Debt repaid)
See Calc inputs for dates and sources.</t>
      </text>
    </comment>
    <comment ref="K9" authorId="0" shapeId="0">
      <text>
        <t>ok
Net income + D&amp;A − CapEx − ΔOperating working capital + (Debt issued − Debt repaid)
See Calc inputs for dates and sources.</t>
      </text>
    </comment>
    <comment ref="L9" authorId="0" shapeId="0">
      <text>
        <t>ok
Net income + D&amp;A − CapEx − ΔOperating working capital + (Debt issued − Debt repaid)
See Calc inputs for dates and sources.</t>
      </text>
    </comment>
    <comment ref="C10" authorId="0" shapeId="0">
      <text>
        <t>not_available
Net income + D&amp;A − Maintenance CapEx (1 × D&amp;A) − ΔOperating working capital
See Calc inputs for dates and sources.</t>
      </text>
    </comment>
    <comment ref="D10" authorId="0" shapeId="0">
      <text>
        <t>not_available
Net income + D&amp;A − Maintenance CapEx (1 × D&amp;A) − ΔOperating working capital
See Calc inputs for dates and sources.</t>
      </text>
    </comment>
    <comment ref="E10" authorId="0" shapeId="0">
      <text>
        <t>ok
Net income + D&amp;A − Maintenance CapEx (1 × D&amp;A) − ΔOperating working capital
See Calc inputs for dates and sources.</t>
      </text>
    </comment>
    <comment ref="F10" authorId="0" shapeId="0">
      <text>
        <t>ok
Net income + D&amp;A − Maintenance CapEx (1 × D&amp;A) − ΔOperating working capital
See Calc inputs for dates and sources.</t>
      </text>
    </comment>
    <comment ref="G10" authorId="0" shapeId="0">
      <text>
        <t>not_available
Net income + D&amp;A − Maintenance CapEx (1 × D&amp;A) − ΔOperating working capital
See Calc inputs for dates and sources.</t>
      </text>
    </comment>
    <comment ref="H10" authorId="0" shapeId="0">
      <text>
        <t>not_available
Net income + D&amp;A − Maintenance CapEx (1 × D&amp;A) − ΔOperating working capital
See Calc inputs for dates and sources.</t>
      </text>
    </comment>
    <comment ref="I10" authorId="0" shapeId="0">
      <text>
        <t>not_available
Net income + D&amp;A − Maintenance CapEx (1 × D&amp;A) − ΔOperating working capital
See Calc inputs for dates and sources.</t>
      </text>
    </comment>
    <comment ref="J10" authorId="0" shapeId="0">
      <text>
        <t>ok
Net income + D&amp;A − Maintenance CapEx (1 × D&amp;A) − ΔOperating working capital
See Calc inputs for dates and sources.</t>
      </text>
    </comment>
    <comment ref="K10" authorId="0" shapeId="0">
      <text>
        <t>ok
Net income + D&amp;A − Maintenance CapEx (1 × D&amp;A) − ΔOperating working capital
See Calc inputs for dates and sources.</t>
      </text>
    </comment>
    <comment ref="L10" authorId="0" shapeId="0">
      <text>
        <t>ok
Net income + D&amp;A − Maintenance CapEx (1 × D&amp;A) − ΔOperating working capital
See Calc inputs for dates and sources.</t>
      </text>
    </comment>
    <comment ref="C11" authorId="0" shapeId="0">
      <text>
        <t>not_meaningful
OCF / Net income (only when net income &gt; 0)
See Calc inputs for dates and sources.</t>
      </text>
    </comment>
    <comment ref="D11" authorId="0" shapeId="0">
      <text>
        <t>ok
OCF / Net income (only when net income &gt; 0)
See Calc inputs for dates and sources.</t>
      </text>
    </comment>
    <comment ref="E11" authorId="0" shapeId="0">
      <text>
        <t>ok
OCF / Net income (only when net income &gt; 0)
See Calc inputs for dates and sources.</t>
      </text>
    </comment>
    <comment ref="F11" authorId="0" shapeId="0">
      <text>
        <t>ok
OCF / Net income (only when net income &gt; 0)
See Calc inputs for dates and sources.</t>
      </text>
    </comment>
    <comment ref="G11" authorId="0" shapeId="0">
      <text>
        <t>ok
OCF / Net income (only when net income &gt; 0)
See Calc inputs for dates and sources.</t>
      </text>
    </comment>
    <comment ref="H11" authorId="0" shapeId="0">
      <text>
        <t>ok
OCF / Net income (only when net income &gt; 0)
See Calc inputs for dates and sources.</t>
      </text>
    </comment>
    <comment ref="I11" authorId="0" shapeId="0">
      <text>
        <t>ok
OCF / Net income (only when net income &gt; 0)
See Calc inputs for dates and sources.</t>
      </text>
    </comment>
    <comment ref="J11" authorId="0" shapeId="0">
      <text>
        <t>ok
OCF / Net income (only when net income &gt; 0)
See Calc inputs for dates and sources.</t>
      </text>
    </comment>
    <comment ref="K11" authorId="0" shapeId="0">
      <text>
        <t>ok
OCF / Net income (only when net income &gt; 0)
See Calc inputs for dates and sources.</t>
      </text>
    </comment>
    <comment ref="L11" authorId="0" shapeId="0">
      <text>
        <t>ok
OCF / Net income (only when net income &gt; 0)
See Calc inputs for dates and sources.</t>
      </text>
    </comment>
    <comment ref="C12" authorId="0" shapeId="0">
      <text>
        <t>ok
Operating income + D&amp;A
See Calc inputs for dates and sources.</t>
      </text>
    </comment>
    <comment ref="D12" authorId="0" shapeId="0">
      <text>
        <t>ok
Operating income + D&amp;A
See Calc inputs for dates and sources.</t>
      </text>
    </comment>
    <comment ref="E12" authorId="0" shapeId="0">
      <text>
        <t>ok
Operating income + D&amp;A
See Calc inputs for dates and sources.</t>
      </text>
    </comment>
    <comment ref="F12" authorId="0" shapeId="0">
      <text>
        <t>ok
Operating income + D&amp;A
See Calc inputs for dates and sources.</t>
      </text>
    </comment>
    <comment ref="G12" authorId="0" shapeId="0">
      <text>
        <t>not_available
Operating income + D&amp;A
See Calc inputs for dates and sources.</t>
      </text>
    </comment>
    <comment ref="H12" authorId="0" shapeId="0">
      <text>
        <t>not_available
Operating income + D&amp;A
See Calc inputs for dates and sources.</t>
      </text>
    </comment>
    <comment ref="I12" authorId="0" shapeId="0">
      <text>
        <t>not_available
Operating income + D&amp;A
See Calc inputs for dates and sources.</t>
      </text>
    </comment>
    <comment ref="J12" authorId="0" shapeId="0">
      <text>
        <t>ok
Operating income + D&amp;A
See Calc inputs for dates and sources.</t>
      </text>
    </comment>
    <comment ref="K12" authorId="0" shapeId="0">
      <text>
        <t>ok
Operating income + D&amp;A
See Calc inputs for dates and sources.</t>
      </text>
    </comment>
    <comment ref="L12" authorId="0" shapeId="0">
      <text>
        <t>ok
Operating income + D&amp;A
See Calc inputs for dates and sources.</t>
      </text>
    </comment>
    <comment ref="C13" authorId="0" shapeId="0">
      <text>
        <t>ok
Operating income × (1 − Tax rate)
See Calc inputs for dates and sources.</t>
      </text>
    </comment>
    <comment ref="D13" authorId="0" shapeId="0">
      <text>
        <t>ok
Operating income × (1 − Tax rate)
See Calc inputs for dates and sources.</t>
      </text>
    </comment>
    <comment ref="E13" authorId="0" shapeId="0">
      <text>
        <t>ok
Operating income × (1 − Tax rate)
See Calc inputs for dates and sources.</t>
      </text>
    </comment>
    <comment ref="F13" authorId="0" shapeId="0">
      <text>
        <t>ok
Operating income × (1 − Tax rate)
See Calc inputs for dates and sources.</t>
      </text>
    </comment>
    <comment ref="G13" authorId="0" shapeId="0">
      <text>
        <t>ok
Operating income × (1 − Tax rate)
See Calc inputs for dates and sources.</t>
      </text>
    </comment>
    <comment ref="H13" authorId="0" shapeId="0">
      <text>
        <t>ok
Operating income × (1 − Tax rate)
See Calc inputs for dates and sources.</t>
      </text>
    </comment>
    <comment ref="I13" authorId="0" shapeId="0">
      <text>
        <t>ok
Operating income × (1 − Tax rate)
See Calc inputs for dates and sources.</t>
      </text>
    </comment>
    <comment ref="J13" authorId="0" shapeId="0">
      <text>
        <t>ok
Operating income × (1 − Tax rate)
See Calc inputs for dates and sources.</t>
      </text>
    </comment>
    <comment ref="K13" authorId="0" shapeId="0">
      <text>
        <t>ok
Operating income × (1 − Tax rate)
See Calc inputs for dates and sources.</t>
      </text>
    </comment>
    <comment ref="L13" authorId="0" shapeId="0">
      <text>
        <t>ok
Operating income × (1 − Tax rate)
See Calc inputs for dates and sources.</t>
      </text>
    </comment>
    <comment ref="C14" authorId="0" shapeId="0">
      <text>
        <t>not_available
Equity + Debt − Cash
See Calc inputs for dates and sources.</t>
      </text>
    </comment>
    <comment ref="D14" authorId="0" shapeId="0">
      <text>
        <t>ok
Equity + Debt − Cash
See Calc inputs for dates and sources.</t>
      </text>
    </comment>
    <comment ref="E14" authorId="0" shapeId="0">
      <text>
        <t>ok
Equity + Debt − Cash
See Calc inputs for dates and sources.</t>
      </text>
    </comment>
    <comment ref="F14" authorId="0" shapeId="0">
      <text>
        <t>ok
Equity + Debt − Cash
See Calc inputs for dates and sources.</t>
      </text>
    </comment>
    <comment ref="G14" authorId="0" shapeId="0">
      <text>
        <t>ok
Equity + Debt − Cash
See Calc inputs for dates and sources.</t>
      </text>
    </comment>
    <comment ref="H14" authorId="0" shapeId="0">
      <text>
        <t>ok
Equity + Debt − Cash
See Calc inputs for dates and sources.</t>
      </text>
    </comment>
    <comment ref="I14" authorId="0" shapeId="0">
      <text>
        <t>ok
Equity + Debt − Cash
See Calc inputs for dates and sources.</t>
      </text>
    </comment>
    <comment ref="J14" authorId="0" shapeId="0">
      <text>
        <t>ok
Equity + Debt − Cash
See Calc inputs for dates and sources.</t>
      </text>
    </comment>
    <comment ref="K14" authorId="0" shapeId="0">
      <text>
        <t>ok
Equity + Debt − Cash
See Calc inputs for dates and sources.</t>
      </text>
    </comment>
    <comment ref="L14" authorId="0" shapeId="0">
      <text>
        <t>ok
Equity + Debt − Cash
See Calc inputs for dates and sources.</t>
      </text>
    </comment>
    <comment ref="C15" authorId="0" shapeId="0">
      <text>
        <t>not_available
NOPAT / Average invested capital (only when invested capital &gt; 0)
See Calc inputs for dates and sources.</t>
      </text>
    </comment>
    <comment ref="D15" authorId="0" shapeId="0">
      <text>
        <t>ok
NOPAT / Average invested capital (only when invested capital &gt; 0)
See Calc inputs for dates and sources.</t>
      </text>
    </comment>
    <comment ref="E15" authorId="0" shapeId="0">
      <text>
        <t>ok
NOPAT / Average invested capital (only when invested capital &gt; 0)
See Calc inputs for dates and sources.</t>
      </text>
    </comment>
    <comment ref="F15" authorId="0" shapeId="0">
      <text>
        <t>ok
NOPAT / Average invested capital (only when invested capital &gt; 0)
See Calc inputs for dates and sources.</t>
      </text>
    </comment>
    <comment ref="G15" authorId="0" shapeId="0">
      <text>
        <t>ok
NOPAT / Average invested capital (only when invested capital &gt; 0)
See Calc inputs for dates and sources.</t>
      </text>
    </comment>
    <comment ref="H15" authorId="0" shapeId="0">
      <text>
        <t>ok
NOPAT / Average invested capital (only when invested capital &gt; 0)
See Calc inputs for dates and sources.</t>
      </text>
    </comment>
    <comment ref="I15" authorId="0" shapeId="0">
      <text>
        <t>ok
NOPAT / Average invested capital (only when invested capital &gt; 0)
See Calc inputs for dates and sources.</t>
      </text>
    </comment>
    <comment ref="J15" authorId="0" shapeId="0">
      <text>
        <t>ok
NOPAT / Average invested capital (only when invested capital &gt; 0)
See Calc inputs for dates and sources.</t>
      </text>
    </comment>
    <comment ref="K15" authorId="0" shapeId="0">
      <text>
        <t>ok
NOPAT / Average invested capital (only when invested capital &gt; 0)
See Calc inputs for dates and sources.</t>
      </text>
    </comment>
    <comment ref="L15" authorId="0" shapeId="0">
      <text>
        <t>ok
NOPAT / Average invested capital (only when invested capital &gt; 0)
See Calc inputs for dates and sources.</t>
      </text>
    </comment>
    <comment ref="C16" authorId="0" shapeId="0">
      <text>
        <t>not_available
Debt − Cash
See Calc inputs for dates and sources.</t>
      </text>
    </comment>
    <comment ref="D16" authorId="0" shapeId="0">
      <text>
        <t>ok
Debt − Cash
See Calc inputs for dates and sources.</t>
      </text>
    </comment>
    <comment ref="E16" authorId="0" shapeId="0">
      <text>
        <t>ok
Debt − Cash
See Calc inputs for dates and sources.</t>
      </text>
    </comment>
    <comment ref="F16" authorId="0" shapeId="0">
      <text>
        <t>ok
Debt − Cash
See Calc inputs for dates and sources.</t>
      </text>
    </comment>
    <comment ref="G16" authorId="0" shapeId="0">
      <text>
        <t>ok
Debt − Cash
See Calc inputs for dates and sources.</t>
      </text>
    </comment>
    <comment ref="H16" authorId="0" shapeId="0">
      <text>
        <t>ok
Debt − Cash
See Calc inputs for dates and sources.</t>
      </text>
    </comment>
    <comment ref="I16" authorId="0" shapeId="0">
      <text>
        <t>ok
Debt − Cash
See Calc inputs for dates and sources.</t>
      </text>
    </comment>
    <comment ref="J16" authorId="0" shapeId="0">
      <text>
        <t>ok
Debt − Cash
See Calc inputs for dates and sources.</t>
      </text>
    </comment>
    <comment ref="K16" authorId="0" shapeId="0">
      <text>
        <t>ok
Debt − Cash
See Calc inputs for dates and sources.</t>
      </text>
    </comment>
    <comment ref="L16" authorId="0" shapeId="0">
      <text>
        <t>ok
Debt − Cash
See Calc inputs for dates and sources.</t>
      </text>
    </comment>
    <comment ref="C17" authorId="0" shapeId="0">
      <text>
        <t>not_available
Debt / EBITDA (only when EBITDA &gt; 0)
See Calc inputs for dates and sources.</t>
      </text>
    </comment>
    <comment ref="D17" authorId="0" shapeId="0">
      <text>
        <t>ok
Debt / EBITDA (only when EBITDA &gt; 0)
See Calc inputs for dates and sources.</t>
      </text>
    </comment>
    <comment ref="E17" authorId="0" shapeId="0">
      <text>
        <t>ok
Debt / EBITDA (only when EBITDA &gt; 0)
See Calc inputs for dates and sources.</t>
      </text>
    </comment>
    <comment ref="F17" authorId="0" shapeId="0">
      <text>
        <t>ok
Debt / EBITDA (only when EBITDA &gt; 0)
See Calc inputs for dates and sources.</t>
      </text>
    </comment>
    <comment ref="G17" authorId="0" shapeId="0">
      <text>
        <t>not_available
Debt / EBITDA (only when EBITDA &gt; 0)
See Calc inputs for dates and sources.</t>
      </text>
    </comment>
    <comment ref="H17" authorId="0" shapeId="0">
      <text>
        <t>not_available
Debt / EBITDA (only when EBITDA &gt; 0)
See Calc inputs for dates and sources.</t>
      </text>
    </comment>
    <comment ref="I17" authorId="0" shapeId="0">
      <text>
        <t>not_available
Debt / EBITDA (only when EBITDA &gt; 0)
See Calc inputs for dates and sources.</t>
      </text>
    </comment>
    <comment ref="J17" authorId="0" shapeId="0">
      <text>
        <t>ok
Debt / EBITDA (only when EBITDA &gt; 0)
See Calc inputs for dates and sources.</t>
      </text>
    </comment>
    <comment ref="K17" authorId="0" shapeId="0">
      <text>
        <t>ok
Debt / EBITDA (only when EBITDA &gt; 0)
See Calc inputs for dates and sources.</t>
      </text>
    </comment>
    <comment ref="L17" authorId="0" shapeId="0">
      <text>
        <t>ok
Debt / EBITDA (only when EBITDA &gt; 0)
See Calc inputs for dates and sources.</t>
      </text>
    </comment>
    <comment ref="C18" authorId="0" shapeId="0">
      <text>
        <t>ok
Operating income / Interest expense (only when interest &gt; 0)
See Calc inputs for dates and sources.</t>
      </text>
    </comment>
    <comment ref="D18" authorId="0" shapeId="0">
      <text>
        <t>ok
Operating income / Interest expense (only when interest &gt; 0)
See Calc inputs for dates and sources.</t>
      </text>
    </comment>
    <comment ref="E18" authorId="0" shapeId="0">
      <text>
        <t>ok
Operating income / Interest expense (only when interest &gt; 0)
See Calc inputs for dates and sources.</t>
      </text>
    </comment>
    <comment ref="F18" authorId="0" shapeId="0">
      <text>
        <t>ok
Operating income / Interest expense (only when interest &gt; 0)
See Calc inputs for dates and sources.</t>
      </text>
    </comment>
    <comment ref="G18" authorId="0" shapeId="0">
      <text>
        <t>ok
Operating income / Interest expense (only when interest &gt; 0)
See Calc inputs for dates and sources.</t>
      </text>
    </comment>
    <comment ref="H18" authorId="0" shapeId="0">
      <text>
        <t>ok
Operating income / Interest expense (only when interest &gt; 0)
See Calc inputs for dates and sources.</t>
      </text>
    </comment>
    <comment ref="I18" authorId="0" shapeId="0">
      <text>
        <t>ok
Operating income / Interest expense (only when interest &gt; 0)
See Calc inputs for dates and sources.</t>
      </text>
    </comment>
    <comment ref="J18" authorId="0" shapeId="0">
      <text>
        <t>ok
Operating income / Interest expense (only when interest &gt; 0)
See Calc inputs for dates and sources.</t>
      </text>
    </comment>
    <comment ref="K18" authorId="0" shapeId="0">
      <text>
        <t>ok
Operating income / Interest expense (only when interest &gt; 0)
See Calc inputs for dates and sources.</t>
      </text>
    </comment>
    <comment ref="L18" authorId="0" shapeId="0">
      <text>
        <t>ok
Operating income / Interest expense (only when interest &gt; 0)
See Calc inputs for dates and sources.</t>
      </text>
    </comment>
    <comment ref="C19" authorId="0" shapeId="0">
      <text>
        <t>not_available
Current assets / Current liabilities
See Calc inputs for dates and sources.</t>
      </text>
    </comment>
    <comment ref="D19" authorId="0" shapeId="0">
      <text>
        <t>ok
Current assets / Current liabilities
See Calc inputs for dates and sources.</t>
      </text>
    </comment>
    <comment ref="E19" authorId="0" shapeId="0">
      <text>
        <t>ok
Current assets / Current liabilities
See Calc inputs for dates and sources.</t>
      </text>
    </comment>
    <comment ref="F19" authorId="0" shapeId="0">
      <text>
        <t>ok
Current assets / Current liabilities
See Calc inputs for dates and sources.</t>
      </text>
    </comment>
    <comment ref="G19" authorId="0" shapeId="0">
      <text>
        <t>ok
Current assets / Current liabilities
See Calc inputs for dates and sources.</t>
      </text>
    </comment>
    <comment ref="H19" authorId="0" shapeId="0">
      <text>
        <t>ok
Current assets / Current liabilities
See Calc inputs for dates and sources.</t>
      </text>
    </comment>
    <comment ref="I19" authorId="0" shapeId="0">
      <text>
        <t>ok
Current assets / Current liabilities
See Calc inputs for dates and sources.</t>
      </text>
    </comment>
    <comment ref="J19" authorId="0" shapeId="0">
      <text>
        <t>ok
Current assets / Current liabilities
See Calc inputs for dates and sources.</t>
      </text>
    </comment>
    <comment ref="K19" authorId="0" shapeId="0">
      <text>
        <t>ok
Current assets / Current liabilities
See Calc inputs for dates and sources.</t>
      </text>
    </comment>
    <comment ref="L19" authorId="0" shapeId="0">
      <text>
        <t>ok
Current assets / Current liabilities
See Calc inputs for dates and sources.</t>
      </text>
    </comment>
    <comment ref="C20" authorId="0" shapeId="0">
      <text>
        <t>ok
Equity − Preferred − Goodwill − Intangibles
See Calc inputs for dates and sources.</t>
      </text>
    </comment>
    <comment ref="D20" authorId="0" shapeId="0">
      <text>
        <t>ok
Equity − Preferred − Goodwill − Intangibles
See Calc inputs for dates and sources.</t>
      </text>
    </comment>
    <comment ref="E20" authorId="0" shapeId="0">
      <text>
        <t>ok
Equity − Preferred − Goodwill − Intangibles
See Calc inputs for dates and sources.</t>
      </text>
    </comment>
    <comment ref="F20" authorId="0" shapeId="0">
      <text>
        <t>ok
Equity − Preferred − Goodwill − Intangibles
See Calc inputs for dates and sources.</t>
      </text>
    </comment>
    <comment ref="G20" authorId="0" shapeId="0">
      <text>
        <t>ok
Equity − Preferred − Goodwill − Intangibles
See Calc inputs for dates and sources.</t>
      </text>
    </comment>
    <comment ref="H20" authorId="0" shapeId="0">
      <text>
        <t>ok
Equity − Preferred − Goodwill − Intangibles
See Calc inputs for dates and sources.</t>
      </text>
    </comment>
    <comment ref="I20" authorId="0" shapeId="0">
      <text>
        <t>ok
Equity − Preferred − Goodwill − Intangibles
See Calc inputs for dates and sources.</t>
      </text>
    </comment>
    <comment ref="J20" authorId="0" shapeId="0">
      <text>
        <t>ok
Equity − Preferred − Goodwill − Intangibles
See Calc inputs for dates and sources.</t>
      </text>
    </comment>
    <comment ref="K20" authorId="0" shapeId="0">
      <text>
        <t>ok
Equity − Preferred − Goodwill − Intangibles
See Calc inputs for dates and sources.</t>
      </text>
    </comment>
    <comment ref="L20" authorId="0" shapeId="0">
      <text>
        <t>ok
Equity − Preferred − Goodwill − Intangibles
See Calc inputs for dates and sources.</t>
      </text>
    </comment>
    <comment ref="C21" authorId="0" shapeId="0">
      <text>
        <t>not_available
Current assets − Total liabilities − Preferred
See Calc inputs for dates and sources.</t>
      </text>
    </comment>
    <comment ref="D21" authorId="0" shapeId="0">
      <text>
        <t>ok
Current assets − Total liabilities − Preferred
See Calc inputs for dates and sources.</t>
      </text>
    </comment>
    <comment ref="E21" authorId="0" shapeId="0">
      <text>
        <t>ok
Current assets − Total liabilities − Preferred
See Calc inputs for dates and sources.</t>
      </text>
    </comment>
    <comment ref="F21" authorId="0" shapeId="0">
      <text>
        <t>ok
Current assets − Total liabilities − Preferred
See Calc inputs for dates and sources.</t>
      </text>
    </comment>
    <comment ref="G21" authorId="0" shapeId="0">
      <text>
        <t>ok
Current assets − Total liabilities − Preferred
See Calc inputs for dates and sources.</t>
      </text>
    </comment>
    <comment ref="H21" authorId="0" shapeId="0">
      <text>
        <t>ok
Current assets − Total liabilities − Preferred
See Calc inputs for dates and sources.</t>
      </text>
    </comment>
    <comment ref="I21" authorId="0" shapeId="0">
      <text>
        <t>ok
Current assets − Total liabilities − Preferred
See Calc inputs for dates and sources.</t>
      </text>
    </comment>
    <comment ref="J21" authorId="0" shapeId="0">
      <text>
        <t>ok
Current assets − Total liabilities − Preferred
See Calc inputs for dates and sources.</t>
      </text>
    </comment>
    <comment ref="K21" authorId="0" shapeId="0">
      <text>
        <t>ok
Current assets − Total liabilities − Preferred
See Calc inputs for dates and sources.</t>
      </text>
    </comment>
    <comment ref="L21" authorId="0" shapeId="0">
      <text>
        <t>ok
Current assets − Total liabilities − Preferred
See Calc inputs for dates and sources.</t>
      </text>
    </comment>
    <comment ref="C22" authorId="0" shapeId="0">
      <text>
        <t>not_available
Diluted shares / Previous diluted shares − 1
See Calc inputs for dates and sources.</t>
      </text>
    </comment>
    <comment ref="D22" authorId="0" shapeId="0">
      <text>
        <t>ok
Diluted shares / Previous diluted shares − 1
See Calc inputs for dates and sources.</t>
      </text>
    </comment>
    <comment ref="E22" authorId="0" shapeId="0">
      <text>
        <t>ok
Diluted shares / Previous diluted shares − 1
See Calc inputs for dates and sources.</t>
      </text>
    </comment>
    <comment ref="F22" authorId="0" shapeId="0">
      <text>
        <t>ok
Diluted shares / Previous diluted shares − 1
See Calc inputs for dates and sources.</t>
      </text>
    </comment>
    <comment ref="G22" authorId="0" shapeId="0">
      <text>
        <t>ok
Diluted shares / Previous diluted shares − 1
See Calc inputs for dates and sources.</t>
      </text>
    </comment>
    <comment ref="H22" authorId="0" shapeId="0">
      <text>
        <t>ok
Diluted shares / Previous diluted shares − 1
See Calc inputs for dates and sources.</t>
      </text>
    </comment>
    <comment ref="I22" authorId="0" shapeId="0">
      <text>
        <t>ok
Diluted shares / Previous diluted shares − 1
See Calc inputs for dates and sources.</t>
      </text>
    </comment>
    <comment ref="J22" authorId="0" shapeId="0">
      <text>
        <t>ok
Diluted shares / Previous diluted shares − 1
See Calc inputs for dates and sources.</t>
      </text>
    </comment>
    <comment ref="K22" authorId="0" shapeId="0">
      <text>
        <t>ok
Diluted shares / Previous diluted shares − 1
See Calc inputs for dates and sources.</t>
      </text>
    </comment>
    <comment ref="L22" authorId="0" shapeId="0">
      <text>
        <t>ok
Diluted shares / Previous diluted shares − 1
See Calc inputs for dates and sources.</t>
      </text>
    </comment>
    <comment ref="C23" authorId="0" shapeId="0">
      <text>
        <t>ok
SBC / Revenue
See Calc inputs for dates and sources.</t>
      </text>
    </comment>
    <comment ref="D23" authorId="0" shapeId="0">
      <text>
        <t>ok
SBC / Revenue
See Calc inputs for dates and sources.</t>
      </text>
    </comment>
    <comment ref="E23" authorId="0" shapeId="0">
      <text>
        <t>ok
SBC / Revenue
See Calc inputs for dates and sources.</t>
      </text>
    </comment>
    <comment ref="F23" authorId="0" shapeId="0">
      <text>
        <t>ok
SBC / Revenue
See Calc inputs for dates and sources.</t>
      </text>
    </comment>
    <comment ref="G23" authorId="0" shapeId="0">
      <text>
        <t>ok
SBC / Revenue
See Calc inputs for dates and sources.</t>
      </text>
    </comment>
    <comment ref="H23" authorId="0" shapeId="0">
      <text>
        <t>ok
SBC / Revenue
See Calc inputs for dates and sources.</t>
      </text>
    </comment>
    <comment ref="I23" authorId="0" shapeId="0">
      <text>
        <t>ok
SBC / Revenue
See Calc inputs for dates and sources.</t>
      </text>
    </comment>
    <comment ref="J23" authorId="0" shapeId="0">
      <text>
        <t>ok
SBC / Revenue
See Calc inputs for dates and sources.</t>
      </text>
    </comment>
    <comment ref="K23" authorId="0" shapeId="0">
      <text>
        <t>ok
SBC / Revenue
See Calc inputs for dates and sources.</t>
      </text>
    </comment>
    <comment ref="L23" authorId="0" shapeId="0">
      <text>
        <t>ok
SBC / Revenue
See Calc inputs for dates and sources.</t>
      </text>
    </comment>
    <comment ref="C24" authorId="0" shapeId="0">
      <text>
        <t>ok
Reported diluted EPS
See Calc inputs for dates and sources.</t>
      </text>
    </comment>
    <comment ref="D24" authorId="0" shapeId="0">
      <text>
        <t>ok
Reported diluted EPS
See Calc inputs for dates and sources.</t>
      </text>
    </comment>
    <comment ref="E24" authorId="0" shapeId="0">
      <text>
        <t>ok
Reported diluted EPS
See Calc inputs for dates and sources.</t>
      </text>
    </comment>
    <comment ref="F24" authorId="0" shapeId="0">
      <text>
        <t>ok
Reported diluted EPS
See Calc inputs for dates and sources.</t>
      </text>
    </comment>
    <comment ref="G24" authorId="0" shapeId="0">
      <text>
        <t>ok
Reported diluted EPS
See Calc inputs for dates and sources.</t>
      </text>
    </comment>
    <comment ref="H24" authorId="0" shapeId="0">
      <text>
        <t>ok
Reported diluted EPS
See Calc inputs for dates and sources.</t>
      </text>
    </comment>
    <comment ref="I24" authorId="0" shapeId="0">
      <text>
        <t>ok
Reported diluted EPS
See Calc inputs for dates and sources.</t>
      </text>
    </comment>
    <comment ref="J24" authorId="0" shapeId="0">
      <text>
        <t>ok
Reported diluted EPS
See Calc inputs for dates and sources.</t>
      </text>
    </comment>
    <comment ref="K24" authorId="0" shapeId="0">
      <text>
        <t>ok
Reported diluted EPS
See Calc inputs for dates and sources.</t>
      </text>
    </comment>
    <comment ref="L24" authorId="0" shapeId="0">
      <text>
        <t>ok
Reported diluted EPS
See Calc inputs for dates and sources.</t>
      </text>
    </comment>
    <comment ref="C25" authorId="0" shapeId="0">
      <text>
        <t>not_available
Debt maturities in years 1 + 2 + 3
See Calc inputs for dates and sources.</t>
      </text>
    </comment>
    <comment ref="D25" authorId="0" shapeId="0">
      <text>
        <t>not_available
Debt maturities in years 1 + 2 + 3
See Calc inputs for dates and sources.</t>
      </text>
    </comment>
    <comment ref="E25" authorId="0" shapeId="0">
      <text>
        <t>ok
Debt maturities in years 1 + 2 + 3
See Calc inputs for dates and sources.</t>
      </text>
    </comment>
    <comment ref="F25" authorId="0" shapeId="0">
      <text>
        <t>ok
Debt maturities in years 1 + 2 + 3
See Calc inputs for dates and sources.</t>
      </text>
    </comment>
    <comment ref="G25" authorId="0" shapeId="0">
      <text>
        <t>not_available
Debt maturities in years 1 + 2 + 3
See Calc inputs for dates and sources.</t>
      </text>
    </comment>
    <comment ref="H25" authorId="0" shapeId="0">
      <text>
        <t>ok
Debt maturities in years 1 + 2 + 3
See Calc inputs for dates and sources.</t>
      </text>
    </comment>
    <comment ref="I25" authorId="0" shapeId="0">
      <text>
        <t>ok
Debt maturities in years 1 + 2 + 3
See Calc inputs for dates and sources.</t>
      </text>
    </comment>
    <comment ref="J25" authorId="0" shapeId="0">
      <text>
        <t>ok
Debt maturities in years 1 + 2 + 3
See Calc inputs for dates and sources.</t>
      </text>
    </comment>
    <comment ref="K25" authorId="0" shapeId="0">
      <text>
        <t>ok
Debt maturities in years 1 + 2 + 3
See Calc inputs for dates and sources.</t>
      </text>
    </comment>
    <comment ref="L25" authorId="0" shapeId="0">
      <text>
        <t>ok
Debt maturities in years 1 + 2 + 3
See Calc inputs for dates and sources.</t>
      </text>
    </comment>
    <comment ref="L26" authorId="0" shapeId="0">
      <text>
        <t>ok
(Revenue / Revenue 5 years earlier)^(1/5) − 1 (53-week years annualized)
See Calc inputs for dates and sources.</t>
      </text>
    </comment>
    <comment ref="L27" authorId="0" shapeId="0">
      <text>
        <t>ok
(Revenue / Revenue 9 years earlier)^(1/9) − 1 (53-week years annualized)
See Calc inputs for dates and sources.</t>
      </text>
    </comment>
    <comment ref="L28" authorId="0" shapeId="0">
      <text>
        <t>ok
Diluted shares / Diluted shares 9 years earlier − 1
See Calc inputs for dates and sources.</t>
      </text>
    </comment>
    <comment ref="L29" authorId="0" shapeId="0">
      <text>
        <t>ok
ΔNOPAT / ΔInvested capital over 5 years (only when ΔIC &gt; 0)
See Calc inputs for dates and sources.</t>
      </text>
    </comment>
    <comment ref="L30" authorId="0" shapeId="0">
      <text>
        <t>ok
Count of years with ROIC &gt; WACC (0.09) in the last 10 years
See Calc inputs for dates and sources.</t>
      </text>
    </comment>
    <comment ref="L31" authorId="0" shapeId="0">
      <text>
        <t>ok
Average net income of the last 5 years (mid-cycle proxy)
See Calc inputs for dates and sources.</t>
      </text>
    </comment>
    <comment ref="L32" authorId="0" shapeId="0">
      <text>
        <t>ok
Price × Shares outstanding
See Calc inputs for dates and sources.</t>
      </text>
    </comment>
    <comment ref="L33" authorId="0" shapeId="0">
      <text>
        <t>ok
Market cap + Debt − Cash + Minority interest + Preferred
See Calc inputs for dates and sources.</t>
      </text>
    </comment>
    <comment ref="L34" authorId="0" shapeId="0">
      <text>
        <t>ok
Market cap / Net income (only when net income &gt; 0)
See Calc inputs for dates and sources.</t>
      </text>
    </comment>
    <comment ref="L35" authorId="0" shapeId="0">
      <text>
        <t>ok
EV / EBITDA (only when EBITDA &gt; 0)
See Calc inputs for dates and sources.</t>
      </text>
    </comment>
    <comment ref="L36" authorId="0" shapeId="0">
      <text>
        <t>ok
FCF / Market cap
See Calc inputs for dates and sources.</t>
      </text>
    </comment>
    <comment ref="L37" authorId="0" shapeId="0">
      <text>
        <t>ok
FCFF DCF, 10 years, FCFF0 = 3-year average FCFF, growth = base − 0.05, WACC 0.09, terminal growth 0.02
See Calc inputs for dates and sources.</t>
      </text>
    </comment>
    <comment ref="L38" authorId="0" shapeId="0">
      <text>
        <t>ok
FCFF DCF, 10 years, FCFF0 = 3-year average FCFF, growth = base + 0, WACC 0.09, terminal growth 0.025
See Calc inputs for dates and sources.</t>
      </text>
    </comment>
    <comment ref="L39" authorId="0" shapeId="0">
      <text>
        <t>ok
FCFF DCF, 10 years, FCFF0 = 3-year average FCFF, growth = base + 0.03, WACC 0.09, terminal growth 0.03
See Calc inputs for dates and sources.</t>
      </text>
    </comment>
    <comment ref="L40" authorId="0" shapeId="0">
      <text>
        <t>ok
Growth for 10 years that makes the base DCF value equal the price
See Calc inputs for dates and sources.</t>
      </text>
    </comment>
    <comment ref="L41" authorId="0" shapeId="0">
      <text>
        <t>not_available
Year-10 revenue that makes a revenue DCF equal the price (FCF margin moves from current to target; WACC 0.09; terminal growth 0.025)
See Calc inputs for dates and sources.</t>
      </text>
    </comment>
    <comment ref="L42" authorId="0" shapeId="0">
      <text>
        <t>ok
Normalized net income × 15 / Shares
See Calc inputs for dates and sources.</t>
      </text>
    </comment>
    <comment ref="L43" authorId="0" shapeId="0">
      <text>
        <t>ok
Tangible book value / Shares
See Calc inputs for dates and sources.</t>
      </text>
    </comment>
    <comment ref="L44" authorId="0" shapeId="0">
      <text>
        <t>ok
NCAV / Shares
See Calc inputs for dates and sources.</t>
      </text>
    </comment>
    <comment ref="L45" authorId="0" shapeId="0">
      <text>
        <t>ok
(DCF value base − Price) / DCF value base (only when value &gt; 0)
See Calc inputs for dates and sources.</t>
      </text>
    </comment>
    <comment ref="L46" authorId="0" shapeId="0">
      <text>
        <t>ok
(DCF value bear − Price) / DCF value bear (only when value &gt; 0)
See Calc inputs for dates and sources.</t>
      </text>
    </comment>
    <comment ref="L47" authorId="0" shapeId="0">
      <text>
        <t>ok
Income tax expense / Pretax income (unclipped; positive pretax income required)
See Calc inputs for dates and sources.</t>
      </text>
    </comment>
    <comment ref="L48" authorId="0" shapeId="0">
      <text>
        <t>ok
Explicit normalized tax assumption; never replaces the reported tax rate
See Calc inputs for dates and sources.</t>
      </text>
    </comment>
    <comment ref="L49" authorId="0" shapeId="0">
      <text>
        <t>ok
Operating income × (1 - normalized tax rate)
See Calc inputs for dates and sources.</t>
      </text>
    </comment>
    <comment ref="L50" authorId="0" shapeId="0">
      <text>
        <t>ok
Operating income × (1 - normalized tax rate) / average invested capital
See Calc inputs for dates and sources.</t>
      </text>
    </comment>
    <comment ref="L51" authorId="0" shapeId="0">
      <text>
        <t>ok
Operating income × (1 - normalized tax rate) + D&amp;A - |CapEx| - ΔOperating working capital; SBC remains expensed in operating income
See Calc inputs for dates and sources.</t>
      </text>
    </comment>
    <comment ref="L52" authorId="0" shapeId="0">
      <text>
        <t>ok
Net income + reported tax - pretax income × normalized tax + D&amp;A - explicit maintenance CapEx - ΔOperating working capital
See Calc inputs for dates and sources.</t>
      </text>
    </comment>
  </commentList>
</comments>
</file>

<file path=xl/comments/comment4.xml><?xml version="1.0" encoding="utf-8"?>
<comments xmlns="http://schemas.openxmlformats.org/spreadsheetml/2006/main">
  <authors>
    <author>Source / unit</author>
  </authors>
  <commentList>
    <comment ref="F2" authorId="0" shapeId="0">
      <text>
        <t>https://www.sec.gov/Archives/edgar/data/1730168/000173016818000084/0001730168-18-000084-index.html
Unit: USD</t>
      </text>
    </comment>
    <comment ref="F3" authorId="0" shapeId="0">
      <text>
        <t>https://www.sec.gov/Archives/edgar/data/1730168/000173016818000084/0001730168-18-000084-index.html
Unit: USD</t>
      </text>
    </comment>
    <comment ref="F4" authorId="0" shapeId="0">
      <text>
        <t>https://www.sec.gov/Archives/edgar/data/1730168/000173016818000084/0001730168-18-000084-index.html
Unit: USD</t>
      </text>
    </comment>
    <comment ref="F5" authorId="0" shapeId="0">
      <text>
        <t>https://www.sec.gov/Archives/edgar/data/1730168/000173016818000084/0001730168-18-000084-index.html
Unit: USD</t>
      </text>
    </comment>
    <comment ref="F6" authorId="0" shapeId="0">
      <text>
        <t>https://www.sec.gov/Archives/edgar/data/1730168/000173016818000084/0001730168-18-000084-index.html
Unit: USD</t>
      </text>
    </comment>
    <comment ref="F7" authorId="0" shapeId="0">
      <text>
        <t>https://www.sec.gov/Archives/edgar/data/1730168/000173016818000084/0001730168-18-000084-index.html
Unit: USD</t>
      </text>
    </comment>
    <comment ref="F8" authorId="0" shapeId="0">
      <text>
        <t>https://www.sec.gov/Archives/edgar/data/1730168/000173016818000084/0001730168-18-000084-index.html
Unit: USD</t>
      </text>
    </comment>
    <comment ref="F9" authorId="0" shapeId="0">
      <text>
        <t>https://www.sec.gov/Archives/edgar/data/1730168/000173016818000084/0001730168-18-000084-index.html
Unit: USD</t>
      </text>
    </comment>
    <comment ref="F10" authorId="0" shapeId="0">
      <text>
        <t>https://www.sec.gov/Archives/edgar/data/1730168/000173016818000084/0001730168-18-000084-index.html
Unit: USD</t>
      </text>
    </comment>
    <comment ref="F11" authorId="0" shapeId="0">
      <text>
        <t>https://www.sec.gov/Archives/edgar/data/1730168/000173016818000084/0001730168-18-000084-index.html
Unit: USD</t>
      </text>
    </comment>
    <comment ref="F12" authorId="0" shapeId="0">
      <text>
        <t>https://www.sec.gov/Archives/edgar/data/1730168/000173016818000084/0001730168-18-000084-index.html
Unit: USD</t>
      </text>
    </comment>
    <comment ref="F13" authorId="0" shapeId="0">
      <text>
        <t>https://www.sec.gov/Archives/edgar/data/1730168/000173016818000084/0001730168-18-000084-index.html
Unit: USD</t>
      </text>
    </comment>
    <comment ref="F14" authorId="0" shapeId="0">
      <text>
        <t>https://www.sec.gov/Archives/edgar/data/1730168/000173016818000084/0001730168-18-000084-index.html
Unit: USD</t>
      </text>
    </comment>
    <comment ref="F15" authorId="0" shapeId="0">
      <text>
        <t>https://www.sec.gov/Archives/edgar/data/1730168/000173016818000084/0001730168-18-000084-index.html
Unit: USD</t>
      </text>
    </comment>
    <comment ref="F16" authorId="0" shapeId="0">
      <text>
        <t>https://www.sec.gov/Archives/edgar/data/1730168/000173016818000084/0001730168-18-000084-index.html
Unit: USD</t>
      </text>
    </comment>
    <comment ref="F17" authorId="0" shapeId="0">
      <text>
        <t>Derived or model input; see parent calculation formula and model assumptions.
Unit: ratio (decimal)</t>
      </text>
    </comment>
    <comment ref="F18" authorId="0" shapeId="0">
      <text>
        <t>https://www.sec.gov/Archives/edgar/data/1730168/000173016818000084/0001730168-18-000084-index.html
Unit: USD</t>
      </text>
    </comment>
    <comment ref="F19" authorId="0" shapeId="0">
      <text>
        <t>https://www.sec.gov/Archives/edgar/data/1730168/000173016818000084/0001730168-18-000084-index.html
Unit: USD</t>
      </text>
    </comment>
    <comment ref="F20" authorId="0" shapeId="0">
      <text>
        <t>https://www.sec.gov/Archives/edgar/data/1730168/000173016818000084/0001730168-18-000084-index.html
Unit: USD</t>
      </text>
    </comment>
    <comment ref="F21" authorId="0" shapeId="0">
      <text>
        <t>https://www.sec.gov/Archives/edgar/data/1730168/000173016818000084/0001730168-18-000084-index.html
Unit: USD</t>
      </text>
    </comment>
    <comment ref="F22" authorId="0" shapeId="0">
      <text>
        <t>https://www.sec.gov/Archives/edgar/data/1730168/000173016818000084/0001730168-18-000084-index.html
Unit: USD</t>
      </text>
    </comment>
    <comment ref="F23" authorId="0" shapeId="0">
      <text>
        <t>https://www.sec.gov/Archives/edgar/data/1730168/000173016818000084/0001730168-18-000084-index.html
Unit: USD</t>
      </text>
    </comment>
    <comment ref="F24" authorId="0" shapeId="0">
      <text>
        <t>https://www.sec.gov/Archives/edgar/data/1730168/000173016818000084/0001730168-18-000084-index.html
Unit: USD</t>
      </text>
    </comment>
    <comment ref="F25" authorId="0" shapeId="0">
      <text>
        <t>https://www.sec.gov/Archives/edgar/data/1730168/000173016818000084/0001730168-18-000084-index.html
Unit: USD</t>
      </text>
    </comment>
    <comment ref="F26" authorId="0" shapeId="0">
      <text>
        <t>https://www.sec.gov/Archives/edgar/data/1730168/000173016818000084/0001730168-18-000084-index.html
Unit: USD</t>
      </text>
    </comment>
    <comment ref="F27" authorId="0" shapeId="0">
      <text>
        <t>https://www.sec.gov/Archives/edgar/data/1730168/000173016818000084/0001730168-18-000084-index.html
Unit: USD</t>
      </text>
    </comment>
    <comment ref="F28" authorId="0" shapeId="0">
      <text>
        <t>https://www.sec.gov/Archives/edgar/data/1730168/000173016818000084/0001730168-18-000084-index.html
Unit: USD</t>
      </text>
    </comment>
    <comment ref="F29" authorId="0" shapeId="0">
      <text>
        <t>https://www.sec.gov/Archives/edgar/data/1730168/000173016818000084/0001730168-18-000084-index.html
Unit: USD</t>
      </text>
    </comment>
    <comment ref="F30" authorId="0" shapeId="0">
      <text>
        <t>https://www.sec.gov/Archives/edgar/data/1730168/000173016818000084/0001730168-18-000084-index.html
Unit: USD</t>
      </text>
    </comment>
    <comment ref="F31" authorId="0" shapeId="0">
      <text>
        <t>Derived or model input; see parent calculation formula and model assumptions.
Unit: ratio (decimal)</t>
      </text>
    </comment>
    <comment ref="F32" authorId="0" shapeId="0">
      <text>
        <t>https://www.sec.gov/Archives/edgar/data/1730168/000173016819000144/0001730168-19-000144-index.html
Unit: USD</t>
      </text>
    </comment>
    <comment ref="F33" authorId="0" shapeId="0">
      <text>
        <t>https://www.sec.gov/Archives/edgar/data/1730168/000173016819000144/0001730168-19-000144-index.html
Unit: USD</t>
      </text>
    </comment>
    <comment ref="F34" authorId="0" shapeId="0">
      <text>
        <t>https://www.sec.gov/Archives/edgar/data/1730168/000173016818000084/0001730168-18-000084-index.html
Unit: USD</t>
      </text>
    </comment>
    <comment ref="F35" authorId="0" shapeId="0">
      <text>
        <t>Derived or model input; see parent calculation formula and model assumptions.
Unit: ratio (decimal)</t>
      </text>
    </comment>
    <comment ref="F36" authorId="0" shapeId="0">
      <text>
        <t>https://www.sec.gov/Archives/edgar/data/1730168/000173016819000144/0001730168-19-000144-index.html
Unit: USD</t>
      </text>
    </comment>
    <comment ref="F37" authorId="0" shapeId="0">
      <text>
        <t>Derived: ebitda @ 2016-10-30; see Calculations and Calc inputs.
Unit: USD</t>
      </text>
    </comment>
    <comment ref="F38" authorId="0" shapeId="0">
      <text>
        <t>https://www.sec.gov/Archives/edgar/data/1730168/000173016818000084/0001730168-18-000084-index.html
Unit: USD</t>
      </text>
    </comment>
    <comment ref="F39" authorId="0" shapeId="0">
      <text>
        <t>https://www.sec.gov/Archives/edgar/data/1730168/000173016818000084/0001730168-18-000084-index.html
Unit: USD</t>
      </text>
    </comment>
    <comment ref="F40" authorId="0" shapeId="0">
      <text>
        <t>https://www.sec.gov/Archives/edgar/data/1730168/000173016819000144/0001730168-19-000144-index.html
Unit: USD</t>
      </text>
    </comment>
    <comment ref="F41" authorId="0" shapeId="0">
      <text>
        <t xml:space="preserve">
Transformed calculation input: differs from the raw filing value; see formula and flags.
Unit: USD</t>
      </text>
    </comment>
    <comment ref="F42" authorId="0" shapeId="0">
      <text>
        <t>https://www.sec.gov/Archives/edgar/data/1730168/000173016818000084/0001730168-18-000084-index.html
Unit: USD</t>
      </text>
    </comment>
    <comment ref="F43" authorId="0" shapeId="0">
      <text>
        <t xml:space="preserve">
Transformed calculation input: differs from the raw filing value; see formula and flags.
Unit: USD</t>
      </text>
    </comment>
    <comment ref="F44" authorId="0" shapeId="0">
      <text>
        <t xml:space="preserve">
Transformed calculation input: differs from the raw filing value; see formula and flags.
Unit: USD</t>
      </text>
    </comment>
    <comment ref="F45" authorId="0" shapeId="0">
      <text>
        <t>https://www.sec.gov/Archives/edgar/data/1730168/000173016818000084/0001730168-18-000084-index.html
Unit: shares</t>
      </text>
    </comment>
    <comment ref="F46" authorId="0" shapeId="0">
      <text>
        <t>https://www.sec.gov/Archives/edgar/data/1730168/000173016818000084/0001730168-18-000084-index.html
Unit: USD</t>
      </text>
    </comment>
    <comment ref="F47" authorId="0" shapeId="0">
      <text>
        <t>https://www.sec.gov/Archives/edgar/data/1730168/000173016818000084/0001730168-18-000084-index.html
Unit: USD</t>
      </text>
    </comment>
    <comment ref="F48" authorId="0" shapeId="0">
      <text>
        <t>https://www.sec.gov/Archives/edgar/data/1730168/000173016818000084/0001730168-18-000084-index.html
Unit: USD per share</t>
      </text>
    </comment>
    <comment ref="F49" authorId="0" shapeId="0">
      <text>
        <t>https://www.sec.gov/Archives/edgar/data/1730168/000173016818000084/0001730168-18-000084-index.html
Unit: USD</t>
      </text>
    </comment>
    <comment ref="F50" authorId="0" shapeId="0">
      <text>
        <t>https://www.sec.gov/Archives/edgar/data/1730168/000173016818000084/0001730168-18-000084-index.html
Unit: USD</t>
      </text>
    </comment>
    <comment ref="F51" authorId="0" shapeId="0">
      <text>
        <t>https://www.sec.gov/Archives/edgar/data/1730168/000173016819000144/0001730168-19-000144-index.html
Unit: USD</t>
      </text>
    </comment>
    <comment ref="F52" authorId="0" shapeId="0">
      <text>
        <t>https://www.sec.gov/Archives/edgar/data/1730168/000173016818000084/0001730168-18-000084-index.html
Unit: USD</t>
      </text>
    </comment>
    <comment ref="F53" authorId="0" shapeId="0">
      <text>
        <t>https://www.sec.gov/Archives/edgar/data/1730168/000173016819000144/0001730168-19-000144-index.html
Unit: USD</t>
      </text>
    </comment>
    <comment ref="F54" authorId="0" shapeId="0">
      <text>
        <t>https://www.sec.gov/Archives/edgar/data/1730168/000173016818000084/0001730168-18-000084-index.html
Unit: USD</t>
      </text>
    </comment>
    <comment ref="F55" authorId="0" shapeId="0">
      <text>
        <t>https://www.sec.gov/Archives/edgar/data/1730168/000173016818000084/0001730168-18-000084-index.html
Unit: USD</t>
      </text>
    </comment>
    <comment ref="F56" authorId="0" shapeId="0">
      <text>
        <t>https://www.sec.gov/Archives/edgar/data/1730168/000173016818000084/0001730168-18-000084-index.html
Unit: USD</t>
      </text>
    </comment>
    <comment ref="F57" authorId="0" shapeId="0">
      <text>
        <t>https://www.sec.gov/Archives/edgar/data/1730168/000173016819000144/0001730168-19-000144-index.html
Unit: USD</t>
      </text>
    </comment>
    <comment ref="F58" authorId="0" shapeId="0">
      <text>
        <t>https://www.sec.gov/Archives/edgar/data/1730168/000173016819000144/0001730168-19-000144-index.html
Unit: USD</t>
      </text>
    </comment>
    <comment ref="F59" authorId="0" shapeId="0">
      <text>
        <t>https://www.sec.gov/Archives/edgar/data/1730168/000173016819000144/0001730168-19-000144-index.html
Unit: USD</t>
      </text>
    </comment>
    <comment ref="F60" authorId="0" shapeId="0">
      <text>
        <t>https://www.sec.gov/Archives/edgar/data/1730168/000173016819000144/0001730168-19-000144-index.html
Unit: USD</t>
      </text>
    </comment>
    <comment ref="F61" authorId="0" shapeId="0">
      <text>
        <t>https://www.sec.gov/Archives/edgar/data/1730168/000173016818000084/0001730168-18-000084-index.html
Unit: USD</t>
      </text>
    </comment>
    <comment ref="F62" authorId="0" shapeId="0">
      <text>
        <t>https://www.sec.gov/Archives/edgar/data/1730168/000173016819000144/0001730168-19-000144-index.html
Unit: USD</t>
      </text>
    </comment>
    <comment ref="F63" authorId="0" shapeId="0">
      <text>
        <t>https://www.sec.gov/Archives/edgar/data/1730168/000173016819000144/0001730168-19-000144-index.html
Unit: USD</t>
      </text>
    </comment>
    <comment ref="F64" authorId="0" shapeId="0">
      <text>
        <t>https://www.sec.gov/Archives/edgar/data/1730168/000173016819000144/0001730168-19-000144-index.html
Unit: USD</t>
      </text>
    </comment>
    <comment ref="F65" authorId="0" shapeId="0">
      <text>
        <t>Derived or model input; see parent calculation formula and model assumptions.
Unit: ratio (decimal)</t>
      </text>
    </comment>
    <comment ref="F66" authorId="0" shapeId="0">
      <text>
        <t>https://www.sec.gov/Archives/edgar/data/1730168/000173016819000144/0001730168-19-000144-index.html
Unit: USD</t>
      </text>
    </comment>
    <comment ref="F67" authorId="0" shapeId="0">
      <text>
        <t>https://www.sec.gov/Archives/edgar/data/1730168/000173016818000084/0001730168-18-000084-index.html
Unit: USD</t>
      </text>
    </comment>
    <comment ref="F68" authorId="0" shapeId="0">
      <text>
        <t>https://www.sec.gov/Archives/edgar/data/1730168/000173016819000144/0001730168-19-000144-index.html
Unit: USD</t>
      </text>
    </comment>
    <comment ref="F69" authorId="0" shapeId="0">
      <text>
        <t>https://www.sec.gov/Archives/edgar/data/1730168/000173016819000144/0001730168-19-000144-index.html
Unit: USD</t>
      </text>
    </comment>
    <comment ref="F70" authorId="0" shapeId="0">
      <text>
        <t>https://www.sec.gov/Archives/edgar/data/1730168/000173016819000144/0001730168-19-000144-index.html
Unit: USD</t>
      </text>
    </comment>
    <comment ref="F71" authorId="0" shapeId="0">
      <text>
        <t>https://www.sec.gov/Archives/edgar/data/1730168/000173016819000144/0001730168-19-000144-index.html
Unit: USD</t>
      </text>
    </comment>
    <comment ref="F72" authorId="0" shapeId="0">
      <text>
        <t>https://www.sec.gov/Archives/edgar/data/1730168/000173016818000084/0001730168-18-000084-index.html
Unit: USD</t>
      </text>
    </comment>
    <comment ref="F73" authorId="0" shapeId="0">
      <text>
        <t>https://www.sec.gov/Archives/edgar/data/1730168/000173016819000144/0001730168-19-000144-index.html
Unit: USD</t>
      </text>
    </comment>
    <comment ref="F74" authorId="0" shapeId="0">
      <text>
        <t>https://www.sec.gov/Archives/edgar/data/1730168/000173016819000144/0001730168-19-000144-index.html
Unit: USD</t>
      </text>
    </comment>
    <comment ref="F75" authorId="0" shapeId="0">
      <text>
        <t>https://www.sec.gov/Archives/edgar/data/1730168/000173016818000084/0001730168-18-000084-index.html
Unit: USD</t>
      </text>
    </comment>
    <comment ref="F76" authorId="0" shapeId="0">
      <text>
        <t>https://www.sec.gov/Archives/edgar/data/1730168/000173016819000144/0001730168-19-000144-index.html
Unit: USD</t>
      </text>
    </comment>
    <comment ref="F77" authorId="0" shapeId="0">
      <text>
        <t>https://www.sec.gov/Archives/edgar/data/1730168/000173016819000144/0001730168-19-000144-index.html
Unit: USD</t>
      </text>
    </comment>
    <comment ref="F78" authorId="0" shapeId="0">
      <text>
        <t>https://www.sec.gov/Archives/edgar/data/1730168/000173016819000144/0001730168-19-000144-index.html
Unit: USD</t>
      </text>
    </comment>
    <comment ref="F79" authorId="0" shapeId="0">
      <text>
        <t>Derived or model input; see parent calculation formula and model assumptions.
Unit: ratio (decimal)</t>
      </text>
    </comment>
    <comment ref="F80" authorId="0" shapeId="0">
      <text>
        <t>https://www.sec.gov/Archives/edgar/data/1730168/000173016818000084/0001730168-18-000084-index.html
Unit: USD</t>
      </text>
    </comment>
    <comment ref="F81" authorId="0" shapeId="0">
      <text>
        <t>Derived or model input; see parent calculation formula and model assumptions.
Unit: USD</t>
      </text>
    </comment>
    <comment ref="F82" authorId="0" shapeId="0">
      <text>
        <t>https://www.sec.gov/Archives/edgar/data/1730168/000173016820000226/0001730168-20-000226-index.html
Unit: USD</t>
      </text>
    </comment>
    <comment ref="F83" authorId="0" shapeId="0">
      <text>
        <t>https://www.sec.gov/Archives/edgar/data/1730168/000173016819000144/0001730168-19-000144-index.html
Unit: USD</t>
      </text>
    </comment>
    <comment ref="F84" authorId="0" shapeId="0">
      <text>
        <t>Derived or model input; see parent calculation formula and model assumptions.
Unit: ratio (decimal)</t>
      </text>
    </comment>
    <comment ref="F85" authorId="0" shapeId="0">
      <text>
        <t>Derived or model input; see parent calculation formula and model assumptions.
Unit: USD</t>
      </text>
    </comment>
    <comment ref="F86" authorId="0" shapeId="0">
      <text>
        <t>Derived or model input; see parent calculation formula and model assumptions.
Unit: USD</t>
      </text>
    </comment>
    <comment ref="F87" authorId="0" shapeId="0">
      <text>
        <t>https://www.sec.gov/Archives/edgar/data/1730168/000173016820000226/0001730168-20-000226-index.html
Unit: USD</t>
      </text>
    </comment>
    <comment ref="F88" authorId="0" shapeId="0">
      <text>
        <t>Derived or model input; see parent calculation formula and model assumptions.
Unit: USD</t>
      </text>
    </comment>
    <comment ref="F89" authorId="0" shapeId="0">
      <text>
        <t>Derived: ebitda @ 2017-10-29; see Calculations and Calc inputs.
Unit: USD</t>
      </text>
    </comment>
    <comment ref="F90" authorId="0" shapeId="0">
      <text>
        <t>https://www.sec.gov/Archives/edgar/data/1730168/000173016819000144/0001730168-19-000144-index.html
Unit: USD</t>
      </text>
    </comment>
    <comment ref="F91" authorId="0" shapeId="0">
      <text>
        <t>https://www.sec.gov/Archives/edgar/data/1730168/000173016819000144/0001730168-19-000144-index.html
Unit: USD</t>
      </text>
    </comment>
    <comment ref="F92" authorId="0" shapeId="0">
      <text>
        <t>https://www.sec.gov/Archives/edgar/data/1730168/000173016818000084/0001730168-18-000084-index.html
Unit: USD</t>
      </text>
    </comment>
    <comment ref="F93" authorId="0" shapeId="0">
      <text>
        <t>https://www.sec.gov/Archives/edgar/data/1730168/000173016818000084/0001730168-18-000084-index.html
Unit: USD</t>
      </text>
    </comment>
    <comment ref="F94" authorId="0" shapeId="0">
      <text>
        <t>https://www.sec.gov/Archives/edgar/data/1730168/000173016818000084/0001730168-18-000084-index.html
Unit: USD</t>
      </text>
    </comment>
    <comment ref="F95" authorId="0" shapeId="0">
      <text>
        <t>https://www.sec.gov/Archives/edgar/data/1730168/000173016818000084/0001730168-18-000084-index.html
Unit: USD</t>
      </text>
    </comment>
    <comment ref="F96" authorId="0" shapeId="0">
      <text>
        <t>https://www.sec.gov/Archives/edgar/data/1730168/000173016819000144/0001730168-19-000144-index.html
Unit: USD</t>
      </text>
    </comment>
    <comment ref="F97" authorId="0" shapeId="0">
      <text>
        <t>https://www.sec.gov/Archives/edgar/data/1730168/000173016818000084/0001730168-18-000084-index.html
Unit: USD</t>
      </text>
    </comment>
    <comment ref="F98" authorId="0" shapeId="0">
      <text>
        <t>https://www.sec.gov/Archives/edgar/data/1730168/000173016818000084/0001730168-18-000084-index.html
Unit: USD</t>
      </text>
    </comment>
    <comment ref="F99" authorId="0" shapeId="0">
      <text>
        <t>https://www.sec.gov/Archives/edgar/data/1730168/000173016818000084/0001730168-18-000084-index.html
Unit: USD</t>
      </text>
    </comment>
    <comment ref="F100" authorId="0" shapeId="0">
      <text>
        <t>https://www.sec.gov/Archives/edgar/data/1730168/000173016818000084/0001730168-18-000084-index.html
Unit: USD</t>
      </text>
    </comment>
    <comment ref="F101" authorId="0" shapeId="0">
      <text>
        <t>https://www.sec.gov/Archives/edgar/data/1730168/000173016819000144/0001730168-19-000144-index.html
Unit: shares</t>
      </text>
    </comment>
    <comment ref="F102" authorId="0" shapeId="0">
      <text>
        <t>https://www.sec.gov/Archives/edgar/data/1730168/000173016818000084/0001730168-18-000084-index.html
Unit: shares</t>
      </text>
    </comment>
    <comment ref="F103" authorId="0" shapeId="0">
      <text>
        <t>https://www.sec.gov/Archives/edgar/data/1730168/000173016819000144/0001730168-19-000144-index.html
Unit: USD</t>
      </text>
    </comment>
    <comment ref="F104" authorId="0" shapeId="0">
      <text>
        <t>https://www.sec.gov/Archives/edgar/data/1730168/000173016818000084/0001730168-18-000084-index.html
Unit: USD</t>
      </text>
    </comment>
    <comment ref="F105" authorId="0" shapeId="0">
      <text>
        <t>https://www.sec.gov/Archives/edgar/data/1730168/000173016819000144/0001730168-19-000144-index.html
Unit: USD per share</t>
      </text>
    </comment>
    <comment ref="F106" authorId="0" shapeId="0">
      <text>
        <t>https://www.sec.gov/Archives/edgar/data/1730168/000173016818000084/0001730168-18-000084-index.html
Transformed calculation input: differs from the raw filing value; see formula and flags.
Unit: USD</t>
      </text>
    </comment>
    <comment ref="F107" authorId="0" shapeId="0">
      <text>
        <t>https://www.sec.gov/Archives/edgar/data/1730168/000173016818000084/0001730168-18-000084-index.html
Unit: USD</t>
      </text>
    </comment>
    <comment ref="F108" authorId="0" shapeId="0">
      <text>
        <t>https://www.sec.gov/Archives/edgar/data/1730168/000173016820000226/0001730168-20-000226-index.html
Unit: USD</t>
      </text>
    </comment>
    <comment ref="F109" authorId="0" shapeId="0">
      <text>
        <t>https://www.sec.gov/Archives/edgar/data/1730168/000173016818000084/0001730168-18-000084-index.html
Unit: USD</t>
      </text>
    </comment>
    <comment ref="F110" authorId="0" shapeId="0">
      <text>
        <t>https://www.sec.gov/Archives/edgar/data/1730168/000173016820000226/0001730168-20-000226-index.html
Unit: USD</t>
      </text>
    </comment>
    <comment ref="F111" authorId="0" shapeId="0">
      <text>
        <t>https://www.sec.gov/Archives/edgar/data/1730168/000173016818000084/0001730168-18-000084-index.html
Unit: USD</t>
      </text>
    </comment>
    <comment ref="F112" authorId="0" shapeId="0">
      <text>
        <t>https://www.sec.gov/Archives/edgar/data/1730168/000173016818000084/0001730168-18-000084-index.html
Unit: USD</t>
      </text>
    </comment>
    <comment ref="F113" authorId="0" shapeId="0">
      <text>
        <t>https://www.sec.gov/Archives/edgar/data/1730168/000173016818000084/0001730168-18-000084-index.html
Unit: USD</t>
      </text>
    </comment>
    <comment ref="F114" authorId="0" shapeId="0">
      <text>
        <t>https://www.sec.gov/Archives/edgar/data/1730168/000173016820000226/0001730168-20-000226-index.html
Unit: USD</t>
      </text>
    </comment>
    <comment ref="F115" authorId="0" shapeId="0">
      <text>
        <t>https://www.sec.gov/Archives/edgar/data/1730168/000173016820000226/0001730168-20-000226-index.html
Unit: USD</t>
      </text>
    </comment>
    <comment ref="F116" authorId="0" shapeId="0">
      <text>
        <t>https://www.sec.gov/Archives/edgar/data/1730168/000173016820000226/0001730168-20-000226-index.html
Unit: USD</t>
      </text>
    </comment>
    <comment ref="F117" authorId="0" shapeId="0">
      <text>
        <t>https://www.sec.gov/Archives/edgar/data/1730168/000173016820000226/0001730168-20-000226-index.html
Unit: USD</t>
      </text>
    </comment>
    <comment ref="F118" authorId="0" shapeId="0">
      <text>
        <t>https://www.sec.gov/Archives/edgar/data/1730168/000173016818000084/0001730168-18-000084-index.html
Unit: USD</t>
      </text>
    </comment>
    <comment ref="F119" authorId="0" shapeId="0">
      <text>
        <t>https://www.sec.gov/Archives/edgar/data/1730168/000173016820000226/0001730168-20-000226-index.html
Unit: USD</t>
      </text>
    </comment>
    <comment ref="F120" authorId="0" shapeId="0">
      <text>
        <t>https://www.sec.gov/Archives/edgar/data/1730168/000173016820000226/0001730168-20-000226-index.html
Unit: USD</t>
      </text>
    </comment>
    <comment ref="F121" authorId="0" shapeId="0">
      <text>
        <t>https://www.sec.gov/Archives/edgar/data/1730168/000173016820000226/0001730168-20-000226-index.html
Unit: USD</t>
      </text>
    </comment>
    <comment ref="F122" authorId="0" shapeId="0">
      <text>
        <t>Derived or model input; see parent calculation formula and model assumptions.
Unit: ratio (decimal)</t>
      </text>
    </comment>
    <comment ref="F123" authorId="0" shapeId="0">
      <text>
        <t>https://www.sec.gov/Archives/edgar/data/1730168/000173016820000226/0001730168-20-000226-index.html
Unit: USD</t>
      </text>
    </comment>
    <comment ref="F124" authorId="0" shapeId="0">
      <text>
        <t>https://www.sec.gov/Archives/edgar/data/1730168/000173016818000084/0001730168-18-000084-index.html
Unit: USD</t>
      </text>
    </comment>
    <comment ref="F125" authorId="0" shapeId="0">
      <text>
        <t>https://www.sec.gov/Archives/edgar/data/1730168/000173016820000226/0001730168-20-000226-index.html
https://www.sec.gov/Archives/edgar/data/1730168/000173016819000144/0001730168-19-000144-index.html
Unit: USD</t>
      </text>
    </comment>
    <comment ref="F126" authorId="0" shapeId="0">
      <text>
        <t>https://www.sec.gov/Archives/edgar/data/1730168/000173016820000226/0001730168-20-000226-index.html
Unit: USD</t>
      </text>
    </comment>
    <comment ref="F127" authorId="0" shapeId="0">
      <text>
        <t>Derived or model input; see parent calculation formula and model assumptions.
Unit: USD</t>
      </text>
    </comment>
    <comment ref="F128" authorId="0" shapeId="0">
      <text>
        <t>https://www.sec.gov/Archives/edgar/data/1730168/000173016820000226/0001730168-20-000226-index.html
Unit: USD</t>
      </text>
    </comment>
    <comment ref="F129" authorId="0" shapeId="0">
      <text>
        <t>https://www.sec.gov/Archives/edgar/data/1730168/000173016820000226/0001730168-20-000226-index.html
Unit: USD</t>
      </text>
    </comment>
    <comment ref="F130" authorId="0" shapeId="0">
      <text>
        <t>https://www.sec.gov/Archives/edgar/data/1730168/000173016818000084/0001730168-18-000084-index.html
Unit: USD</t>
      </text>
    </comment>
    <comment ref="F131" authorId="0" shapeId="0">
      <text>
        <t>https://www.sec.gov/Archives/edgar/data/1730168/000173016820000226/0001730168-20-000226-index.html
https://www.sec.gov/Archives/edgar/data/1730168/000173016819000144/0001730168-19-000144-index.html
Unit: USD</t>
      </text>
    </comment>
    <comment ref="F132" authorId="0" shapeId="0">
      <text>
        <t>Derived or model input; see parent calculation formula and model assumptions.
Unit: USD</t>
      </text>
    </comment>
    <comment ref="F133" authorId="0" shapeId="0">
      <text>
        <t>https://www.sec.gov/Archives/edgar/data/1730168/000173016820000226/0001730168-20-000226-index.html
Unit: USD</t>
      </text>
    </comment>
    <comment ref="F134" authorId="0" shapeId="0">
      <text>
        <t>https://www.sec.gov/Archives/edgar/data/1730168/000173016818000084/0001730168-18-000084-index.html
Unit: USD</t>
      </text>
    </comment>
    <comment ref="F135" authorId="0" shapeId="0">
      <text>
        <t>https://www.sec.gov/Archives/edgar/data/1730168/000173016820000226/0001730168-20-000226-index.html
Unit: USD</t>
      </text>
    </comment>
    <comment ref="F136" authorId="0" shapeId="0">
      <text>
        <t>https://www.sec.gov/Archives/edgar/data/1730168/000173016820000226/0001730168-20-000226-index.html
https://www.sec.gov/Archives/edgar/data/1730168/000173016819000144/0001730168-19-000144-index.html
Unit: USD</t>
      </text>
    </comment>
    <comment ref="F137" authorId="0" shapeId="0">
      <text>
        <t>https://www.sec.gov/Archives/edgar/data/1730168/000173016820000226/0001730168-20-000226-index.html
Unit: USD</t>
      </text>
    </comment>
    <comment ref="F138" authorId="0" shapeId="0">
      <text>
        <t>Derived or model input; see parent calculation formula and model assumptions.
Unit: ratio (decimal)</t>
      </text>
    </comment>
    <comment ref="F139" authorId="0" shapeId="0">
      <text>
        <t>https://www.sec.gov/Archives/edgar/data/1730168/000173016819000144/0001730168-19-000144-index.html
Unit: USD</t>
      </text>
    </comment>
    <comment ref="F140" authorId="0" shapeId="0">
      <text>
        <t>Derived or model input; see parent calculation formula and model assumptions.
Unit: USD</t>
      </text>
    </comment>
    <comment ref="F141" authorId="0" shapeId="0">
      <text>
        <t>https://www.sec.gov/Archives/edgar/data/1730168/000173016821000153/0001730168-21-000153-index.html
Unit: USD</t>
      </text>
    </comment>
    <comment ref="F142" authorId="0" shapeId="0">
      <text>
        <t>https://www.sec.gov/Archives/edgar/data/1730168/000173016820000226/0001730168-20-000226-index.html
Unit: USD</t>
      </text>
    </comment>
    <comment ref="F143" authorId="0" shapeId="0">
      <text>
        <t>Derived or model input; see parent calculation formula and model assumptions.
Unit: ratio (decimal)</t>
      </text>
    </comment>
    <comment ref="F144" authorId="0" shapeId="0">
      <text>
        <t>Derived or model input; see parent calculation formula and model assumptions.
Unit: USD</t>
      </text>
    </comment>
    <comment ref="F145" authorId="0" shapeId="0">
      <text>
        <t>Derived or model input; see parent calculation formula and model assumptions.
Unit: USD</t>
      </text>
    </comment>
    <comment ref="F146" authorId="0" shapeId="0">
      <text>
        <t>https://www.sec.gov/Archives/edgar/data/1730168/000173016821000153/0001730168-21-000153-index.html
Unit: USD</t>
      </text>
    </comment>
    <comment ref="F147" authorId="0" shapeId="0">
      <text>
        <t>Derived or model input; see parent calculation formula and model assumptions.
Unit: USD</t>
      </text>
    </comment>
    <comment ref="F148" authorId="0" shapeId="0">
      <text>
        <t>Derived: ebitda @ 2018-11-04; see Calculations and Calc inputs.
Unit: USD</t>
      </text>
    </comment>
    <comment ref="F149" authorId="0" shapeId="0">
      <text>
        <t>https://www.sec.gov/Archives/edgar/data/1730168/000173016820000226/0001730168-20-000226-index.html
Unit: USD</t>
      </text>
    </comment>
    <comment ref="F150" authorId="0" shapeId="0">
      <text>
        <t>https://www.sec.gov/Archives/edgar/data/1730168/000173016820000226/0001730168-20-000226-index.html
Unit: USD</t>
      </text>
    </comment>
    <comment ref="F151" authorId="0" shapeId="0">
      <text>
        <t>https://www.sec.gov/Archives/edgar/data/1730168/000173016819000144/0001730168-19-000144-index.html
Unit: USD</t>
      </text>
    </comment>
    <comment ref="F152" authorId="0" shapeId="0">
      <text>
        <t>https://www.sec.gov/Archives/edgar/data/1730168/000173016819000144/0001730168-19-000144-index.html
Unit: USD</t>
      </text>
    </comment>
    <comment ref="F153" authorId="0" shapeId="0">
      <text>
        <t>https://www.sec.gov/Archives/edgar/data/1730168/000173016819000144/0001730168-19-000144-index.html
Unit: USD</t>
      </text>
    </comment>
    <comment ref="F154" authorId="0" shapeId="0">
      <text>
        <t>https://www.sec.gov/Archives/edgar/data/1730168/000173016819000144/0001730168-19-000144-index.html
Unit: USD</t>
      </text>
    </comment>
    <comment ref="F155" authorId="0" shapeId="0">
      <text>
        <t>https://www.sec.gov/Archives/edgar/data/1730168/000173016820000226/0001730168-20-000226-index.html
Unit: USD</t>
      </text>
    </comment>
    <comment ref="F156" authorId="0" shapeId="0">
      <text>
        <t>https://www.sec.gov/Archives/edgar/data/1730168/000173016819000144/0001730168-19-000144-index.html
Unit: USD</t>
      </text>
    </comment>
    <comment ref="F157" authorId="0" shapeId="0">
      <text>
        <t>https://www.sec.gov/Archives/edgar/data/1730168/000173016819000144/0001730168-19-000144-index.html
Unit: USD</t>
      </text>
    </comment>
    <comment ref="F158" authorId="0" shapeId="0">
      <text>
        <t>https://www.sec.gov/Archives/edgar/data/1730168/000173016819000144/0001730168-19-000144-index.html
Unit: USD</t>
      </text>
    </comment>
    <comment ref="F159" authorId="0" shapeId="0">
      <text>
        <t>https://www.sec.gov/Archives/edgar/data/1730168/000173016819000144/0001730168-19-000144-index.html
Unit: USD</t>
      </text>
    </comment>
    <comment ref="F160" authorId="0" shapeId="0">
      <text>
        <t>https://www.sec.gov/Archives/edgar/data/1730168/000173016820000226/0001730168-20-000226-index.html
Unit: shares</t>
      </text>
    </comment>
    <comment ref="F161" authorId="0" shapeId="0">
      <text>
        <t>https://www.sec.gov/Archives/edgar/data/1730168/000173016819000144/0001730168-19-000144-index.html
Unit: shares</t>
      </text>
    </comment>
    <comment ref="F162" authorId="0" shapeId="0">
      <text>
        <t>https://www.sec.gov/Archives/edgar/data/1730168/000173016820000226/0001730168-20-000226-index.html
Unit: USD</t>
      </text>
    </comment>
    <comment ref="F163" authorId="0" shapeId="0">
      <text>
        <t>https://www.sec.gov/Archives/edgar/data/1730168/000173016818000084/0001730168-18-000084-index.html
Unit: USD</t>
      </text>
    </comment>
    <comment ref="F164" authorId="0" shapeId="0">
      <text>
        <t>https://www.sec.gov/Archives/edgar/data/1730168/000173016820000226/0001730168-20-000226-index.html
Unit: USD per share</t>
      </text>
    </comment>
    <comment ref="F165" authorId="0" shapeId="0">
      <text>
        <t>https://www.sec.gov/Archives/edgar/data/1730168/000173016818000084/0001730168-18-000084-index.html
Unit: USD</t>
      </text>
    </comment>
    <comment ref="F166" authorId="0" shapeId="0">
      <text>
        <t>https://www.sec.gov/Archives/edgar/data/1730168/000173016818000084/0001730168-18-000084-index.html
Unit: USD</t>
      </text>
    </comment>
    <comment ref="F167" authorId="0" shapeId="0">
      <text>
        <t>https://www.sec.gov/Archives/edgar/data/1730168/000173016818000084/0001730168-18-000084-index.html
Unit: USD</t>
      </text>
    </comment>
    <comment ref="F168" authorId="0" shapeId="0">
      <text>
        <t>https://www.sec.gov/Archives/edgar/data/1730168/000173016821000153/0001730168-21-000153-index.html
Unit: USD</t>
      </text>
    </comment>
    <comment ref="F169" authorId="0" shapeId="0">
      <text>
        <t>https://www.sec.gov/Archives/edgar/data/1730168/000173016818000084/0001730168-18-000084-index.html
Transformed calculation input: differs from the raw filing value; see formula and flags.
Unit: USD</t>
      </text>
    </comment>
    <comment ref="F170" authorId="0" shapeId="0">
      <text>
        <t>https://www.sec.gov/Archives/edgar/data/1730168/000173016821000153/0001730168-21-000153-index.html
Unit: USD</t>
      </text>
    </comment>
    <comment ref="F171" authorId="0" shapeId="0">
      <text>
        <t>https://www.sec.gov/Archives/edgar/data/1730168/000173016821000153/0001730168-21-000153-index.html
Unit: USD</t>
      </text>
    </comment>
    <comment ref="F172" authorId="0" shapeId="0">
      <text>
        <t>https://www.sec.gov/Archives/edgar/data/1730168/000173016821000153/0001730168-21-000153-index.html
Unit: USD</t>
      </text>
    </comment>
    <comment ref="F173" authorId="0" shapeId="0">
      <text>
        <t>https://www.sec.gov/Archives/edgar/data/1730168/000173016821000153/0001730168-21-000153-index.html
Unit: USD</t>
      </text>
    </comment>
    <comment ref="F174" authorId="0" shapeId="0">
      <text>
        <t>https://www.sec.gov/Archives/edgar/data/1730168/000173016821000153/0001730168-21-000153-index.html
Unit: USD</t>
      </text>
    </comment>
    <comment ref="F175" authorId="0" shapeId="0">
      <text>
        <t>https://www.sec.gov/Archives/edgar/data/1730168/000173016821000153/0001730168-21-000153-index.html
Unit: USD</t>
      </text>
    </comment>
    <comment ref="F176" authorId="0" shapeId="0">
      <text>
        <t>https://www.sec.gov/Archives/edgar/data/1730168/000173016821000153/0001730168-21-000153-index.html
Unit: USD</t>
      </text>
    </comment>
    <comment ref="F177" authorId="0" shapeId="0">
      <text>
        <t>https://www.sec.gov/Archives/edgar/data/1730168/000173016821000153/0001730168-21-000153-index.html
Unit: USD</t>
      </text>
    </comment>
    <comment ref="F178" authorId="0" shapeId="0">
      <text>
        <t>https://www.sec.gov/Archives/edgar/data/1730168/000173016821000153/0001730168-21-000153-index.html
Unit: USD</t>
      </text>
    </comment>
    <comment ref="F179" authorId="0" shapeId="0">
      <text>
        <t>https://www.sec.gov/Archives/edgar/data/1730168/000173016821000153/0001730168-21-000153-index.html
Unit: USD</t>
      </text>
    </comment>
    <comment ref="F180" authorId="0" shapeId="0">
      <text>
        <t>https://www.sec.gov/Archives/edgar/data/1730168/000173016821000153/0001730168-21-000153-index.html
Unit: USD</t>
      </text>
    </comment>
    <comment ref="F181" authorId="0" shapeId="0">
      <text>
        <t>https://www.sec.gov/Archives/edgar/data/1730168/000173016821000153/0001730168-21-000153-index.html
Unit: USD</t>
      </text>
    </comment>
    <comment ref="F182" authorId="0" shapeId="0">
      <text>
        <t>https://www.sec.gov/Archives/edgar/data/1730168/000173016821000153/0001730168-21-000153-index.html
Unit: USD</t>
      </text>
    </comment>
    <comment ref="F183" authorId="0" shapeId="0">
      <text>
        <t>https://www.sec.gov/Archives/edgar/data/1730168/000173016821000153/0001730168-21-000153-index.html
Unit: USD</t>
      </text>
    </comment>
    <comment ref="F184" authorId="0" shapeId="0">
      <text>
        <t>Derived or model input; see parent calculation formula and model assumptions.
Unit: ratio (decimal)</t>
      </text>
    </comment>
    <comment ref="F185" authorId="0" shapeId="0">
      <text>
        <t>https://www.sec.gov/Archives/edgar/data/1730168/000173016821000153/0001730168-21-000153-index.html
Unit: USD</t>
      </text>
    </comment>
    <comment ref="F186" authorId="0" shapeId="0">
      <text>
        <t>https://www.sec.gov/Archives/edgar/data/1730168/000173016821000153/0001730168-21-000153-index.html
Unit: USD</t>
      </text>
    </comment>
    <comment ref="F187" authorId="0" shapeId="0">
      <text>
        <t>https://www.sec.gov/Archives/edgar/data/1730168/000173016821000153/0001730168-21-000153-index.html
https://www.sec.gov/Archives/edgar/data/1730168/000173016819000144/0001730168-19-000144-index.html
Unit: USD</t>
      </text>
    </comment>
    <comment ref="F188" authorId="0" shapeId="0">
      <text>
        <t>https://www.sec.gov/Archives/edgar/data/1730168/000173016821000153/0001730168-21-000153-index.html
Unit: USD</t>
      </text>
    </comment>
    <comment ref="F189" authorId="0" shapeId="0">
      <text>
        <t>Derived or model input; see parent calculation formula and model assumptions.
Unit: USD</t>
      </text>
    </comment>
    <comment ref="F190" authorId="0" shapeId="0">
      <text>
        <t>https://www.sec.gov/Archives/edgar/data/1730168/000173016821000153/0001730168-21-000153-index.html
Unit: USD</t>
      </text>
    </comment>
    <comment ref="F191" authorId="0" shapeId="0">
      <text>
        <t>https://www.sec.gov/Archives/edgar/data/1730168/000173016821000153/0001730168-21-000153-index.html
Unit: USD</t>
      </text>
    </comment>
    <comment ref="F192" authorId="0" shapeId="0">
      <text>
        <t>https://www.sec.gov/Archives/edgar/data/1730168/000173016821000153/0001730168-21-000153-index.html
Unit: USD</t>
      </text>
    </comment>
    <comment ref="F193" authorId="0" shapeId="0">
      <text>
        <t>https://www.sec.gov/Archives/edgar/data/1730168/000173016821000153/0001730168-21-000153-index.html
https://www.sec.gov/Archives/edgar/data/1730168/000173016819000144/0001730168-19-000144-index.html
Unit: USD</t>
      </text>
    </comment>
    <comment ref="F194" authorId="0" shapeId="0">
      <text>
        <t>Derived or model input; see parent calculation formula and model assumptions.
Unit: USD</t>
      </text>
    </comment>
    <comment ref="F195" authorId="0" shapeId="0">
      <text>
        <t>https://www.sec.gov/Archives/edgar/data/1730168/000173016821000153/0001730168-21-000153-index.html
Unit: USD</t>
      </text>
    </comment>
    <comment ref="F196" authorId="0" shapeId="0">
      <text>
        <t>https://www.sec.gov/Archives/edgar/data/1730168/000173016821000153/0001730168-21-000153-index.html
Unit: USD</t>
      </text>
    </comment>
    <comment ref="F197" authorId="0" shapeId="0">
      <text>
        <t>https://www.sec.gov/Archives/edgar/data/1730168/000173016821000153/0001730168-21-000153-index.html
Unit: USD</t>
      </text>
    </comment>
    <comment ref="F198" authorId="0" shapeId="0">
      <text>
        <t>https://www.sec.gov/Archives/edgar/data/1730168/000173016821000153/0001730168-21-000153-index.html
https://www.sec.gov/Archives/edgar/data/1730168/000173016819000144/0001730168-19-000144-index.html
Unit: USD</t>
      </text>
    </comment>
    <comment ref="F199" authorId="0" shapeId="0">
      <text>
        <t>https://www.sec.gov/Archives/edgar/data/1730168/000173016821000153/0001730168-21-000153-index.html
Unit: USD</t>
      </text>
    </comment>
    <comment ref="F200" authorId="0" shapeId="0">
      <text>
        <t>Derived or model input; see parent calculation formula and model assumptions.
Unit: ratio (decimal)</t>
      </text>
    </comment>
    <comment ref="F201" authorId="0" shapeId="0">
      <text>
        <t>https://www.sec.gov/Archives/edgar/data/1730168/000173016819000144/0001730168-19-000144-index.html
Unit: USD</t>
      </text>
    </comment>
    <comment ref="F202" authorId="0" shapeId="0">
      <text>
        <t>Derived or model input; see parent calculation formula and model assumptions.
Unit: USD</t>
      </text>
    </comment>
    <comment ref="F203" authorId="0" shapeId="0">
      <text>
        <t>https://www.sec.gov/Archives/edgar/data/1730168/000173016821000153/0001730168-21-000153-index.html
Unit: USD</t>
      </text>
    </comment>
    <comment ref="F204" authorId="0" shapeId="0">
      <text>
        <t>https://www.sec.gov/Archives/edgar/data/1730168/000173016821000153/0001730168-21-000153-index.html
Unit: USD</t>
      </text>
    </comment>
    <comment ref="F205" authorId="0" shapeId="0">
      <text>
        <t>Derived or model input; see parent calculation formula and model assumptions.
Unit: ratio (decimal)</t>
      </text>
    </comment>
    <comment ref="F206" authorId="0" shapeId="0">
      <text>
        <t>Derived or model input; see parent calculation formula and model assumptions.
Unit: USD</t>
      </text>
    </comment>
    <comment ref="F207" authorId="0" shapeId="0">
      <text>
        <t>Derived or model input; see parent calculation formula and model assumptions.
Unit: USD</t>
      </text>
    </comment>
    <comment ref="F208" authorId="0" shapeId="0">
      <text>
        <t>https://www.sec.gov/Archives/edgar/data/1730168/000173016821000153/0001730168-21-000153-index.html
Unit: USD</t>
      </text>
    </comment>
    <comment ref="F209" authorId="0" shapeId="0">
      <text>
        <t>Derived or model input; see parent calculation formula and model assumptions.
Unit: USD</t>
      </text>
    </comment>
    <comment ref="F210" authorId="0" shapeId="0">
      <text>
        <t>Derived: ebitda @ 2019-11-03; see Calculations and Calc inputs.
Unit: USD</t>
      </text>
    </comment>
    <comment ref="F211" authorId="0" shapeId="0">
      <text>
        <t>https://www.sec.gov/Archives/edgar/data/1730168/000173016821000153/0001730168-21-000153-index.html
Unit: USD</t>
      </text>
    </comment>
    <comment ref="F212" authorId="0" shapeId="0">
      <text>
        <t>https://www.sec.gov/Archives/edgar/data/1730168/000173016821000153/0001730168-21-000153-index.html
Unit: USD</t>
      </text>
    </comment>
    <comment ref="F213" authorId="0" shapeId="0">
      <text>
        <t>https://www.sec.gov/Archives/edgar/data/1730168/000173016820000226/0001730168-20-000226-index.html
Unit: USD</t>
      </text>
    </comment>
    <comment ref="F214" authorId="0" shapeId="0">
      <text>
        <t>https://www.sec.gov/Archives/edgar/data/1730168/000173016820000226/0001730168-20-000226-index.html
Unit: USD</t>
      </text>
    </comment>
    <comment ref="F215" authorId="0" shapeId="0">
      <text>
        <t>https://www.sec.gov/Archives/edgar/data/1730168/000173016819000144/0001730168-19-000144-index.html
Unit: USD</t>
      </text>
    </comment>
    <comment ref="F216" authorId="0" shapeId="0">
      <text>
        <t>https://www.sec.gov/Archives/edgar/data/1730168/000173016820000226/0001730168-20-000226-index.html
Unit: USD</t>
      </text>
    </comment>
    <comment ref="F217" authorId="0" shapeId="0">
      <text>
        <t>https://www.sec.gov/Archives/edgar/data/1730168/000173016821000153/0001730168-21-000153-index.html
Unit: USD</t>
      </text>
    </comment>
    <comment ref="F218" authorId="0" shapeId="0">
      <text>
        <t>https://www.sec.gov/Archives/edgar/data/1730168/000173016820000226/0001730168-20-000226-index.html
Unit: USD</t>
      </text>
    </comment>
    <comment ref="F219" authorId="0" shapeId="0">
      <text>
        <t>https://www.sec.gov/Archives/edgar/data/1730168/000173016820000226/0001730168-20-000226-index.html
Unit: USD</t>
      </text>
    </comment>
    <comment ref="F220" authorId="0" shapeId="0">
      <text>
        <t>https://www.sec.gov/Archives/edgar/data/1730168/000173016820000226/0001730168-20-000226-index.html
Unit: USD</t>
      </text>
    </comment>
    <comment ref="F221" authorId="0" shapeId="0">
      <text>
        <t>https://www.sec.gov/Archives/edgar/data/1730168/000173016820000226/0001730168-20-000226-index.html
Unit: USD</t>
      </text>
    </comment>
    <comment ref="F222" authorId="0" shapeId="0">
      <text>
        <t>https://www.sec.gov/Archives/edgar/data/1730168/000173016821000153/0001730168-21-000153-index.html
Unit: shares</t>
      </text>
    </comment>
    <comment ref="F223" authorId="0" shapeId="0">
      <text>
        <t>https://www.sec.gov/Archives/edgar/data/1730168/000173016820000226/0001730168-20-000226-index.html
Unit: shares</t>
      </text>
    </comment>
    <comment ref="F224" authorId="0" shapeId="0">
      <text>
        <t>https://www.sec.gov/Archives/edgar/data/1730168/000173016821000153/0001730168-21-000153-index.html
Unit: USD</t>
      </text>
    </comment>
    <comment ref="F225" authorId="0" shapeId="0">
      <text>
        <t>https://www.sec.gov/Archives/edgar/data/1730168/000173016821000153/0001730168-21-000153-index.html
Unit: USD</t>
      </text>
    </comment>
    <comment ref="F226" authorId="0" shapeId="0">
      <text>
        <t>https://www.sec.gov/Archives/edgar/data/1730168/000173016821000153/0001730168-21-000153-index.html
Unit: USD per share</t>
      </text>
    </comment>
    <comment ref="F227" authorId="0" shapeId="0">
      <text>
        <t>https://www.sec.gov/Archives/edgar/data/1730168/000173016819000144/0001730168-19-000144-index.html
Unit: USD</t>
      </text>
    </comment>
    <comment ref="F228" authorId="0" shapeId="0">
      <text>
        <t>https://www.sec.gov/Archives/edgar/data/1730168/000173016819000144/0001730168-19-000144-index.html
Unit: USD</t>
      </text>
    </comment>
    <comment ref="F229" authorId="0" shapeId="0">
      <text>
        <t>https://www.sec.gov/Archives/edgar/data/1730168/000173016819000144/0001730168-19-000144-index.html
Unit: USD</t>
      </text>
    </comment>
    <comment ref="F230" authorId="0" shapeId="0">
      <text>
        <t>https://www.sec.gov/Archives/edgar/data/1730168/000173016822000118/0001730168-22-000118-index.html
Unit: USD</t>
      </text>
    </comment>
    <comment ref="F231" authorId="0" shapeId="0">
      <text>
        <t>https://www.sec.gov/Archives/edgar/data/1730168/000173016821000153/0001730168-21-000153-index.html
Unit: USD</t>
      </text>
    </comment>
    <comment ref="F232" authorId="0" shapeId="0">
      <text>
        <t>https://www.sec.gov/Archives/edgar/data/1730168/000173016822000118/0001730168-22-000118-index.html
Unit: USD</t>
      </text>
    </comment>
    <comment ref="F233" authorId="0" shapeId="0">
      <text>
        <t>https://www.sec.gov/Archives/edgar/data/1730168/000173016822000118/0001730168-22-000118-index.html
Unit: USD</t>
      </text>
    </comment>
    <comment ref="F234" authorId="0" shapeId="0">
      <text>
        <t>https://www.sec.gov/Archives/edgar/data/1730168/000173016822000118/0001730168-22-000118-index.html
Unit: USD</t>
      </text>
    </comment>
    <comment ref="F235" authorId="0" shapeId="0">
      <text>
        <t>https://www.sec.gov/Archives/edgar/data/1730168/000173016822000118/0001730168-22-000118-index.html
Unit: USD</t>
      </text>
    </comment>
    <comment ref="F236" authorId="0" shapeId="0">
      <text>
        <t>https://www.sec.gov/Archives/edgar/data/1730168/000173016822000118/0001730168-22-000118-index.html
Unit: USD</t>
      </text>
    </comment>
    <comment ref="F237" authorId="0" shapeId="0">
      <text>
        <t>https://www.sec.gov/Archives/edgar/data/1730168/000173016822000118/0001730168-22-000118-index.html
Unit: USD</t>
      </text>
    </comment>
    <comment ref="F238" authorId="0" shapeId="0">
      <text>
        <t>https://www.sec.gov/Archives/edgar/data/1730168/000173016822000118/0001730168-22-000118-index.html
Unit: USD</t>
      </text>
    </comment>
    <comment ref="F239" authorId="0" shapeId="0">
      <text>
        <t>https://www.sec.gov/Archives/edgar/data/1730168/000173016822000118/0001730168-22-000118-index.html
Unit: USD</t>
      </text>
    </comment>
    <comment ref="F240" authorId="0" shapeId="0">
      <text>
        <t>https://www.sec.gov/Archives/edgar/data/1730168/000173016822000118/0001730168-22-000118-index.html
Unit: USD</t>
      </text>
    </comment>
    <comment ref="F241" authorId="0" shapeId="0">
      <text>
        <t>https://www.sec.gov/Archives/edgar/data/1730168/000173016822000118/0001730168-22-000118-index.html
Unit: USD</t>
      </text>
    </comment>
    <comment ref="F242" authorId="0" shapeId="0">
      <text>
        <t>https://www.sec.gov/Archives/edgar/data/1730168/000173016822000118/0001730168-22-000118-index.html
Unit: USD</t>
      </text>
    </comment>
    <comment ref="F243" authorId="0" shapeId="0">
      <text>
        <t>https://www.sec.gov/Archives/edgar/data/1730168/000173016822000118/0001730168-22-000118-index.html
Unit: USD</t>
      </text>
    </comment>
    <comment ref="F244" authorId="0" shapeId="0">
      <text>
        <t>https://www.sec.gov/Archives/edgar/data/1730168/000173016822000118/0001730168-22-000118-index.html
Unit: USD</t>
      </text>
    </comment>
    <comment ref="F245" authorId="0" shapeId="0">
      <text>
        <t>https://www.sec.gov/Archives/edgar/data/1730168/000173016822000118/0001730168-22-000118-index.html
Unit: USD</t>
      </text>
    </comment>
    <comment ref="F246" authorId="0" shapeId="0">
      <text>
        <t>Derived or model input; see parent calculation formula and model assumptions.
Unit: ratio (decimal)</t>
      </text>
    </comment>
    <comment ref="F247" authorId="0" shapeId="0">
      <text>
        <t>https://www.sec.gov/Archives/edgar/data/1730168/000173016822000118/0001730168-22-000118-index.html
Unit: USD</t>
      </text>
    </comment>
    <comment ref="F248" authorId="0" shapeId="0">
      <text>
        <t>https://www.sec.gov/Archives/edgar/data/1730168/000173016822000118/0001730168-22-000118-index.html
Unit: USD</t>
      </text>
    </comment>
    <comment ref="F249" authorId="0" shapeId="0">
      <text>
        <t>https://www.sec.gov/Archives/edgar/data/1730168/000173016822000118/0001730168-22-000118-index.html
Unit: USD</t>
      </text>
    </comment>
    <comment ref="F250" authorId="0" shapeId="0">
      <text>
        <t>Derived or model input; see parent calculation formula and model assumptions.
Unit: USD</t>
      </text>
    </comment>
    <comment ref="F251" authorId="0" shapeId="0">
      <text>
        <t>https://www.sec.gov/Archives/edgar/data/1730168/000173016822000118/0001730168-22-000118-index.html
Unit: USD</t>
      </text>
    </comment>
    <comment ref="F252" authorId="0" shapeId="0">
      <text>
        <t>https://www.sec.gov/Archives/edgar/data/1730168/000173016822000118/0001730168-22-000118-index.html
Unit: USD</t>
      </text>
    </comment>
    <comment ref="F253" authorId="0" shapeId="0">
      <text>
        <t>https://www.sec.gov/Archives/edgar/data/1730168/000173016822000118/0001730168-22-000118-index.html
Unit: USD</t>
      </text>
    </comment>
    <comment ref="F254" authorId="0" shapeId="0">
      <text>
        <t>Derived or model input; see parent calculation formula and model assumptions.
Unit: USD</t>
      </text>
    </comment>
    <comment ref="F255" authorId="0" shapeId="0">
      <text>
        <t>https://www.sec.gov/Archives/edgar/data/1730168/000173016822000118/0001730168-22-000118-index.html
Unit: USD</t>
      </text>
    </comment>
    <comment ref="F256" authorId="0" shapeId="0">
      <text>
        <t>https://www.sec.gov/Archives/edgar/data/1730168/000173016822000118/0001730168-22-000118-index.html
Unit: USD</t>
      </text>
    </comment>
    <comment ref="F257" authorId="0" shapeId="0">
      <text>
        <t>https://www.sec.gov/Archives/edgar/data/1730168/000173016822000118/0001730168-22-000118-index.html
Unit: USD</t>
      </text>
    </comment>
    <comment ref="F258" authorId="0" shapeId="0">
      <text>
        <t>https://www.sec.gov/Archives/edgar/data/1730168/000173016822000118/0001730168-22-000118-index.html
Unit: USD</t>
      </text>
    </comment>
    <comment ref="F259" authorId="0" shapeId="0">
      <text>
        <t>Derived or model input; see parent calculation formula and model assumptions.
Unit: ratio (decimal)</t>
      </text>
    </comment>
    <comment ref="F260" authorId="0" shapeId="0">
      <text>
        <t>https://www.sec.gov/Archives/edgar/data/1730168/000173016823000096/0001730168-23-000096-index.html
Unit: USD</t>
      </text>
    </comment>
    <comment ref="F261" authorId="0" shapeId="0">
      <text>
        <t>Derived or model input; see parent calculation formula and model assumptions.
Unit: USD</t>
      </text>
    </comment>
    <comment ref="F262" authorId="0" shapeId="0">
      <text>
        <t>https://www.sec.gov/Archives/edgar/data/1730168/000173016821000153/0001730168-21-000153-index.html
Unit: USD</t>
      </text>
    </comment>
    <comment ref="F263" authorId="0" shapeId="0">
      <text>
        <t>https://www.sec.gov/Archives/edgar/data/1730168/000173016822000118/0001730168-22-000118-index.html
Unit: USD</t>
      </text>
    </comment>
    <comment ref="F264" authorId="0" shapeId="0">
      <text>
        <t>Derived or model input; see parent calculation formula and model assumptions.
Unit: ratio (decimal)</t>
      </text>
    </comment>
    <comment ref="F265" authorId="0" shapeId="0">
      <text>
        <t>Derived or model input; see parent calculation formula and model assumptions.
Unit: USD</t>
      </text>
    </comment>
    <comment ref="F266" authorId="0" shapeId="0">
      <text>
        <t>Derived or model input; see parent calculation formula and model assumptions.
Unit: USD</t>
      </text>
    </comment>
    <comment ref="F267" authorId="0" shapeId="0">
      <text>
        <t>https://www.sec.gov/Archives/edgar/data/1730168/000173016821000153/0001730168-21-000153-index.html
Unit: USD</t>
      </text>
    </comment>
    <comment ref="F268" authorId="0" shapeId="0">
      <text>
        <t>Derived or model input; see parent calculation formula and model assumptions.
Unit: USD</t>
      </text>
    </comment>
    <comment ref="F269" authorId="0" shapeId="0">
      <text>
        <t>https://www.sec.gov/Archives/edgar/data/1730168/000173016822000118/0001730168-22-000118-index.html
Unit: USD</t>
      </text>
    </comment>
    <comment ref="F270" authorId="0" shapeId="0">
      <text>
        <t>https://www.sec.gov/Archives/edgar/data/1730168/000173016822000118/0001730168-22-000118-index.html
Unit: USD</t>
      </text>
    </comment>
    <comment ref="F271" authorId="0" shapeId="0">
      <text>
        <t>https://www.sec.gov/Archives/edgar/data/1730168/000173016821000153/0001730168-21-000153-index.html
Unit: USD</t>
      </text>
    </comment>
    <comment ref="F272" authorId="0" shapeId="0">
      <text>
        <t>https://www.sec.gov/Archives/edgar/data/1730168/000173016821000153/0001730168-21-000153-index.html
Unit: USD</t>
      </text>
    </comment>
    <comment ref="F273" authorId="0" shapeId="0">
      <text>
        <t>https://www.sec.gov/Archives/edgar/data/1730168/000173016823000096/0001730168-23-000096-index.html
Unit: USD</t>
      </text>
    </comment>
    <comment ref="F274" authorId="0" shapeId="0">
      <text>
        <t>https://www.sec.gov/Archives/edgar/data/1730168/000173016821000153/0001730168-21-000153-index.html
Unit: USD</t>
      </text>
    </comment>
    <comment ref="F275" authorId="0" shapeId="0">
      <text>
        <t>https://www.sec.gov/Archives/edgar/data/1730168/000173016822000118/0001730168-22-000118-index.html
Unit: USD</t>
      </text>
    </comment>
    <comment ref="F276" authorId="0" shapeId="0">
      <text>
        <t>https://www.sec.gov/Archives/edgar/data/1730168/000173016821000153/0001730168-21-000153-index.html
Unit: USD</t>
      </text>
    </comment>
    <comment ref="F277" authorId="0" shapeId="0">
      <text>
        <t>https://www.sec.gov/Archives/edgar/data/1730168/000173016821000153/0001730168-21-000153-index.html
Unit: USD</t>
      </text>
    </comment>
    <comment ref="F278" authorId="0" shapeId="0">
      <text>
        <t>https://www.sec.gov/Archives/edgar/data/1730168/000173016821000153/0001730168-21-000153-index.html
Unit: USD</t>
      </text>
    </comment>
    <comment ref="F279" authorId="0" shapeId="0">
      <text>
        <t>https://www.sec.gov/Archives/edgar/data/1730168/000173016821000153/0001730168-21-000153-index.html
Unit: USD</t>
      </text>
    </comment>
    <comment ref="F280" authorId="0" shapeId="0">
      <text>
        <t>https://www.sec.gov/Archives/edgar/data/1730168/000173016822000118/0001730168-22-000118-index.html
Unit: shares</t>
      </text>
    </comment>
    <comment ref="F281" authorId="0" shapeId="0">
      <text>
        <t>https://www.sec.gov/Archives/edgar/data/1730168/000173016821000153/0001730168-21-000153-index.html
Unit: shares</t>
      </text>
    </comment>
    <comment ref="F282" authorId="0" shapeId="0">
      <text>
        <t>https://www.sec.gov/Archives/edgar/data/1730168/000173016822000118/0001730168-22-000118-index.html
Unit: USD</t>
      </text>
    </comment>
    <comment ref="F283" authorId="0" shapeId="0">
      <text>
        <t>https://www.sec.gov/Archives/edgar/data/1730168/000173016822000118/0001730168-22-000118-index.html
Unit: USD</t>
      </text>
    </comment>
    <comment ref="F284" authorId="0" shapeId="0">
      <text>
        <t>https://www.sec.gov/Archives/edgar/data/1730168/000173016822000118/0001730168-22-000118-index.html
Unit: USD per share</t>
      </text>
    </comment>
    <comment ref="F285" authorId="0" shapeId="0">
      <text>
        <t>https://www.sec.gov/Archives/edgar/data/1730168/000173016820000226/0001730168-20-000226-index.html
Unit: USD</t>
      </text>
    </comment>
    <comment ref="F286" authorId="0" shapeId="0">
      <text>
        <t>https://www.sec.gov/Archives/edgar/data/1730168/000173016820000226/0001730168-20-000226-index.html
Unit: USD</t>
      </text>
    </comment>
    <comment ref="F287" authorId="0" shapeId="0">
      <text>
        <t>https://www.sec.gov/Archives/edgar/data/1730168/000173016823000096/0001730168-23-000096-index.html
Unit: USD</t>
      </text>
    </comment>
    <comment ref="F288" authorId="0" shapeId="0">
      <text>
        <t>https://www.sec.gov/Archives/edgar/data/1730168/000173016822000118/0001730168-22-000118-index.html
Unit: USD</t>
      </text>
    </comment>
    <comment ref="F289" authorId="0" shapeId="0">
      <text>
        <t>https://www.sec.gov/Archives/edgar/data/1730168/000173016823000096/0001730168-23-000096-index.html
Unit: USD</t>
      </text>
    </comment>
    <comment ref="F290" authorId="0" shapeId="0">
      <text>
        <t>https://www.sec.gov/Archives/edgar/data/1730168/000173016823000096/0001730168-23-000096-index.html
Unit: USD</t>
      </text>
    </comment>
    <comment ref="F291" authorId="0" shapeId="0">
      <text>
        <t>https://www.sec.gov/Archives/edgar/data/1730168/000173016823000096/0001730168-23-000096-index.html
Unit: USD</t>
      </text>
    </comment>
    <comment ref="F292" authorId="0" shapeId="0">
      <text>
        <t>https://www.sec.gov/Archives/edgar/data/1730168/000173016823000096/0001730168-23-000096-index.html
Unit: USD</t>
      </text>
    </comment>
    <comment ref="F293" authorId="0" shapeId="0">
      <text>
        <t>https://www.sec.gov/Archives/edgar/data/1730168/000173016823000096/0001730168-23-000096-index.html
Unit: USD</t>
      </text>
    </comment>
    <comment ref="F294" authorId="0" shapeId="0">
      <text>
        <t>https://www.sec.gov/Archives/edgar/data/1730168/000173016823000096/0001730168-23-000096-index.html
Unit: USD</t>
      </text>
    </comment>
    <comment ref="F295" authorId="0" shapeId="0">
      <text>
        <t>https://www.sec.gov/Archives/edgar/data/1730168/000173016823000096/0001730168-23-000096-index.html
Unit: USD</t>
      </text>
    </comment>
    <comment ref="F296" authorId="0" shapeId="0">
      <text>
        <t>https://www.sec.gov/Archives/edgar/data/1730168/000173016823000096/0001730168-23-000096-index.html
Unit: USD</t>
      </text>
    </comment>
    <comment ref="F297" authorId="0" shapeId="0">
      <text>
        <t>https://www.sec.gov/Archives/edgar/data/1730168/000173016823000096/0001730168-23-000096-index.html
Unit: USD</t>
      </text>
    </comment>
    <comment ref="F298" authorId="0" shapeId="0">
      <text>
        <t>https://www.sec.gov/Archives/edgar/data/1730168/000173016823000096/0001730168-23-000096-index.html
Unit: USD</t>
      </text>
    </comment>
    <comment ref="F299" authorId="0" shapeId="0">
      <text>
        <t>https://www.sec.gov/Archives/edgar/data/1730168/000173016823000096/0001730168-23-000096-index.html
Unit: USD</t>
      </text>
    </comment>
    <comment ref="F300" authorId="0" shapeId="0">
      <text>
        <t>https://www.sec.gov/Archives/edgar/data/1730168/000173016823000096/0001730168-23-000096-index.html
Unit: USD</t>
      </text>
    </comment>
    <comment ref="F301" authorId="0" shapeId="0">
      <text>
        <t>https://www.sec.gov/Archives/edgar/data/1730168/000173016823000096/0001730168-23-000096-index.html
Unit: USD</t>
      </text>
    </comment>
    <comment ref="F302" authorId="0" shapeId="0">
      <text>
        <t>https://www.sec.gov/Archives/edgar/data/1730168/000173016823000096/0001730168-23-000096-index.html
Unit: USD</t>
      </text>
    </comment>
    <comment ref="F303" authorId="0" shapeId="0">
      <text>
        <t>Derived or model input; see parent calculation formula and model assumptions.
Unit: ratio (decimal)</t>
      </text>
    </comment>
    <comment ref="F304" authorId="0" shapeId="0">
      <text>
        <t>https://www.sec.gov/Archives/edgar/data/1730168/000173016823000096/0001730168-23-000096-index.html
Unit: USD</t>
      </text>
    </comment>
    <comment ref="F305" authorId="0" shapeId="0">
      <text>
        <t>https://www.sec.gov/Archives/edgar/data/1730168/000173016823000096/0001730168-23-000096-index.html
Unit: USD</t>
      </text>
    </comment>
    <comment ref="F306" authorId="0" shapeId="0">
      <text>
        <t>https://www.sec.gov/Archives/edgar/data/1730168/000173016823000096/0001730168-23-000096-index.html
Unit: USD</t>
      </text>
    </comment>
    <comment ref="F307" authorId="0" shapeId="0">
      <text>
        <t>Derived or model input; see parent calculation formula and model assumptions.
Unit: USD</t>
      </text>
    </comment>
    <comment ref="F308" authorId="0" shapeId="0">
      <text>
        <t>https://www.sec.gov/Archives/edgar/data/1730168/000173016823000096/0001730168-23-000096-index.html
Unit: USD</t>
      </text>
    </comment>
    <comment ref="F309" authorId="0" shapeId="0">
      <text>
        <t>https://www.sec.gov/Archives/edgar/data/1730168/000173016823000096/0001730168-23-000096-index.html
Unit: USD</t>
      </text>
    </comment>
    <comment ref="F310" authorId="0" shapeId="0">
      <text>
        <t>https://www.sec.gov/Archives/edgar/data/1730168/000173016823000096/0001730168-23-000096-index.html
Unit: USD</t>
      </text>
    </comment>
    <comment ref="F311" authorId="0" shapeId="0">
      <text>
        <t>Derived or model input; see parent calculation formula and model assumptions.
Unit: USD</t>
      </text>
    </comment>
    <comment ref="F312" authorId="0" shapeId="0">
      <text>
        <t>https://www.sec.gov/Archives/edgar/data/1730168/000173016823000096/0001730168-23-000096-index.html
Unit: USD</t>
      </text>
    </comment>
    <comment ref="F313" authorId="0" shapeId="0">
      <text>
        <t>https://www.sec.gov/Archives/edgar/data/1730168/000173016823000096/0001730168-23-000096-index.html
Unit: USD</t>
      </text>
    </comment>
    <comment ref="F314" authorId="0" shapeId="0">
      <text>
        <t>https://www.sec.gov/Archives/edgar/data/1730168/000173016823000096/0001730168-23-000096-index.html
Unit: USD</t>
      </text>
    </comment>
    <comment ref="F315" authorId="0" shapeId="0">
      <text>
        <t>https://www.sec.gov/Archives/edgar/data/1730168/000173016823000096/0001730168-23-000096-index.html
Unit: USD</t>
      </text>
    </comment>
    <comment ref="F316" authorId="0" shapeId="0">
      <text>
        <t>Derived or model input; see parent calculation formula and model assumptions.
Unit: ratio (decimal)</t>
      </text>
    </comment>
    <comment ref="F317" authorId="0" shapeId="0">
      <text>
        <t>https://www.sec.gov/Archives/edgar/data/1730168/000173016824000139/0001730168-24-000139-index.html
Unit: USD</t>
      </text>
    </comment>
    <comment ref="F318" authorId="0" shapeId="0">
      <text>
        <t>Derived or model input; see parent calculation formula and model assumptions.
Unit: USD</t>
      </text>
    </comment>
    <comment ref="F319" authorId="0" shapeId="0">
      <text>
        <t>https://www.sec.gov/Archives/edgar/data/1730168/000173016822000118/0001730168-22-000118-index.html
Unit: USD</t>
      </text>
    </comment>
    <comment ref="F320" authorId="0" shapeId="0">
      <text>
        <t>https://www.sec.gov/Archives/edgar/data/1730168/000173016823000096/0001730168-23-000096-index.html
Unit: USD</t>
      </text>
    </comment>
    <comment ref="F321" authorId="0" shapeId="0">
      <text>
        <t>Derived or model input; see parent calculation formula and model assumptions.
Unit: ratio (decimal)</t>
      </text>
    </comment>
    <comment ref="F322" authorId="0" shapeId="0">
      <text>
        <t>Derived or model input; see parent calculation formula and model assumptions.
Unit: USD</t>
      </text>
    </comment>
    <comment ref="F323" authorId="0" shapeId="0">
      <text>
        <t>Derived or model input; see parent calculation formula and model assumptions.
Unit: USD</t>
      </text>
    </comment>
    <comment ref="F324" authorId="0" shapeId="0">
      <text>
        <t>https://www.sec.gov/Archives/edgar/data/1730168/000173016822000118/0001730168-22-000118-index.html
Unit: USD</t>
      </text>
    </comment>
    <comment ref="F325" authorId="0" shapeId="0">
      <text>
        <t>Derived or model input; see parent calculation formula and model assumptions.
Unit: USD</t>
      </text>
    </comment>
    <comment ref="F326" authorId="0" shapeId="0">
      <text>
        <t>https://www.sec.gov/Archives/edgar/data/1730168/000173016823000096/0001730168-23-000096-index.html
Unit: USD</t>
      </text>
    </comment>
    <comment ref="F327" authorId="0" shapeId="0">
      <text>
        <t>https://www.sec.gov/Archives/edgar/data/1730168/000173016823000096/0001730168-23-000096-index.html
Unit: USD</t>
      </text>
    </comment>
    <comment ref="F328" authorId="0" shapeId="0">
      <text>
        <t>https://www.sec.gov/Archives/edgar/data/1730168/000173016822000118/0001730168-22-000118-index.html
Unit: USD</t>
      </text>
    </comment>
    <comment ref="F329" authorId="0" shapeId="0">
      <text>
        <t>https://www.sec.gov/Archives/edgar/data/1730168/000173016822000118/0001730168-22-000118-index.html
Unit: USD</t>
      </text>
    </comment>
    <comment ref="F330" authorId="0" shapeId="0">
      <text>
        <t>https://www.sec.gov/Archives/edgar/data/1730168/000173016824000139/0001730168-24-000139-index.html
Unit: USD</t>
      </text>
    </comment>
    <comment ref="F331" authorId="0" shapeId="0">
      <text>
        <t>https://www.sec.gov/Archives/edgar/data/1730168/000173016822000118/0001730168-22-000118-index.html
Unit: USD</t>
      </text>
    </comment>
    <comment ref="F332" authorId="0" shapeId="0">
      <text>
        <t>https://www.sec.gov/Archives/edgar/data/1730168/000173016823000096/0001730168-23-000096-index.html
Unit: USD</t>
      </text>
    </comment>
    <comment ref="F333" authorId="0" shapeId="0">
      <text>
        <t>https://www.sec.gov/Archives/edgar/data/1730168/000173016822000118/0001730168-22-000118-index.html
Unit: USD</t>
      </text>
    </comment>
    <comment ref="F334" authorId="0" shapeId="0">
      <text>
        <t>https://www.sec.gov/Archives/edgar/data/1730168/000173016822000118/0001730168-22-000118-index.html
Unit: USD</t>
      </text>
    </comment>
    <comment ref="F335" authorId="0" shapeId="0">
      <text>
        <t>https://www.sec.gov/Archives/edgar/data/1730168/000173016822000118/0001730168-22-000118-index.html
Unit: USD</t>
      </text>
    </comment>
    <comment ref="F336" authorId="0" shapeId="0">
      <text>
        <t>https://www.sec.gov/Archives/edgar/data/1730168/000173016822000118/0001730168-22-000118-index.html
Unit: USD</t>
      </text>
    </comment>
    <comment ref="F337" authorId="0" shapeId="0">
      <text>
        <t>https://www.sec.gov/Archives/edgar/data/1730168/000173016823000096/0001730168-23-000096-index.html
Unit: shares</t>
      </text>
    </comment>
    <comment ref="F338" authorId="0" shapeId="0">
      <text>
        <t>https://www.sec.gov/Archives/edgar/data/1730168/000173016822000118/0001730168-22-000118-index.html
Unit: shares</t>
      </text>
    </comment>
    <comment ref="F339" authorId="0" shapeId="0">
      <text>
        <t>https://www.sec.gov/Archives/edgar/data/1730168/000173016823000096/0001730168-23-000096-index.html
Unit: USD</t>
      </text>
    </comment>
    <comment ref="F340" authorId="0" shapeId="0">
      <text>
        <t>https://www.sec.gov/Archives/edgar/data/1730168/000173016823000096/0001730168-23-000096-index.html
Unit: USD</t>
      </text>
    </comment>
    <comment ref="F341" authorId="0" shapeId="0">
      <text>
        <t>https://www.sec.gov/Archives/edgar/data/1730168/000173016823000096/0001730168-23-000096-index.html
Unit: USD per share</t>
      </text>
    </comment>
    <comment ref="F342" authorId="0" shapeId="0">
      <text>
        <t>https://www.sec.gov/Archives/edgar/data/1730168/000173016821000153/0001730168-21-000153-index.html
Unit: USD</t>
      </text>
    </comment>
    <comment ref="F343" authorId="0" shapeId="0">
      <text>
        <t>https://www.sec.gov/Archives/edgar/data/1730168/000173016821000153/0001730168-21-000153-index.html
Unit: USD</t>
      </text>
    </comment>
    <comment ref="F344" authorId="0" shapeId="0">
      <text>
        <t>https://www.sec.gov/Archives/edgar/data/1730168/000173016821000153/0001730168-21-000153-index.html
Unit: USD</t>
      </text>
    </comment>
    <comment ref="F345" authorId="0" shapeId="0">
      <text>
        <t>https://www.sec.gov/Archives/edgar/data/1730168/000173016824000139/0001730168-24-000139-index.html
Unit: USD</t>
      </text>
    </comment>
    <comment ref="F346" authorId="0" shapeId="0">
      <text>
        <t>https://www.sec.gov/Archives/edgar/data/1730168/000173016823000096/0001730168-23-000096-index.html
Unit: USD</t>
      </text>
    </comment>
    <comment ref="F347" authorId="0" shapeId="0">
      <text>
        <t>https://www.sec.gov/Archives/edgar/data/1730168/000173016824000139/0001730168-24-000139-index.html
Unit: USD</t>
      </text>
    </comment>
    <comment ref="F348" authorId="0" shapeId="0">
      <text>
        <t>https://www.sec.gov/Archives/edgar/data/1730168/000173016824000139/0001730168-24-000139-index.html
Unit: USD</t>
      </text>
    </comment>
    <comment ref="F349" authorId="0" shapeId="0">
      <text>
        <t>https://www.sec.gov/Archives/edgar/data/1730168/000173016824000139/0001730168-24-000139-index.html
Unit: USD</t>
      </text>
    </comment>
    <comment ref="F350" authorId="0" shapeId="0">
      <text>
        <t>https://www.sec.gov/Archives/edgar/data/1730168/000173016824000139/0001730168-24-000139-index.html
Unit: USD</t>
      </text>
    </comment>
    <comment ref="F351" authorId="0" shapeId="0">
      <text>
        <t>https://www.sec.gov/Archives/edgar/data/1730168/000173016824000139/0001730168-24-000139-index.html
Unit: USD</t>
      </text>
    </comment>
    <comment ref="F352" authorId="0" shapeId="0">
      <text>
        <t>https://www.sec.gov/Archives/edgar/data/1730168/000173016824000139/0001730168-24-000139-index.html
Unit: USD</t>
      </text>
    </comment>
    <comment ref="F353" authorId="0" shapeId="0">
      <text>
        <t>https://www.sec.gov/Archives/edgar/data/1730168/000173016824000139/0001730168-24-000139-index.html
Unit: USD</t>
      </text>
    </comment>
    <comment ref="F354" authorId="0" shapeId="0">
      <text>
        <t>https://www.sec.gov/Archives/edgar/data/1730168/000173016824000139/0001730168-24-000139-index.html
Unit: USD</t>
      </text>
    </comment>
    <comment ref="F355" authorId="0" shapeId="0">
      <text>
        <t>https://www.sec.gov/Archives/edgar/data/1730168/000173016824000139/0001730168-24-000139-index.html
Unit: USD</t>
      </text>
    </comment>
    <comment ref="F356" authorId="0" shapeId="0">
      <text>
        <t>https://www.sec.gov/Archives/edgar/data/1730168/000173016824000139/0001730168-24-000139-index.html
Unit: USD</t>
      </text>
    </comment>
    <comment ref="F357" authorId="0" shapeId="0">
      <text>
        <t>https://www.sec.gov/Archives/edgar/data/1730168/000173016824000139/0001730168-24-000139-index.html
Unit: USD</t>
      </text>
    </comment>
    <comment ref="F358" authorId="0" shapeId="0">
      <text>
        <t>https://www.sec.gov/Archives/edgar/data/1730168/000173016824000139/0001730168-24-000139-index.html
Unit: USD</t>
      </text>
    </comment>
    <comment ref="F359" authorId="0" shapeId="0">
      <text>
        <t>https://www.sec.gov/Archives/edgar/data/1730168/000173016824000139/0001730168-24-000139-index.html
Unit: USD</t>
      </text>
    </comment>
    <comment ref="F360" authorId="0" shapeId="0">
      <text>
        <t>https://www.sec.gov/Archives/edgar/data/1730168/000173016824000139/0001730168-24-000139-index.html
Unit: USD</t>
      </text>
    </comment>
    <comment ref="F361" authorId="0" shapeId="0">
      <text>
        <t>Derived or model input; see parent calculation formula and model assumptions.
Unit: ratio (decimal)</t>
      </text>
    </comment>
    <comment ref="F362" authorId="0" shapeId="0">
      <text>
        <t>https://www.sec.gov/Archives/edgar/data/1730168/000173016824000139/0001730168-24-000139-index.html
Unit: USD</t>
      </text>
    </comment>
    <comment ref="F363" authorId="0" shapeId="0">
      <text>
        <t>https://www.sec.gov/Archives/edgar/data/1730168/000173016824000139/0001730168-24-000139-index.html
Unit: USD</t>
      </text>
    </comment>
    <comment ref="F364" authorId="0" shapeId="0">
      <text>
        <t>https://www.sec.gov/Archives/edgar/data/1730168/000173016824000139/0001730168-24-000139-index.html
Unit: USD</t>
      </text>
    </comment>
    <comment ref="F365" authorId="0" shapeId="0">
      <text>
        <t>Derived or model input; see parent calculation formula and model assumptions.
Unit: USD</t>
      </text>
    </comment>
    <comment ref="F366" authorId="0" shapeId="0">
      <text>
        <t>https://www.sec.gov/Archives/edgar/data/1730168/000173016824000139/0001730168-24-000139-index.html
Unit: USD</t>
      </text>
    </comment>
    <comment ref="F367" authorId="0" shapeId="0">
      <text>
        <t>https://www.sec.gov/Archives/edgar/data/1730168/000173016824000139/0001730168-24-000139-index.html
Unit: USD</t>
      </text>
    </comment>
    <comment ref="F368" authorId="0" shapeId="0">
      <text>
        <t>https://www.sec.gov/Archives/edgar/data/1730168/000173016824000139/0001730168-24-000139-index.html
Unit: USD</t>
      </text>
    </comment>
    <comment ref="F369" authorId="0" shapeId="0">
      <text>
        <t>Derived or model input; see parent calculation formula and model assumptions.
Unit: USD</t>
      </text>
    </comment>
    <comment ref="F370" authorId="0" shapeId="0">
      <text>
        <t>https://www.sec.gov/Archives/edgar/data/1730168/000173016824000139/0001730168-24-000139-index.html
Unit: USD</t>
      </text>
    </comment>
    <comment ref="F371" authorId="0" shapeId="0">
      <text>
        <t>https://www.sec.gov/Archives/edgar/data/1730168/000173016824000139/0001730168-24-000139-index.html
Unit: USD</t>
      </text>
    </comment>
    <comment ref="F372" authorId="0" shapeId="0">
      <text>
        <t>https://www.sec.gov/Archives/edgar/data/1730168/000173016824000139/0001730168-24-000139-index.html
Unit: USD</t>
      </text>
    </comment>
    <comment ref="F373" authorId="0" shapeId="0">
      <text>
        <t>https://www.sec.gov/Archives/edgar/data/1730168/000173016824000139/0001730168-24-000139-index.html
Unit: USD</t>
      </text>
    </comment>
    <comment ref="F374" authorId="0" shapeId="0">
      <text>
        <t>Derived or model input; see parent calculation formula and model assumptions.
Unit: ratio (decimal)</t>
      </text>
    </comment>
    <comment ref="F375" authorId="0" shapeId="0">
      <text>
        <t>https://www.sec.gov/Archives/edgar/data/1730168/000173016825000121/0001730168-25-000121-index.html
Unit: USD</t>
      </text>
    </comment>
    <comment ref="F376" authorId="0" shapeId="0">
      <text>
        <t>Derived or model input; see parent calculation formula and model assumptions.
Unit: USD</t>
      </text>
    </comment>
    <comment ref="F377" authorId="0" shapeId="0">
      <text>
        <t>https://www.sec.gov/Archives/edgar/data/1730168/000173016823000096/0001730168-23-000096-index.html
Unit: USD</t>
      </text>
    </comment>
    <comment ref="F378" authorId="0" shapeId="0">
      <text>
        <t>https://www.sec.gov/Archives/edgar/data/1730168/000173016824000139/0001730168-24-000139-index.html
Unit: USD</t>
      </text>
    </comment>
    <comment ref="F379" authorId="0" shapeId="0">
      <text>
        <t>Derived or model input; see parent calculation formula and model assumptions.
Unit: ratio (decimal)</t>
      </text>
    </comment>
    <comment ref="F380" authorId="0" shapeId="0">
      <text>
        <t>Derived or model input; see parent calculation formula and model assumptions.
Unit: USD</t>
      </text>
    </comment>
    <comment ref="F381" authorId="0" shapeId="0">
      <text>
        <t>Derived or model input; see parent calculation formula and model assumptions.
Unit: USD</t>
      </text>
    </comment>
    <comment ref="F382" authorId="0" shapeId="0">
      <text>
        <t>https://www.sec.gov/Archives/edgar/data/1730168/000173016823000096/0001730168-23-000096-index.html
Unit: USD</t>
      </text>
    </comment>
    <comment ref="F383" authorId="0" shapeId="0">
      <text>
        <t>Derived or model input; see parent calculation formula and model assumptions.
Unit: USD</t>
      </text>
    </comment>
    <comment ref="F384" authorId="0" shapeId="0">
      <text>
        <t>https://www.sec.gov/Archives/edgar/data/1730168/000173016824000139/0001730168-24-000139-index.html
Unit: USD</t>
      </text>
    </comment>
    <comment ref="F385" authorId="0" shapeId="0">
      <text>
        <t>https://www.sec.gov/Archives/edgar/data/1730168/000173016824000139/0001730168-24-000139-index.html
Unit: USD</t>
      </text>
    </comment>
    <comment ref="F386" authorId="0" shapeId="0">
      <text>
        <t>https://www.sec.gov/Archives/edgar/data/1730168/000173016823000096/0001730168-23-000096-index.html
Unit: USD</t>
      </text>
    </comment>
    <comment ref="F387" authorId="0" shapeId="0">
      <text>
        <t>https://www.sec.gov/Archives/edgar/data/1730168/000173016823000096/0001730168-23-000096-index.html
Unit: USD</t>
      </text>
    </comment>
    <comment ref="F388" authorId="0" shapeId="0">
      <text>
        <t>https://www.sec.gov/Archives/edgar/data/1730168/000173016825000121/0001730168-25-000121-index.html
Unit: USD</t>
      </text>
    </comment>
    <comment ref="F389" authorId="0" shapeId="0">
      <text>
        <t>https://www.sec.gov/Archives/edgar/data/1730168/000173016823000096/0001730168-23-000096-index.html
Unit: USD</t>
      </text>
    </comment>
    <comment ref="F390" authorId="0" shapeId="0">
      <text>
        <t>https://www.sec.gov/Archives/edgar/data/1730168/000173016824000139/0001730168-24-000139-index.html
Unit: USD</t>
      </text>
    </comment>
    <comment ref="F391" authorId="0" shapeId="0">
      <text>
        <t>https://www.sec.gov/Archives/edgar/data/1730168/000173016823000096/0001730168-23-000096-index.html
Unit: USD</t>
      </text>
    </comment>
    <comment ref="F392" authorId="0" shapeId="0">
      <text>
        <t>https://www.sec.gov/Archives/edgar/data/1730168/000173016823000096/0001730168-23-000096-index.html
Unit: USD</t>
      </text>
    </comment>
    <comment ref="F393" authorId="0" shapeId="0">
      <text>
        <t>https://www.sec.gov/Archives/edgar/data/1730168/000173016823000096/0001730168-23-000096-index.html
Unit: USD</t>
      </text>
    </comment>
    <comment ref="F394" authorId="0" shapeId="0">
      <text>
        <t>https://www.sec.gov/Archives/edgar/data/1730168/000173016823000096/0001730168-23-000096-index.html
Unit: USD</t>
      </text>
    </comment>
    <comment ref="F395" authorId="0" shapeId="0">
      <text>
        <t>https://www.sec.gov/Archives/edgar/data/1730168/000173016824000139/0001730168-24-000139-index.html
Unit: shares</t>
      </text>
    </comment>
    <comment ref="F396" authorId="0" shapeId="0">
      <text>
        <t>https://www.sec.gov/Archives/edgar/data/1730168/000173016823000096/0001730168-23-000096-index.html
Unit: shares</t>
      </text>
    </comment>
    <comment ref="F397" authorId="0" shapeId="0">
      <text>
        <t>https://www.sec.gov/Archives/edgar/data/1730168/000173016824000139/0001730168-24-000139-index.html
Unit: USD</t>
      </text>
    </comment>
    <comment ref="F398" authorId="0" shapeId="0">
      <text>
        <t>https://www.sec.gov/Archives/edgar/data/1730168/000173016824000139/0001730168-24-000139-index.html
Unit: USD</t>
      </text>
    </comment>
    <comment ref="F399" authorId="0" shapeId="0">
      <text>
        <t>https://www.sec.gov/Archives/edgar/data/1730168/000173016824000139/0001730168-24-000139-index.html
Unit: USD per share</t>
      </text>
    </comment>
    <comment ref="F400" authorId="0" shapeId="0">
      <text>
        <t>https://www.sec.gov/Archives/edgar/data/1730168/000173016822000118/0001730168-22-000118-index.html
Unit: USD</t>
      </text>
    </comment>
    <comment ref="F401" authorId="0" shapeId="0">
      <text>
        <t>https://www.sec.gov/Archives/edgar/data/1730168/000173016822000118/0001730168-22-000118-index.html
Unit: USD</t>
      </text>
    </comment>
    <comment ref="F402" authorId="0" shapeId="0">
      <text>
        <t>https://www.sec.gov/Archives/edgar/data/1730168/000173016822000118/0001730168-22-000118-index.html
Unit: USD</t>
      </text>
    </comment>
    <comment ref="F403" authorId="0" shapeId="0">
      <text>
        <t>https://www.sec.gov/Archives/edgar/data/1730168/000173016825000121/0001730168-25-000121-index.html
Unit: USD</t>
      </text>
    </comment>
    <comment ref="F404" authorId="0" shapeId="0">
      <text>
        <t>https://www.sec.gov/Archives/edgar/data/1730168/000173016824000139/0001730168-24-000139-index.html
Unit: USD</t>
      </text>
    </comment>
    <comment ref="F405" authorId="0" shapeId="0">
      <text>
        <t>https://www.sec.gov/Archives/edgar/data/1730168/000173016825000121/0001730168-25-000121-index.html
Unit: USD</t>
      </text>
    </comment>
    <comment ref="F406" authorId="0" shapeId="0">
      <text>
        <t>https://www.sec.gov/Archives/edgar/data/1730168/000173016825000121/0001730168-25-000121-index.html
Unit: USD</t>
      </text>
    </comment>
    <comment ref="F407" authorId="0" shapeId="0">
      <text>
        <t>https://www.sec.gov/Archives/edgar/data/1730168/000173016825000121/0001730168-25-000121-index.html
Unit: USD</t>
      </text>
    </comment>
    <comment ref="F408" authorId="0" shapeId="0">
      <text>
        <t>https://www.sec.gov/Archives/edgar/data/1730168/000173016825000121/0001730168-25-000121-index.html
Unit: USD</t>
      </text>
    </comment>
    <comment ref="F409" authorId="0" shapeId="0">
      <text>
        <t>https://www.sec.gov/Archives/edgar/data/1730168/000173016824000139/0001730168-24-000139-index.html
Unit: USD</t>
      </text>
    </comment>
    <comment ref="F410" authorId="0" shapeId="0">
      <text>
        <t>https://www.sec.gov/Archives/edgar/data/1730168/000173016825000121/0001730168-25-000121-index.html
Unit: USD</t>
      </text>
    </comment>
    <comment ref="F411" authorId="0" shapeId="0">
      <text>
        <t>https://www.sec.gov/Archives/edgar/data/1730168/000173016825000121/0001730168-25-000121-index.html
Unit: USD</t>
      </text>
    </comment>
    <comment ref="F412" authorId="0" shapeId="0">
      <text>
        <t>https://www.sec.gov/Archives/edgar/data/1730168/000173016825000121/0001730168-25-000121-index.html
Unit: USD</t>
      </text>
    </comment>
    <comment ref="F413" authorId="0" shapeId="0">
      <text>
        <t>https://www.sec.gov/Archives/edgar/data/1730168/000173016825000121/0001730168-25-000121-index.html
Unit: USD</t>
      </text>
    </comment>
    <comment ref="F414" authorId="0" shapeId="0">
      <text>
        <t>https://www.sec.gov/Archives/edgar/data/1730168/000173016825000121/0001730168-25-000121-index.html
Unit: USD</t>
      </text>
    </comment>
    <comment ref="F415" authorId="0" shapeId="0">
      <text>
        <t>https://www.sec.gov/Archives/edgar/data/1730168/000173016825000121/0001730168-25-000121-index.html
Unit: USD</t>
      </text>
    </comment>
    <comment ref="F416" authorId="0" shapeId="0">
      <text>
        <t>https://www.sec.gov/Archives/edgar/data/1730168/000173016825000121/0001730168-25-000121-index.html
Unit: USD</t>
      </text>
    </comment>
    <comment ref="F417" authorId="0" shapeId="0">
      <text>
        <t>https://www.sec.gov/Archives/edgar/data/1730168/000173016825000121/0001730168-25-000121-index.html
Unit: USD</t>
      </text>
    </comment>
    <comment ref="F418" authorId="0" shapeId="0">
      <text>
        <t>https://www.sec.gov/Archives/edgar/data/1730168/000173016824000139/0001730168-24-000139-index.html
Unit: USD</t>
      </text>
    </comment>
    <comment ref="F419" authorId="0" shapeId="0">
      <text>
        <t>Derived or model input; see parent calculation formula and model assumptions.
Unit: ratio (decimal)</t>
      </text>
    </comment>
    <comment ref="F420" authorId="0" shapeId="0">
      <text>
        <t>https://www.sec.gov/Archives/edgar/data/1730168/000173016825000121/0001730168-25-000121-index.html
Unit: USD</t>
      </text>
    </comment>
    <comment ref="F421" authorId="0" shapeId="0">
      <text>
        <t>https://www.sec.gov/Archives/edgar/data/1730168/000173016824000139/0001730168-24-000139-index.html
Unit: USD</t>
      </text>
    </comment>
    <comment ref="F422" authorId="0" shapeId="0">
      <text>
        <t>https://www.sec.gov/Archives/edgar/data/1730168/000173016825000121/0001730168-25-000121-index.html
Unit: USD</t>
      </text>
    </comment>
    <comment ref="F423" authorId="0" shapeId="0">
      <text>
        <t>https://www.sec.gov/Archives/edgar/data/1730168/000173016825000121/0001730168-25-000121-index.html
Unit: USD</t>
      </text>
    </comment>
    <comment ref="F424" authorId="0" shapeId="0">
      <text>
        <t>Derived or model input; see parent calculation formula and model assumptions.
Unit: USD</t>
      </text>
    </comment>
    <comment ref="F425" authorId="0" shapeId="0">
      <text>
        <t>https://www.sec.gov/Archives/edgar/data/1730168/000173016825000121/0001730168-25-000121-index.html
Unit: USD</t>
      </text>
    </comment>
    <comment ref="F426" authorId="0" shapeId="0">
      <text>
        <t>https://www.sec.gov/Archives/edgar/data/1730168/000173016825000121/0001730168-25-000121-index.html
Unit: USD</t>
      </text>
    </comment>
    <comment ref="F427" authorId="0" shapeId="0">
      <text>
        <t>https://www.sec.gov/Archives/edgar/data/1730168/000173016824000139/0001730168-24-000139-index.html
Unit: USD</t>
      </text>
    </comment>
    <comment ref="F428" authorId="0" shapeId="0">
      <text>
        <t>https://www.sec.gov/Archives/edgar/data/1730168/000173016825000121/0001730168-25-000121-index.html
Unit: USD</t>
      </text>
    </comment>
    <comment ref="F429" authorId="0" shapeId="0">
      <text>
        <t>Derived or model input; see parent calculation formula and model assumptions.
Unit: USD</t>
      </text>
    </comment>
    <comment ref="F430" authorId="0" shapeId="0">
      <text>
        <t>https://www.sec.gov/Archives/edgar/data/1730168/000173016825000121/0001730168-25-000121-index.html
Unit: USD</t>
      </text>
    </comment>
    <comment ref="F431" authorId="0" shapeId="0">
      <text>
        <t>https://www.sec.gov/Archives/edgar/data/1730168/000173016824000139/0001730168-24-000139-index.html
Unit: USD</t>
      </text>
    </comment>
    <comment ref="F432" authorId="0" shapeId="0">
      <text>
        <t>https://www.sec.gov/Archives/edgar/data/1730168/000173016825000121/0001730168-25-000121-index.html
Unit: USD</t>
      </text>
    </comment>
    <comment ref="F433" authorId="0" shapeId="0">
      <text>
        <t>https://www.sec.gov/Archives/edgar/data/1730168/000173016825000121/0001730168-25-000121-index.html
Unit: USD</t>
      </text>
    </comment>
    <comment ref="F434" authorId="0" shapeId="0">
      <text>
        <t>https://www.sec.gov/Archives/edgar/data/1730168/000173016825000121/0001730168-25-000121-index.html
Unit: USD</t>
      </text>
    </comment>
    <comment ref="F435" authorId="0" shapeId="0">
      <text>
        <t>Derived or model input; see parent calculation formula and model assumptions.
Unit: ratio (decimal)</t>
      </text>
    </comment>
    <comment ref="F436" authorId="0" shapeId="0">
      <text>
        <t>https://www.sec.gov/Archives/edgar/data/1730168/000173016825000121/0001730168-25-000121-index.html
Unit: USD</t>
      </text>
    </comment>
    <comment ref="F437" authorId="0" shapeId="0">
      <text>
        <t>Derived or model input; see parent calculation formula and model assumptions.
Unit: USD</t>
      </text>
    </comment>
    <comment ref="F438" authorId="0" shapeId="0">
      <text>
        <t>https://www.sec.gov/Archives/edgar/data/1730168/000173016824000139/0001730168-24-000139-index.html
Unit: USD</t>
      </text>
    </comment>
    <comment ref="F439" authorId="0" shapeId="0">
      <text>
        <t>https://www.sec.gov/Archives/edgar/data/1730168/000173016825000121/0001730168-25-000121-index.html
Unit: USD</t>
      </text>
    </comment>
    <comment ref="F440" authorId="0" shapeId="0">
      <text>
        <t>Derived or model input; see parent calculation formula and model assumptions.
Unit: ratio (decimal)</t>
      </text>
    </comment>
    <comment ref="F441" authorId="0" shapeId="0">
      <text>
        <t>Derived or model input; see parent calculation formula and model assumptions.
Unit: USD</t>
      </text>
    </comment>
    <comment ref="F442" authorId="0" shapeId="0">
      <text>
        <t>Derived or model input; see parent calculation formula and model assumptions.
Unit: USD</t>
      </text>
    </comment>
    <comment ref="F443" authorId="0" shapeId="0">
      <text>
        <t>https://www.sec.gov/Archives/edgar/data/1730168/000173016824000139/0001730168-24-000139-index.html
Unit: USD</t>
      </text>
    </comment>
    <comment ref="F444" authorId="0" shapeId="0">
      <text>
        <t>Derived or model input; see parent calculation formula and model assumptions.
Unit: USD</t>
      </text>
    </comment>
    <comment ref="F445" authorId="0" shapeId="0">
      <text>
        <t>Derived: ebitda @ 2023-10-29; see Calculations and Calc inputs.
Unit: USD</t>
      </text>
    </comment>
    <comment ref="F446" authorId="0" shapeId="0">
      <text>
        <t>https://www.sec.gov/Archives/edgar/data/1730168/000173016825000121/0001730168-25-000121-index.html
Unit: USD</t>
      </text>
    </comment>
    <comment ref="F447" authorId="0" shapeId="0">
      <text>
        <t>https://www.sec.gov/Archives/edgar/data/1730168/000173016824000139/0001730168-24-000139-index.html
Unit: USD</t>
      </text>
    </comment>
    <comment ref="F448" authorId="0" shapeId="0">
      <text>
        <t>https://www.sec.gov/Archives/edgar/data/1730168/000173016824000139/0001730168-24-000139-index.html
Unit: USD</t>
      </text>
    </comment>
    <comment ref="F449" authorId="0" shapeId="0">
      <text>
        <t>https://www.sec.gov/Archives/edgar/data/1730168/000173016824000139/0001730168-24-000139-index.html
Unit: USD</t>
      </text>
    </comment>
    <comment ref="F450" authorId="0" shapeId="0">
      <text>
        <t>https://www.sec.gov/Archives/edgar/data/1730168/000173016825000121/0001730168-25-000121-index.html
Unit: USD</t>
      </text>
    </comment>
    <comment ref="F451" authorId="0" shapeId="0">
      <text>
        <t>https://www.sec.gov/Archives/edgar/data/1730168/000173016824000139/0001730168-24-000139-index.html
Unit: USD</t>
      </text>
    </comment>
    <comment ref="F452" authorId="0" shapeId="0">
      <text>
        <t>https://www.sec.gov/Archives/edgar/data/1730168/000173016825000121/0001730168-25-000121-index.html
Unit: USD</t>
      </text>
    </comment>
    <comment ref="F453" authorId="0" shapeId="0">
      <text>
        <t>https://www.sec.gov/Archives/edgar/data/1730168/000173016824000139/0001730168-24-000139-index.html
Unit: USD</t>
      </text>
    </comment>
    <comment ref="F454" authorId="0" shapeId="0">
      <text>
        <t>https://www.sec.gov/Archives/edgar/data/1730168/000173016824000139/0001730168-24-000139-index.html
Unit: USD</t>
      </text>
    </comment>
    <comment ref="F455" authorId="0" shapeId="0">
      <text>
        <t>https://www.sec.gov/Archives/edgar/data/1730168/000173016824000139/0001730168-24-000139-index.html
Unit: USD</t>
      </text>
    </comment>
    <comment ref="F456" authorId="0" shapeId="0">
      <text>
        <t>https://www.sec.gov/Archives/edgar/data/1730168/000173016824000139/0001730168-24-000139-index.html
Unit: USD</t>
      </text>
    </comment>
    <comment ref="F457" authorId="0" shapeId="0">
      <text>
        <t>https://www.sec.gov/Archives/edgar/data/1730168/000173016825000121/0001730168-25-000121-index.html
Unit: shares</t>
      </text>
    </comment>
    <comment ref="F458" authorId="0" shapeId="0">
      <text>
        <t>https://www.sec.gov/Archives/edgar/data/1730168/000173016824000139/0001730168-24-000139-index.html
Unit: shares</t>
      </text>
    </comment>
    <comment ref="F459" authorId="0" shapeId="0">
      <text>
        <t>https://www.sec.gov/Archives/edgar/data/1730168/000173016825000121/0001730168-25-000121-index.html
Unit: USD</t>
      </text>
    </comment>
    <comment ref="F460" authorId="0" shapeId="0">
      <text>
        <t>https://www.sec.gov/Archives/edgar/data/1730168/000173016825000121/0001730168-25-000121-index.html
Unit: USD</t>
      </text>
    </comment>
    <comment ref="F461" authorId="0" shapeId="0">
      <text>
        <t>https://www.sec.gov/Archives/edgar/data/1730168/000173016825000121/0001730168-25-000121-index.html
Unit: USD per share</t>
      </text>
    </comment>
    <comment ref="F462" authorId="0" shapeId="0">
      <text>
        <t>https://www.sec.gov/Archives/edgar/data/1730168/000173016823000096/0001730168-23-000096-index.html
Unit: USD</t>
      </text>
    </comment>
    <comment ref="F463" authorId="0" shapeId="0">
      <text>
        <t>https://www.sec.gov/Archives/edgar/data/1730168/000173016823000096/0001730168-23-000096-index.html
Unit: USD</t>
      </text>
    </comment>
    <comment ref="F464" authorId="0" shapeId="0">
      <text>
        <t>https://www.sec.gov/Archives/edgar/data/1730168/000173016823000096/0001730168-23-000096-index.html
Unit: USD</t>
      </text>
    </comment>
    <comment ref="F465" authorId="0" shapeId="0">
      <text>
        <t>https://www.sec.gov/Archives/edgar/data/1730168/000173016825000121/0001730168-25-000121-index.html
Transformed calculation input: differs from the raw filing value; see formula and flags.
Unit: USD</t>
      </text>
    </comment>
    <comment ref="F466" authorId="0" shapeId="0">
      <text>
        <t>https://www.sec.gov/Archives/edgar/data/1730168/000173016825000121/0001730168-25-000121-index.html
Unit: USD</t>
      </text>
    </comment>
    <comment ref="F467" authorId="0" shapeId="0">
      <text>
        <t>https://www.sec.gov/Archives/edgar/data/1730168/000173016825000121/0001730168-25-000121-index.html
Unit: USD</t>
      </text>
    </comment>
    <comment ref="F468" authorId="0" shapeId="0">
      <text>
        <t>https://www.sec.gov/Archives/edgar/data/1730168/000173016825000121/0001730168-25-000121-index.html
Unit: USD</t>
      </text>
    </comment>
    <comment ref="F469" authorId="0" shapeId="0">
      <text>
        <t>https://www.sec.gov/Archives/edgar/data/1730168/000173016825000121/0001730168-25-000121-index.html
Unit: USD</t>
      </text>
    </comment>
    <comment ref="F470" authorId="0" shapeId="0">
      <text>
        <t>https://www.sec.gov/Archives/edgar/data/1730168/000173016825000121/0001730168-25-000121-index.html
Unit: USD</t>
      </text>
    </comment>
    <comment ref="F471" authorId="0" shapeId="0">
      <text>
        <t>https://www.sec.gov/Archives/edgar/data/1730168/000173016824000139/0001730168-24-000139-index.html
Unit: USD</t>
      </text>
    </comment>
    <comment ref="F472" authorId="0" shapeId="0">
      <text>
        <t>https://www.sec.gov/Archives/edgar/data/1730168/000173016825000121/0001730168-25-000121-index.html
Unit: USD</t>
      </text>
    </comment>
    <comment ref="F473" authorId="0" shapeId="0">
      <text>
        <t>https://www.sec.gov/Archives/edgar/data/1730168/000173016825000121/0001730168-25-000121-index.html
Unit: USD</t>
      </text>
    </comment>
    <comment ref="F474" authorId="0" shapeId="0">
      <text>
        <t>https://www.sec.gov/Archives/edgar/data/1730168/000173016825000121/0001730168-25-000121-index.html
Unit: USD</t>
      </text>
    </comment>
    <comment ref="F475" authorId="0" shapeId="0">
      <text>
        <t>https://www.sec.gov/Archives/edgar/data/1730168/000173016825000121/0001730168-25-000121-index.html
Unit: USD</t>
      </text>
    </comment>
    <comment ref="F476" authorId="0" shapeId="0">
      <text>
        <t>https://www.sec.gov/Archives/edgar/data/1730168/000173016825000121/0001730168-25-000121-index.html
Unit: USD</t>
      </text>
    </comment>
    <comment ref="F477" authorId="0" shapeId="0">
      <text>
        <t>https://www.sec.gov/Archives/edgar/data/1730168/000173016825000121/0001730168-25-000121-index.html
Unit: USD</t>
      </text>
    </comment>
    <comment ref="F478" authorId="0" shapeId="0">
      <text>
        <t>https://www.sec.gov/Archives/edgar/data/1730168/000173016825000121/0001730168-25-000121-index.html
Unit: USD</t>
      </text>
    </comment>
    <comment ref="F479" authorId="0" shapeId="0">
      <text>
        <t>https://www.sec.gov/Archives/edgar/data/1730168/000173016825000121/0001730168-25-000121-index.html
Unit: USD</t>
      </text>
    </comment>
    <comment ref="F480" authorId="0" shapeId="0">
      <text>
        <t>https://www.sec.gov/Archives/edgar/data/1730168/000173016824000139/0001730168-24-000139-index.html
Unit: USD</t>
      </text>
    </comment>
    <comment ref="F481" authorId="0" shapeId="0">
      <text>
        <t>Derived or model input; see parent calculation formula and model assumptions.
Unit: ratio (decimal)</t>
      </text>
    </comment>
    <comment ref="F482" authorId="0" shapeId="0">
      <text>
        <t>https://www.sec.gov/Archives/edgar/data/1730168/000173016825000121/0001730168-25-000121-index.html
Unit: USD</t>
      </text>
    </comment>
    <comment ref="F483" authorId="0" shapeId="0">
      <text>
        <t>https://www.sec.gov/Archives/edgar/data/1730168/000173016824000139/0001730168-24-000139-index.html
Unit: USD</t>
      </text>
    </comment>
    <comment ref="F484" authorId="0" shapeId="0">
      <text>
        <t>https://www.sec.gov/Archives/edgar/data/1730168/000173016825000121/0001730168-25-000121-index.html
Unit: USD</t>
      </text>
    </comment>
    <comment ref="F485" authorId="0" shapeId="0">
      <text>
        <t>https://www.sec.gov/Archives/edgar/data/1730168/000173016825000121/0001730168-25-000121-index.html
Unit: USD</t>
      </text>
    </comment>
    <comment ref="F486" authorId="0" shapeId="0">
      <text>
        <t>Derived or model input; see parent calculation formula and model assumptions.
Unit: USD</t>
      </text>
    </comment>
    <comment ref="F487" authorId="0" shapeId="0">
      <text>
        <t>https://www.sec.gov/Archives/edgar/data/1730168/000173016825000121/0001730168-25-000121-index.html
Unit: USD</t>
      </text>
    </comment>
    <comment ref="F488" authorId="0" shapeId="0">
      <text>
        <t>https://www.sec.gov/Archives/edgar/data/1730168/000173016825000121/0001730168-25-000121-index.html
Unit: USD</t>
      </text>
    </comment>
    <comment ref="F489" authorId="0" shapeId="0">
      <text>
        <t>https://www.sec.gov/Archives/edgar/data/1730168/000173016824000139/0001730168-24-000139-index.html
Unit: USD</t>
      </text>
    </comment>
    <comment ref="F490" authorId="0" shapeId="0">
      <text>
        <t>https://www.sec.gov/Archives/edgar/data/1730168/000173016825000121/0001730168-25-000121-index.html
Unit: USD</t>
      </text>
    </comment>
    <comment ref="F491" authorId="0" shapeId="0">
      <text>
        <t>Derived or model input; see parent calculation formula and model assumptions.
Unit: USD</t>
      </text>
    </comment>
    <comment ref="F492" authorId="0" shapeId="0">
      <text>
        <t>https://www.sec.gov/Archives/edgar/data/1730168/000173016825000121/0001730168-25-000121-index.html
Unit: USD</t>
      </text>
    </comment>
    <comment ref="F493" authorId="0" shapeId="0">
      <text>
        <t>https://www.sec.gov/Archives/edgar/data/1730168/000173016824000139/0001730168-24-000139-index.html
Unit: USD</t>
      </text>
    </comment>
    <comment ref="F494" authorId="0" shapeId="0">
      <text>
        <t>https://www.sec.gov/Archives/edgar/data/1730168/000173016825000121/0001730168-25-000121-index.html
Unit: USD</t>
      </text>
    </comment>
    <comment ref="F495" authorId="0" shapeId="0">
      <text>
        <t>https://www.sec.gov/Archives/edgar/data/1730168/000173016825000121/0001730168-25-000121-index.html
Unit: USD</t>
      </text>
    </comment>
    <comment ref="F496" authorId="0" shapeId="0">
      <text>
        <t>https://www.sec.gov/Archives/edgar/data/1730168/000173016825000121/0001730168-25-000121-index.html
Unit: USD</t>
      </text>
    </comment>
    <comment ref="F497" authorId="0" shapeId="0">
      <text>
        <t>Derived or model input; see parent calculation formula and model assumptions.
Unit: ratio (decimal)</t>
      </text>
    </comment>
    <comment ref="F498" authorId="0" shapeId="0">
      <text>
        <t>https://www.sec.gov/Archives/edgar/data/1730168/000173016825000121/0001730168-25-000121-index.html
Unit: USD</t>
      </text>
    </comment>
    <comment ref="F499" authorId="0" shapeId="0">
      <text>
        <t>Derived or model input; see parent calculation formula and model assumptions.
Unit: USD</t>
      </text>
    </comment>
    <comment ref="F500" authorId="0" shapeId="0">
      <text>
        <t>https://www.sec.gov/Archives/edgar/data/1730168/000173016825000121/0001730168-25-000121-index.html
Unit: USD</t>
      </text>
    </comment>
    <comment ref="F501" authorId="0" shapeId="0">
      <text>
        <t>https://www.sec.gov/Archives/edgar/data/1730168/000173016825000121/0001730168-25-000121-index.html
Unit: USD</t>
      </text>
    </comment>
    <comment ref="F502" authorId="0" shapeId="0">
      <text>
        <t>Derived or model input; see parent calculation formula and model assumptions.
Unit: ratio (decimal)</t>
      </text>
    </comment>
    <comment ref="F503" authorId="0" shapeId="0">
      <text>
        <t>Derived or model input; see parent calculation formula and model assumptions.
Unit: USD</t>
      </text>
    </comment>
    <comment ref="F504" authorId="0" shapeId="0">
      <text>
        <t>Derived or model input; see parent calculation formula and model assumptions.
Unit: USD</t>
      </text>
    </comment>
    <comment ref="F505" authorId="0" shapeId="0">
      <text>
        <t>https://www.sec.gov/Archives/edgar/data/1730168/000173016825000121/0001730168-25-000121-index.html
Unit: USD</t>
      </text>
    </comment>
    <comment ref="F506" authorId="0" shapeId="0">
      <text>
        <t>Derived or model input; see parent calculation formula and model assumptions.
Unit: USD</t>
      </text>
    </comment>
    <comment ref="F507" authorId="0" shapeId="0">
      <text>
        <t>Derived: ebitda @ 2024-11-03; see Calculations and Calc inputs.
Unit: USD</t>
      </text>
    </comment>
    <comment ref="F508" authorId="0" shapeId="0">
      <text>
        <t>https://www.sec.gov/Archives/edgar/data/1730168/000173016825000121/0001730168-25-000121-index.html
Unit: USD</t>
      </text>
    </comment>
    <comment ref="F509" authorId="0" shapeId="0">
      <text>
        <t>https://www.sec.gov/Archives/edgar/data/1730168/000173016824000139/0001730168-24-000139-index.html
Unit: USD</t>
      </text>
    </comment>
    <comment ref="F510" authorId="0" shapeId="0">
      <text>
        <t>https://www.sec.gov/Archives/edgar/data/1730168/000173016825000121/0001730168-25-000121-index.html
Unit: USD</t>
      </text>
    </comment>
    <comment ref="F511" authorId="0" shapeId="0">
      <text>
        <t>https://www.sec.gov/Archives/edgar/data/1730168/000173016825000121/0001730168-25-000121-index.html
Unit: USD</t>
      </text>
    </comment>
    <comment ref="F512" authorId="0" shapeId="0">
      <text>
        <t>https://www.sec.gov/Archives/edgar/data/1730168/000173016825000121/0001730168-25-000121-index.html
Unit: USD</t>
      </text>
    </comment>
    <comment ref="F513" authorId="0" shapeId="0">
      <text>
        <t>https://www.sec.gov/Archives/edgar/data/1730168/000173016825000121/0001730168-25-000121-index.html
Unit: USD</t>
      </text>
    </comment>
    <comment ref="F514" authorId="0" shapeId="0">
      <text>
        <t>https://www.sec.gov/Archives/edgar/data/1730168/000173016825000121/0001730168-25-000121-index.html
Unit: USD</t>
      </text>
    </comment>
    <comment ref="F515" authorId="0" shapeId="0">
      <text>
        <t>https://www.sec.gov/Archives/edgar/data/1730168/000173016825000121/0001730168-25-000121-index.html
Unit: USD</t>
      </text>
    </comment>
    <comment ref="F516" authorId="0" shapeId="0">
      <text>
        <t>https://www.sec.gov/Archives/edgar/data/1730168/000173016825000121/0001730168-25-000121-index.html
Unit: USD</t>
      </text>
    </comment>
    <comment ref="F517" authorId="0" shapeId="0">
      <text>
        <t>https://www.sec.gov/Archives/edgar/data/1730168/000173016825000121/0001730168-25-000121-index.html
Unit: USD</t>
      </text>
    </comment>
    <comment ref="F518" authorId="0" shapeId="0">
      <text>
        <t>https://www.sec.gov/Archives/edgar/data/1730168/000173016825000121/0001730168-25-000121-index.html
Unit: USD</t>
      </text>
    </comment>
    <comment ref="F519" authorId="0" shapeId="0">
      <text>
        <t>https://www.sec.gov/Archives/edgar/data/1730168/000173016825000121/0001730168-25-000121-index.html
Unit: shares</t>
      </text>
    </comment>
    <comment ref="F520" authorId="0" shapeId="0">
      <text>
        <t>https://www.sec.gov/Archives/edgar/data/1730168/000173016825000121/0001730168-25-000121-index.html
Unit: shares</t>
      </text>
    </comment>
    <comment ref="F521" authorId="0" shapeId="0">
      <text>
        <t>https://www.sec.gov/Archives/edgar/data/1730168/000173016825000121/0001730168-25-000121-index.html
Unit: USD</t>
      </text>
    </comment>
    <comment ref="F522" authorId="0" shapeId="0">
      <text>
        <t>https://www.sec.gov/Archives/edgar/data/1730168/000173016825000121/0001730168-25-000121-index.html
Unit: USD</t>
      </text>
    </comment>
    <comment ref="F523" authorId="0" shapeId="0">
      <text>
        <t>https://www.sec.gov/Archives/edgar/data/1730168/000173016825000121/0001730168-25-000121-index.html
Unit: USD per share</t>
      </text>
    </comment>
    <comment ref="F524" authorId="0" shapeId="0">
      <text>
        <t>https://www.sec.gov/Archives/edgar/data/1730168/000173016824000139/0001730168-24-000139-index.html
Unit: USD</t>
      </text>
    </comment>
    <comment ref="F525" authorId="0" shapeId="0">
      <text>
        <t>https://www.sec.gov/Archives/edgar/data/1730168/000173016824000139/0001730168-24-000139-index.html
Unit: USD</t>
      </text>
    </comment>
    <comment ref="F526" authorId="0" shapeId="0">
      <text>
        <t>https://www.sec.gov/Archives/edgar/data/1730168/000173016824000139/0001730168-24-000139-index.html
Unit: USD</t>
      </text>
    </comment>
    <comment ref="F527" authorId="0" shapeId="0">
      <text>
        <t>https://www.sec.gov/Archives/edgar/data/1730168/000173016825000121/0001730168-25-000121-index.html
Unit: USD</t>
      </text>
    </comment>
    <comment ref="F528" authorId="0" shapeId="0">
      <text>
        <t>https://www.sec.gov/Archives/edgar/data/1730168/000173016825000121/0001730168-25-000121-index.html
Transformed calculation input: differs from the raw filing value; see formula and flags.
Unit: USD</t>
      </text>
    </comment>
    <comment ref="F529" authorId="0" shapeId="0">
      <text>
        <t>https://www.sec.gov/Archives/edgar/data/1730168/000173016825000121/0001730168-25-000121-index.html
Unit: USD</t>
      </text>
    </comment>
    <comment ref="F530" authorId="0" shapeId="0">
      <text>
        <t>https://www.sec.gov/Archives/edgar/data/1730168/000173016825000121/0001730168-25-000121-index.html
Unit: USD</t>
      </text>
    </comment>
    <comment ref="F531" authorId="0" shapeId="0">
      <text>
        <t>https://www.sec.gov/Archives/edgar/data/1730168/000173016825000121/0001730168-25-000121-index.html
Unit: USD</t>
      </text>
    </comment>
    <comment ref="F532" authorId="0" shapeId="0">
      <text>
        <t>https://www.sec.gov/Archives/edgar/data/1730168/000173016825000121/0001730168-25-000121-index.html
Unit: USD</t>
      </text>
    </comment>
    <comment ref="F533" authorId="0" shapeId="0">
      <text>
        <t>https://www.sec.gov/Archives/edgar/data/1730168/000173016825000121/0001730168-25-000121-index.html
Unit: USD</t>
      </text>
    </comment>
    <comment ref="F534" authorId="0" shapeId="0">
      <text>
        <t>https://www.sec.gov/Archives/edgar/data/1730168/000173016825000121/0001730168-25-000121-index.html
Unit: USD</t>
      </text>
    </comment>
    <comment ref="F535" authorId="0" shapeId="0">
      <text>
        <t>https://www.sec.gov/Archives/edgar/data/1730168/000173016825000121/0001730168-25-000121-index.html
Unit: USD</t>
      </text>
    </comment>
    <comment ref="F536" authorId="0" shapeId="0">
      <text>
        <t>https://www.sec.gov/Archives/edgar/data/1730168/000173016825000121/0001730168-25-000121-index.html
Unit: USD</t>
      </text>
    </comment>
    <comment ref="F537" authorId="0" shapeId="0">
      <text>
        <t>https://www.sec.gov/Archives/edgar/data/1730168/000173016825000121/0001730168-25-000121-index.html
Unit: USD</t>
      </text>
    </comment>
    <comment ref="F538" authorId="0" shapeId="0">
      <text>
        <t>https://www.sec.gov/Archives/edgar/data/1730168/000173016825000121/0001730168-25-000121-index.html
Unit: USD</t>
      </text>
    </comment>
    <comment ref="F539" authorId="0" shapeId="0">
      <text>
        <t>https://www.sec.gov/Archives/edgar/data/1730168/000173016825000121/0001730168-25-000121-index.html
Unit: USD</t>
      </text>
    </comment>
    <comment ref="F540" authorId="0" shapeId="0">
      <text>
        <t>https://www.sec.gov/Archives/edgar/data/1730168/000173016825000121/0001730168-25-000121-index.html
Unit: USD</t>
      </text>
    </comment>
    <comment ref="F541" authorId="0" shapeId="0">
      <text>
        <t>https://www.sec.gov/Archives/edgar/data/1730168/000173016825000121/0001730168-25-000121-index.html
Unit: USD</t>
      </text>
    </comment>
    <comment ref="F542" authorId="0" shapeId="0">
      <text>
        <t>https://www.sec.gov/Archives/edgar/data/1730168/000173016825000121/0001730168-25-000121-index.html
Unit: USD</t>
      </text>
    </comment>
    <comment ref="F543" authorId="0" shapeId="0">
      <text>
        <t>Derived or model input; see parent calculation formula and model assumptions.
Unit: ratio (decimal)</t>
      </text>
    </comment>
    <comment ref="F544" authorId="0" shapeId="0">
      <text>
        <t>https://www.sec.gov/Archives/edgar/data/1730168/000173016825000121/0001730168-25-000121-index.html
Unit: USD</t>
      </text>
    </comment>
    <comment ref="F545" authorId="0" shapeId="0">
      <text>
        <t>https://www.sec.gov/Archives/edgar/data/1730168/000173016825000121/0001730168-25-000121-index.html
Unit: USD</t>
      </text>
    </comment>
    <comment ref="F546" authorId="0" shapeId="0">
      <text>
        <t>https://www.sec.gov/Archives/edgar/data/1730168/000173016825000121/0001730168-25-000121-index.html
Unit: USD</t>
      </text>
    </comment>
    <comment ref="F547" authorId="0" shapeId="0">
      <text>
        <t>https://www.sec.gov/Archives/edgar/data/1730168/000173016825000121/0001730168-25-000121-index.html
Unit: USD</t>
      </text>
    </comment>
    <comment ref="F548" authorId="0" shapeId="0">
      <text>
        <t>Derived or model input; see parent calculation formula and model assumptions.
Unit: USD</t>
      </text>
    </comment>
    <comment ref="F549" authorId="0" shapeId="0">
      <text>
        <t>https://www.sec.gov/Archives/edgar/data/1730168/000173016825000121/0001730168-25-000121-index.html
Unit: USD</t>
      </text>
    </comment>
    <comment ref="F550" authorId="0" shapeId="0">
      <text>
        <t>https://www.sec.gov/Archives/edgar/data/1730168/000173016825000121/0001730168-25-000121-index.html
Unit: USD</t>
      </text>
    </comment>
    <comment ref="F551" authorId="0" shapeId="0">
      <text>
        <t>https://www.sec.gov/Archives/edgar/data/1730168/000173016825000121/0001730168-25-000121-index.html
Unit: USD</t>
      </text>
    </comment>
    <comment ref="F552" authorId="0" shapeId="0">
      <text>
        <t>https://www.sec.gov/Archives/edgar/data/1730168/000173016825000121/0001730168-25-000121-index.html
Unit: USD</t>
      </text>
    </comment>
    <comment ref="F553" authorId="0" shapeId="0">
      <text>
        <t>Derived or model input; see parent calculation formula and model assumptions.
Unit: USD</t>
      </text>
    </comment>
    <comment ref="F554" authorId="0" shapeId="0">
      <text>
        <t>https://www.sec.gov/Archives/edgar/data/1730168/000173016825000121/0001730168-25-000121-index.html
Unit: USD</t>
      </text>
    </comment>
    <comment ref="F555" authorId="0" shapeId="0">
      <text>
        <t>https://www.sec.gov/Archives/edgar/data/1730168/000173016825000121/0001730168-25-000121-index.html
Unit: USD</t>
      </text>
    </comment>
    <comment ref="F556" authorId="0" shapeId="0">
      <text>
        <t>https://www.sec.gov/Archives/edgar/data/1730168/000173016825000121/0001730168-25-000121-index.html
Unit: USD</t>
      </text>
    </comment>
    <comment ref="F557" authorId="0" shapeId="0">
      <text>
        <t>https://www.sec.gov/Archives/edgar/data/1730168/000173016825000121/0001730168-25-000121-index.html
Unit: USD</t>
      </text>
    </comment>
    <comment ref="F558" authorId="0" shapeId="0">
      <text>
        <t>https://www.sec.gov/Archives/edgar/data/1730168/000173016825000121/0001730168-25-000121-index.html
Unit: USD</t>
      </text>
    </comment>
    <comment ref="F559" authorId="0" shapeId="0">
      <text>
        <t>Derived or model input; see parent calculation formula and model assumptions.
Unit: ratio (decimal)</t>
      </text>
    </comment>
    <comment ref="F560" authorId="0" shapeId="0">
      <text>
        <t>https://www.sec.gov/Archives/edgar/data/1730168/000173016825000121/0001730168-25-000121-index.html
Unit: USD</t>
      </text>
    </comment>
    <comment ref="F561" authorId="0" shapeId="0">
      <text>
        <t>Derived or model input; see parent calculation formula and model assumptions.
Unit: USD</t>
      </text>
    </comment>
    <comment ref="F562" authorId="0" shapeId="0">
      <text>
        <t>https://www.sec.gov/Archives/edgar/data/1730168/000173016825000121/0001730168-25-000121-index.html
Unit: USD</t>
      </text>
    </comment>
    <comment ref="F563" authorId="0" shapeId="0">
      <text>
        <t>https://www.sec.gov/Archives/edgar/data/1730168/000173016825000121/0001730168-25-000121-index.html
Unit: USD</t>
      </text>
    </comment>
    <comment ref="F564" authorId="0" shapeId="0">
      <text>
        <t>Derived or model input; see parent calculation formula and model assumptions.
Unit: ratio (decimal)</t>
      </text>
    </comment>
    <comment ref="F565" authorId="0" shapeId="0">
      <text>
        <t>Derived or model input; see parent calculation formula and model assumptions.
Unit: USD</t>
      </text>
    </comment>
    <comment ref="F566" authorId="0" shapeId="0">
      <text>
        <t>Derived or model input; see parent calculation formula and model assumptions.
Unit: USD</t>
      </text>
    </comment>
    <comment ref="F567" authorId="0" shapeId="0">
      <text>
        <t>https://www.sec.gov/Archives/edgar/data/1730168/000173016825000121/0001730168-25-000121-index.html
Unit: USD</t>
      </text>
    </comment>
    <comment ref="F568" authorId="0" shapeId="0">
      <text>
        <t>Derived or model input; see parent calculation formula and model assumptions.
Unit: USD</t>
      </text>
    </comment>
    <comment ref="F569" authorId="0" shapeId="0">
      <text>
        <t>Derived: ebitda @ 2025-11-02; see Calculations and Calc inputs.
Unit: USD</t>
      </text>
    </comment>
    <comment ref="F570" authorId="0" shapeId="0">
      <text>
        <t>https://www.sec.gov/Archives/edgar/data/1730168/000173016825000121/0001730168-25-000121-index.html
Unit: USD</t>
      </text>
    </comment>
    <comment ref="F571" authorId="0" shapeId="0">
      <text>
        <t>https://www.sec.gov/Archives/edgar/data/1730168/000173016825000121/0001730168-25-000121-index.html
Unit: USD</t>
      </text>
    </comment>
    <comment ref="F572" authorId="0" shapeId="0">
      <text>
        <t>https://www.sec.gov/Archives/edgar/data/1730168/000173016825000121/0001730168-25-000121-index.html
Unit: USD</t>
      </text>
    </comment>
    <comment ref="F573" authorId="0" shapeId="0">
      <text>
        <t>https://www.sec.gov/Archives/edgar/data/1730168/000173016825000121/0001730168-25-000121-index.html
Unit: USD</t>
      </text>
    </comment>
    <comment ref="F574" authorId="0" shapeId="0">
      <text>
        <t>https://www.sec.gov/Archives/edgar/data/1730168/000173016825000121/0001730168-25-000121-index.html
Unit: USD</t>
      </text>
    </comment>
    <comment ref="F575" authorId="0" shapeId="0">
      <text>
        <t>https://www.sec.gov/Archives/edgar/data/1730168/000173016825000121/0001730168-25-000121-index.html
Unit: USD</t>
      </text>
    </comment>
    <comment ref="F576" authorId="0" shapeId="0">
      <text>
        <t>https://www.sec.gov/Archives/edgar/data/1730168/000173016825000121/0001730168-25-000121-index.html
Unit: USD</t>
      </text>
    </comment>
    <comment ref="F577" authorId="0" shapeId="0">
      <text>
        <t>https://www.sec.gov/Archives/edgar/data/1730168/000173016825000121/0001730168-25-000121-index.html
Unit: USD</t>
      </text>
    </comment>
    <comment ref="F578" authorId="0" shapeId="0">
      <text>
        <t>https://www.sec.gov/Archives/edgar/data/1730168/000173016825000121/0001730168-25-000121-index.html
Unit: USD</t>
      </text>
    </comment>
    <comment ref="F579" authorId="0" shapeId="0">
      <text>
        <t>https://www.sec.gov/Archives/edgar/data/1730168/000173016825000121/0001730168-25-000121-index.html
Unit: USD</t>
      </text>
    </comment>
    <comment ref="F580" authorId="0" shapeId="0">
      <text>
        <t>https://www.sec.gov/Archives/edgar/data/1730168/000173016825000121/0001730168-25-000121-index.html
Unit: USD</t>
      </text>
    </comment>
    <comment ref="F581" authorId="0" shapeId="0">
      <text>
        <t>https://www.sec.gov/Archives/edgar/data/1730168/000173016825000121/0001730168-25-000121-index.html
Unit: shares</t>
      </text>
    </comment>
    <comment ref="F582" authorId="0" shapeId="0">
      <text>
        <t>https://www.sec.gov/Archives/edgar/data/1730168/000173016825000121/0001730168-25-000121-index.html
Unit: shares</t>
      </text>
    </comment>
    <comment ref="F583" authorId="0" shapeId="0">
      <text>
        <t>https://www.sec.gov/Archives/edgar/data/1730168/000173016825000121/0001730168-25-000121-index.html
Unit: USD</t>
      </text>
    </comment>
    <comment ref="F584" authorId="0" shapeId="0">
      <text>
        <t>https://www.sec.gov/Archives/edgar/data/1730168/000173016825000121/0001730168-25-000121-index.html
Unit: USD</t>
      </text>
    </comment>
    <comment ref="F585" authorId="0" shapeId="0">
      <text>
        <t>https://www.sec.gov/Archives/edgar/data/1730168/000173016825000121/0001730168-25-000121-index.html
Unit: USD per share</t>
      </text>
    </comment>
    <comment ref="F586" authorId="0" shapeId="0">
      <text>
        <t>https://www.sec.gov/Archives/edgar/data/1730168/000173016825000121/0001730168-25-000121-index.html
Unit: USD</t>
      </text>
    </comment>
    <comment ref="F587" authorId="0" shapeId="0">
      <text>
        <t>https://www.sec.gov/Archives/edgar/data/1730168/000173016825000121/0001730168-25-000121-index.html
Unit: USD</t>
      </text>
    </comment>
    <comment ref="F588" authorId="0" shapeId="0">
      <text>
        <t>https://www.sec.gov/Archives/edgar/data/1730168/000173016825000121/0001730168-25-000121-index.html
Unit: USD</t>
      </text>
    </comment>
    <comment ref="F589" authorId="0" shapeId="0">
      <text>
        <t>https://www.sec.gov/Archives/edgar/data/1730168/000173016825000121/0001730168-25-000121-index.html
Unit: USD</t>
      </text>
    </comment>
    <comment ref="F590" authorId="0" shapeId="0">
      <text>
        <t>https://www.sec.gov/Archives/edgar/data/1730168/000173016822000118/0001730168-22-000118-index.html
Unit: USD</t>
      </text>
    </comment>
    <comment ref="F591" authorId="0" shapeId="0">
      <text>
        <t>https://www.sec.gov/Archives/edgar/data/1730168/000173016825000121/0001730168-25-000121-index.html
Unit: USD</t>
      </text>
    </comment>
    <comment ref="F592" authorId="0" shapeId="0">
      <text>
        <t>https://www.sec.gov/Archives/edgar/data/1730168/000173016818000084/0001730168-18-000084-index.html
Unit: USD</t>
      </text>
    </comment>
    <comment ref="F593" authorId="0" shapeId="0">
      <text>
        <t>https://www.sec.gov/Archives/edgar/data/1730168/000173016825000121/0001730168-25-000121-index.html
Unit: shares</t>
      </text>
    </comment>
    <comment ref="F594" authorId="0" shapeId="0">
      <text>
        <t>https://www.sec.gov/Archives/edgar/data/1730168/000173016818000084/0001730168-18-000084-index.html
Unit: shares</t>
      </text>
    </comment>
    <comment ref="F595" authorId="0" shapeId="0">
      <text>
        <t>Derived: nopat @ 2025-11-02; see Calculations and Calc inputs.
Unit: USD</t>
      </text>
    </comment>
    <comment ref="F596" authorId="0" shapeId="0">
      <text>
        <t>Derived: nopat @ 2020-11-01; see Calculations and Calc inputs.
Unit: USD</t>
      </text>
    </comment>
    <comment ref="F597" authorId="0" shapeId="0">
      <text>
        <t>Derived: invested-capital @ 2025-11-02; see Calculations and Calc inputs.
Unit: USD</t>
      </text>
    </comment>
    <comment ref="F598" authorId="0" shapeId="0">
      <text>
        <t>Derived: invested-capital @ 2020-11-01; see Calculations and Calc inputs.
Unit: USD</t>
      </text>
    </comment>
    <comment ref="F599" authorId="0" shapeId="0">
      <text>
        <t>Derived: roic @ 2017-10-29; see Calculations and Calc inputs.
Unit: ratio (decimal)</t>
      </text>
    </comment>
    <comment ref="F600" authorId="0" shapeId="0">
      <text>
        <t>Derived: roic @ 2018-11-04; see Calculations and Calc inputs.
Unit: ratio (decimal)</t>
      </text>
    </comment>
    <comment ref="F601" authorId="0" shapeId="0">
      <text>
        <t>Derived: roic @ 2019-11-03; see Calculations and Calc inputs.
Unit: ratio (decimal)</t>
      </text>
    </comment>
    <comment ref="F602" authorId="0" shapeId="0">
      <text>
        <t>Derived: roic @ 2020-11-01; see Calculations and Calc inputs.
Unit: ratio (decimal)</t>
      </text>
    </comment>
    <comment ref="F603" authorId="0" shapeId="0">
      <text>
        <t>Derived: roic @ 2021-10-31; see Calculations and Calc inputs.
Unit: ratio (decimal)</t>
      </text>
    </comment>
    <comment ref="F604" authorId="0" shapeId="0">
      <text>
        <t>Derived: roic @ 2022-10-30; see Calculations and Calc inputs.
Unit: ratio (decimal)</t>
      </text>
    </comment>
    <comment ref="F605" authorId="0" shapeId="0">
      <text>
        <t>Derived: roic @ 2023-10-29; see Calculations and Calc inputs.
Unit: ratio (decimal)</t>
      </text>
    </comment>
    <comment ref="F606" authorId="0" shapeId="0">
      <text>
        <t>Derived: roic @ 2024-11-03; see Calculations and Calc inputs.
Unit: ratio (decimal)</t>
      </text>
    </comment>
    <comment ref="F607" authorId="0" shapeId="0">
      <text>
        <t>Derived: roic @ 2025-11-02; see Calculations and Calc inputs.
Unit: ratio (decimal)</t>
      </text>
    </comment>
    <comment ref="F608" authorId="0" shapeId="0">
      <text>
        <t>https://www.sec.gov/Archives/edgar/data/1730168/000173016823000096/0001730168-23-000096-index.html
Unit: USD</t>
      </text>
    </comment>
    <comment ref="F609" authorId="0" shapeId="0">
      <text>
        <t>https://www.sec.gov/Archives/edgar/data/1730168/000173016824000139/0001730168-24-000139-index.html
Unit: USD</t>
      </text>
    </comment>
    <comment ref="F610" authorId="0" shapeId="0">
      <text>
        <t>https://www.sec.gov/Archives/edgar/data/1730168/000173016824000139/0001730168-24-000139-index.html
Unit: USD</t>
      </text>
    </comment>
    <comment ref="F611" authorId="0" shapeId="0">
      <text>
        <t>https://www.sec.gov/Archives/edgar/data/1730168/000173016824000139/0001730168-24-000139-index.html
Unit: USD</t>
      </text>
    </comment>
    <comment ref="F612" authorId="0" shapeId="0">
      <text>
        <t>https://www.sec.gov/Archives/edgar/data/1730168/000173016825000121/0001730168-25-000121-index.html
Unit: USD</t>
      </text>
    </comment>
    <comment ref="F613" authorId="0" shapeId="0">
      <text>
        <t>User-supplied price, 2026-10-09
Unit: USD/share</t>
      </text>
    </comment>
    <comment ref="F614" authorId="0" shapeId="0">
      <text>
        <t>https://www.sec.gov/Archives/edgar/data/1730168/000173016826000080/0001730168-26-000080-index.html
Unit: shares</t>
      </text>
    </comment>
    <comment ref="F615" authorId="0" shapeId="0">
      <text>
        <t>Derived or model input; see parent calculation formula and model assumptions.
Unit: USD</t>
      </text>
    </comment>
    <comment ref="F616" authorId="0" shapeId="0">
      <text>
        <t>Derived or model input; see parent calculation formula and model assumptions.
Unit: USD</t>
      </text>
    </comment>
    <comment ref="F617" authorId="0" shapeId="0">
      <text>
        <t>https://www.sec.gov/Archives/edgar/data/1730168/000173016826000080/0001730168-26-000080-index.html
Unit: USD</t>
      </text>
    </comment>
    <comment ref="F618" authorId="0" shapeId="0">
      <text>
        <t xml:space="preserve">
Transformed calculation input: differs from the raw filing value; see formula and flags.
Unit: USD</t>
      </text>
    </comment>
    <comment ref="F619" authorId="0" shapeId="0">
      <text>
        <t>https://www.sec.gov/Archives/edgar/data/1730168/000173016826000080/0001730168-26-000080-index.html
Unit: USD</t>
      </text>
    </comment>
    <comment ref="F620" authorId="0" shapeId="0">
      <text>
        <t>Derived or model input; see parent calculation formula and model assumptions.
Unit: USD</t>
      </text>
    </comment>
    <comment ref="F621" authorId="0" shapeId="0">
      <text>
        <t>https://www.sec.gov/Archives/edgar/data/1730168/000173016825000121/0001730168-25-000121-index.html
Unit: USD</t>
      </text>
    </comment>
    <comment ref="F622" authorId="0" shapeId="0">
      <text>
        <t>Derived or model input; see parent calculation formula and model assumptions.
Unit: USD</t>
      </text>
    </comment>
    <comment ref="F623" authorId="0" shapeId="0">
      <text>
        <t>Derived or model input; see parent calculation formula and model assumptions.
Unit: USD</t>
      </text>
    </comment>
    <comment ref="F624" authorId="0" shapeId="0">
      <text>
        <t>https://www.sec.gov/Archives/edgar/data/1730168/000173016826000080/0001730168-26-000080-index.html
Unit: USD</t>
      </text>
    </comment>
    <comment ref="F625" authorId="0" shapeId="0">
      <text>
        <t>Derived: ebitda @ 2025-11-02; see Calculations and Calc inputs.
Unit: USD</t>
      </text>
    </comment>
    <comment ref="F626" authorId="0" shapeId="0">
      <text>
        <t>Derived: fcf @ 2025-11-02; see Calculations and Calc inputs.
Unit: USD</t>
      </text>
    </comment>
    <comment ref="F627" authorId="0" shapeId="0">
      <text>
        <t>Derived or model input; see parent calculation formula and model assumptions.
Unit: USD</t>
      </text>
    </comment>
    <comment ref="F628" authorId="0" shapeId="0">
      <text>
        <t>Derived or model input; see parent calculation formula and model assumptions.
Unit: USD</t>
      </text>
    </comment>
    <comment ref="F629" authorId="0" shapeId="0">
      <text>
        <t>Derived or model input; see parent calculation formula and model assumptions.
Unit: ratio (decimal)</t>
      </text>
    </comment>
    <comment ref="F630" authorId="0" shapeId="0">
      <text>
        <t>Derived or model input; see parent calculation formula and model assumptions.
Unit: USD</t>
      </text>
    </comment>
    <comment ref="F631" authorId="0" shapeId="0">
      <text>
        <t>https://www.sec.gov/Archives/edgar/data/1730168/000173016826000080/0001730168-26-000080-index.html
Unit: USD</t>
      </text>
    </comment>
    <comment ref="F632" authorId="0" shapeId="0">
      <text>
        <t>https://www.sec.gov/Archives/edgar/data/1730168/000173016826000080/0001730168-26-000080-index.html
Unit: shares</t>
      </text>
    </comment>
    <comment ref="F633" authorId="0" shapeId="0">
      <text>
        <t>Derived or model input; see parent calculation formula and model assumptions.
Unit: USD</t>
      </text>
    </comment>
    <comment ref="F634" authorId="0" shapeId="0">
      <text>
        <t>Derived or model input; see parent calculation formula and model assumptions.
Unit: ratio (decimal)</t>
      </text>
    </comment>
    <comment ref="F635" authorId="0" shapeId="0">
      <text>
        <t>Derived or model input; see parent calculation formula and model assumptions.
Unit: USD</t>
      </text>
    </comment>
    <comment ref="F636" authorId="0" shapeId="0">
      <text>
        <t>https://www.sec.gov/Archives/edgar/data/1730168/000173016826000080/0001730168-26-000080-index.html
Unit: USD</t>
      </text>
    </comment>
    <comment ref="F637" authorId="0" shapeId="0">
      <text>
        <t>https://www.sec.gov/Archives/edgar/data/1730168/000173016826000080/0001730168-26-000080-index.html
Unit: shares</t>
      </text>
    </comment>
    <comment ref="F638" authorId="0" shapeId="0">
      <text>
        <t>Derived or model input; see parent calculation formula and model assumptions.
Unit: USD</t>
      </text>
    </comment>
    <comment ref="F639" authorId="0" shapeId="0">
      <text>
        <t>Derived or model input; see parent calculation formula and model assumptions.
Unit: ratio (decimal)</t>
      </text>
    </comment>
    <comment ref="F640" authorId="0" shapeId="0">
      <text>
        <t>Derived or model input; see parent calculation formula and model assumptions.
Unit: USD</t>
      </text>
    </comment>
    <comment ref="F641" authorId="0" shapeId="0">
      <text>
        <t>https://www.sec.gov/Archives/edgar/data/1730168/000173016826000080/0001730168-26-000080-index.html
Unit: USD</t>
      </text>
    </comment>
    <comment ref="F642" authorId="0" shapeId="0">
      <text>
        <t>https://www.sec.gov/Archives/edgar/data/1730168/000173016826000080/0001730168-26-000080-index.html
Unit: shares</t>
      </text>
    </comment>
    <comment ref="F643" authorId="0" shapeId="0">
      <text>
        <t>User-supplied price, 2026-10-09
Unit: USD/share</t>
      </text>
    </comment>
    <comment ref="F644" authorId="0" shapeId="0">
      <text>
        <t>Derived or model input; see parent calculation formula and model assumptions.
Unit: USD</t>
      </text>
    </comment>
    <comment ref="F645" authorId="0" shapeId="0">
      <text>
        <t>Derived or model input; see parent calculation formula and model assumptions.
Unit: USD</t>
      </text>
    </comment>
    <comment ref="F646" authorId="0" shapeId="0">
      <text>
        <t>https://www.sec.gov/Archives/edgar/data/1730168/000173016826000080/0001730168-26-000080-index.html
Unit: USD</t>
      </text>
    </comment>
    <comment ref="F647" authorId="0" shapeId="0">
      <text>
        <t>https://www.sec.gov/Archives/edgar/data/1730168/000173016826000080/0001730168-26-000080-index.html
Unit: shares</t>
      </text>
    </comment>
    <comment ref="F648" authorId="0" shapeId="0">
      <text>
        <t>User-supplied price, 2026-10-09
Unit: USD/share</t>
      </text>
    </comment>
    <comment ref="F649" authorId="0" shapeId="0">
      <text>
        <t>https://www.sec.gov/Archives/edgar/data/1730168/000173016825000121/0001730168-25-000121-index.html
Unit: USD</t>
      </text>
    </comment>
    <comment ref="F650" authorId="0" shapeId="0">
      <text>
        <t>Derived: fcf-margin @ 2025-11-02; see Calculations and Calc inputs.
Unit: USD</t>
      </text>
    </comment>
    <comment ref="F651" authorId="0" shapeId="0">
      <text>
        <t>Derived or model input; see parent calculation formula and model assumptions.
Unit: USD</t>
      </text>
    </comment>
    <comment ref="F652" authorId="0" shapeId="0">
      <text>
        <t>https://www.sec.gov/Archives/edgar/data/1730168/000173016826000080/0001730168-26-000080-index.html
Unit: USD</t>
      </text>
    </comment>
    <comment ref="F653" authorId="0" shapeId="0">
      <text>
        <t>https://www.sec.gov/Archives/edgar/data/1730168/000173016826000080/0001730168-26-000080-index.html
Unit: shares</t>
      </text>
    </comment>
    <comment ref="F654" authorId="0" shapeId="0">
      <text>
        <t>Derived: normalized-net-income @ 2025-11-02; see Calculations and Calc inputs.
Unit: USD</t>
      </text>
    </comment>
    <comment ref="F655" authorId="0" shapeId="0">
      <text>
        <t>https://www.sec.gov/Archives/edgar/data/1730168/000173016826000080/0001730168-26-000080-index.html
Unit: shares</t>
      </text>
    </comment>
    <comment ref="F656" authorId="0" shapeId="0">
      <text>
        <t>Derived: tangible-book-value @ 2025-11-02; see Calculations and Calc inputs.
Unit: USD</t>
      </text>
    </comment>
    <comment ref="F657" authorId="0" shapeId="0">
      <text>
        <t>https://www.sec.gov/Archives/edgar/data/1730168/000173016826000080/0001730168-26-000080-index.html
Unit: shares</t>
      </text>
    </comment>
    <comment ref="F658" authorId="0" shapeId="0">
      <text>
        <t>Derived: ncav @ 2025-11-02; see Calculations and Calc inputs.
Unit: USD</t>
      </text>
    </comment>
    <comment ref="F659" authorId="0" shapeId="0">
      <text>
        <t>https://www.sec.gov/Archives/edgar/data/1730168/000173016826000080/0001730168-26-000080-index.html
Unit: shares</t>
      </text>
    </comment>
    <comment ref="F660" authorId="0" shapeId="0">
      <text>
        <t>Derived: dcf-value-base @ 2025-11-02; see Calculations and Calc inputs.
Unit: USD</t>
      </text>
    </comment>
    <comment ref="F661" authorId="0" shapeId="0">
      <text>
        <t>User-supplied price, 2026-10-09
Unit: USD/share</t>
      </text>
    </comment>
    <comment ref="F662" authorId="0" shapeId="0">
      <text>
        <t>Derived: dcf-value-bear @ 2025-11-02; see Calculations and Calc inputs.
Unit: USD</t>
      </text>
    </comment>
    <comment ref="F663" authorId="0" shapeId="0">
      <text>
        <t>User-supplied price, 2026-10-09
Unit: USD/share</t>
      </text>
    </comment>
    <comment ref="F664" authorId="0" shapeId="0">
      <text>
        <t>https://www.sec.gov/Archives/edgar/data/1730168/000173016825000121/0001730168-25-000121-index.html
Unit: USD</t>
      </text>
    </comment>
    <comment ref="F665" authorId="0" shapeId="0">
      <text>
        <t>https://www.sec.gov/Archives/edgar/data/1730168/000173016825000121/0001730168-25-000121-index.html
Unit: USD</t>
      </text>
    </comment>
    <comment ref="F666" authorId="0" shapeId="0">
      <text>
        <t>Analyst assumption, 2026-10-11
Unit: ratio (decimal)</t>
      </text>
    </comment>
    <comment ref="F667" authorId="0" shapeId="0">
      <text>
        <t>https://www.sec.gov/Archives/edgar/data/1730168/000173016825000121/0001730168-25-000121-index.html
Unit: USD</t>
      </text>
    </comment>
    <comment ref="F668" authorId="0" shapeId="0">
      <text>
        <t>Analyst assumption, 2026-10-11
Unit: ratio (decimal)</t>
      </text>
    </comment>
    <comment ref="F669" authorId="0" shapeId="0">
      <text>
        <t>https://www.sec.gov/Archives/edgar/data/1730168/000173016825000121/0001730168-25-000121-index.html
Unit: USD</t>
      </text>
    </comment>
    <comment ref="F670" authorId="0" shapeId="0">
      <text>
        <t>Analyst assumption, 2026-10-11
Unit: ratio (decimal)</t>
      </text>
    </comment>
    <comment ref="F671" authorId="0" shapeId="0">
      <text>
        <t>Derived or model input; see parent calculation formula and model assumptions.
Unit: USD</t>
      </text>
    </comment>
    <comment ref="F672" authorId="0" shapeId="0">
      <text>
        <t>https://www.sec.gov/Archives/edgar/data/1730168/000173016825000121/0001730168-25-000121-index.html
Unit: USD</t>
      </text>
    </comment>
    <comment ref="F673" authorId="0" shapeId="0">
      <text>
        <t>Analyst assumption, 2026-10-11
Unit: ratio (decimal)</t>
      </text>
    </comment>
    <comment ref="F674" authorId="0" shapeId="0">
      <text>
        <t>https://www.sec.gov/Archives/edgar/data/1730168/000173016825000121/0001730168-25-000121-index.html
Unit: USD</t>
      </text>
    </comment>
    <comment ref="F675" authorId="0" shapeId="0">
      <text>
        <t>https://www.sec.gov/Archives/edgar/data/1730168/000173016825000121/0001730168-25-000121-index.html
Unit: USD</t>
      </text>
    </comment>
    <comment ref="F676" authorId="0" shapeId="0">
      <text>
        <t>Derived or model input; see parent calculation formula and model assumptions.
Unit: USD</t>
      </text>
    </comment>
    <comment ref="F677" authorId="0" shapeId="0">
      <text>
        <t>https://www.sec.gov/Archives/edgar/data/1730168/000173016825000121/0001730168-25-000121-index.html
Unit: USD</t>
      </text>
    </comment>
    <comment ref="F678" authorId="0" shapeId="0">
      <text>
        <t>https://www.sec.gov/Archives/edgar/data/1730168/000173016825000121/0001730168-25-000121-index.html
Unit: USD</t>
      </text>
    </comment>
    <comment ref="F679" authorId="0" shapeId="0">
      <text>
        <t>https://www.sec.gov/Archives/edgar/data/1730168/000173016825000121/0001730168-25-000121-index.html
Unit: USD</t>
      </text>
    </comment>
    <comment ref="F680" authorId="0" shapeId="0">
      <text>
        <t>Analyst assumption, 2026-10-11
Unit: ratio (decimal)</t>
      </text>
    </comment>
    <comment ref="F681" authorId="0" shapeId="0">
      <text>
        <t>https://www.sec.gov/Archives/edgar/data/1730168/000173016825000121/0001730168-25-000121-index.html
Unit: USD</t>
      </text>
    </comment>
    <comment ref="F682" authorId="0" shapeId="0">
      <text>
        <t>https://www.sec.gov/Archives/edgar/data/1730168/000173016825000121/0001730168-25-000121-index.html
Unit: USD</t>
      </text>
    </comment>
    <comment ref="F683" authorId="0" shapeId="0">
      <text>
        <t>Derived or model input; see parent calculation formula and model assumptions.
Unit: USD</t>
      </text>
    </comment>
    <comment ref="F684" authorId="0" shapeId="0">
      <text>
        <t>https://www.sec.gov/Archives/edgar/data/1730168/000173016825000121/0001730168-25-000121-index.html
https://www.sec.gov/Archives/edgar/data/1730168/000173016826000080/0001730168-26-000080-index.html
Unit: USD</t>
      </text>
    </comment>
    <comment ref="F685" authorId="0" shapeId="0">
      <text>
        <t>https://www.sec.gov/Archives/edgar/data/1730168/000173016825000121/0001730168-25-000121-index.html
https://www.sec.gov/Archives/edgar/data/1730168/000173016826000080/0001730168-26-000080-index.html
Unit: USD</t>
      </text>
    </comment>
    <comment ref="F686" authorId="0" shapeId="0">
      <text>
        <t>https://www.sec.gov/Archives/edgar/data/1730168/000173016825000121/0001730168-25-000121-index.html
https://www.sec.gov/Archives/edgar/data/1730168/000173016826000080/0001730168-26-000080-index.html
Unit: USD</t>
      </text>
    </comment>
    <comment ref="F687" authorId="0" shapeId="0">
      <text>
        <t>https://www.sec.gov/Archives/edgar/data/1730168/000173016825000121/0001730168-25-000121-index.html
https://www.sec.gov/Archives/edgar/data/1730168/000173016826000080/0001730168-26-000080-index.html
Unit: USD</t>
      </text>
    </comment>
    <comment ref="F688" authorId="0" shapeId="0">
      <text>
        <t>https://www.sec.gov/Archives/edgar/data/1730168/000173016825000121/0001730168-25-000121-index.html
https://www.sec.gov/Archives/edgar/data/1730168/000173016826000080/0001730168-26-000080-index.html
Unit: USD</t>
      </text>
    </comment>
    <comment ref="F689" authorId="0" shapeId="0">
      <text>
        <t>https://www.sec.gov/Archives/edgar/data/1730168/000173016825000121/0001730168-25-000121-index.html
https://www.sec.gov/Archives/edgar/data/1730168/000173016826000080/0001730168-26-000080-index.html
Unit: USD</t>
      </text>
    </comment>
    <comment ref="F690" authorId="0" shapeId="0">
      <text>
        <t>https://www.sec.gov/Archives/edgar/data/1730168/000173016825000121/0001730168-25-000121-index.html
https://www.sec.gov/Archives/edgar/data/1730168/000173016826000080/0001730168-26-000080-index.html
Unit: USD</t>
      </text>
    </comment>
    <comment ref="F691" authorId="0" shapeId="0">
      <text>
        <t>https://www.sec.gov/Archives/edgar/data/1730168/000173016825000121/0001730168-25-000121-index.html
https://www.sec.gov/Archives/edgar/data/1730168/000173016826000080/0001730168-26-000080-index.html
Unit: USD</t>
      </text>
    </comment>
    <comment ref="F692" authorId="0" shapeId="0">
      <text>
        <t>Derived or model input; see parent calculation formula and model assumptions.
Unit: ratio (decimal)</t>
      </text>
    </comment>
    <comment ref="F693" authorId="0" shapeId="0">
      <text>
        <t>https://www.sec.gov/Archives/edgar/data/1730168/000173016825000121/0001730168-25-000121-index.html
https://www.sec.gov/Archives/edgar/data/1730168/000173016826000080/0001730168-26-000080-index.html
Unit: USD</t>
      </text>
    </comment>
    <comment ref="F694" authorId="0" shapeId="0">
      <text>
        <t>https://www.sec.gov/Archives/edgar/data/1730168/000173016825000121/0001730168-25-000121-index.html
https://www.sec.gov/Archives/edgar/data/1730168/000173016826000080/0001730168-26-000080-index.html
Unit: USD</t>
      </text>
    </comment>
    <comment ref="F695" authorId="0" shapeId="0">
      <text>
        <t>https://www.sec.gov/Archives/edgar/data/1730168/000173016825000121/0001730168-25-000121-index.html
https://www.sec.gov/Archives/edgar/data/1730168/000173016826000080/0001730168-26-000080-index.html
Unit: USD</t>
      </text>
    </comment>
    <comment ref="F696" authorId="0" shapeId="0">
      <text>
        <t>https://www.sec.gov/Archives/edgar/data/1730168/000173016825000121/0001730168-25-000121-index.html
https://www.sec.gov/Archives/edgar/data/1730168/000173016826000080/0001730168-26-000080-index.html
Unit: USD</t>
      </text>
    </comment>
    <comment ref="F697" authorId="0" shapeId="0">
      <text>
        <t>Derived or model input; see parent calculation formula and model assumptions.
Unit: USD</t>
      </text>
    </comment>
    <comment ref="F698" authorId="0" shapeId="0">
      <text>
        <t>https://www.sec.gov/Archives/edgar/data/1730168/000173016825000121/0001730168-25-000121-index.html
https://www.sec.gov/Archives/edgar/data/1730168/000173016826000080/0001730168-26-000080-index.html
Unit: USD</t>
      </text>
    </comment>
    <comment ref="F699" authorId="0" shapeId="0">
      <text>
        <t>Derived: ttm-fcf @ 2026-08-02; see Calculations and Calc inputs.
Unit: USD</t>
      </text>
    </comment>
    <comment ref="F700" authorId="0" shapeId="0">
      <text>
        <t>Derived: ttm-revenue @ 2026-08-02; see Calculations and Calc inputs.
Unit: USD</t>
      </text>
    </comment>
    <comment ref="F701" authorId="0" shapeId="0">
      <text>
        <t>Derived: ttm-fcf @ 2026-08-02; see Calculations and Calc inputs.
Unit: USD</t>
      </text>
    </comment>
    <comment ref="F702" authorId="0" shapeId="0">
      <text>
        <t>Derived or model input; see parent calculation formula and model assumptions.
Unit: USD</t>
      </text>
    </comment>
    <comment ref="F703" authorId="0" shapeId="0">
      <text>
        <t>Derived: enterprise-value @ 2025-11-02; see Calculations and Calc inputs.
Unit: USD</t>
      </text>
    </comment>
    <comment ref="F704" authorId="0" shapeId="0">
      <text>
        <t>Derived: ttm-ebitda @ 2026-08-02; see Calculations and Calc inputs.
Unit: USD</t>
      </text>
    </comment>
    <comment ref="F705" authorId="0" shapeId="0">
      <text>
        <t>Analyst assumption, 2026-10-11
Unit: ratio (decimal)</t>
      </text>
    </comment>
    <comment ref="F706" authorId="0" shapeId="0">
      <text>
        <t>https://www.sec.gov/Archives/edgar/data/1730168/000173016825000121/0001730168-25-000121-index.html
https://www.sec.gov/Archives/edgar/data/1730168/000173016826000080/0001730168-26-000080-index.html
Unit: USD</t>
      </text>
    </comment>
    <comment ref="F707" authorId="0" shapeId="0">
      <text>
        <t>Analyst assumption, 2026-10-11
Unit: ratio (decimal)</t>
      </text>
    </comment>
    <comment ref="F708" authorId="0" shapeId="0">
      <text>
        <t>https://www.sec.gov/Archives/edgar/data/1730168/000173016825000121/0001730168-25-000121-index.html
https://www.sec.gov/Archives/edgar/data/1730168/000173016826000080/0001730168-26-000080-index.html
Unit: USD</t>
      </text>
    </comment>
    <comment ref="F709" authorId="0" shapeId="0">
      <text>
        <t>Analyst assumption, 2026-10-11
Unit: ratio (decimal)</t>
      </text>
    </comment>
    <comment ref="F710" authorId="0" shapeId="0">
      <text>
        <t>Derived or model input; see parent calculation formula and model assumptions.
Unit: USD</t>
      </text>
    </comment>
    <comment ref="F711" authorId="0" shapeId="0">
      <text>
        <t>https://www.sec.gov/Archives/edgar/data/1730168/000173016825000121/0001730168-25-000121-index.html
https://www.sec.gov/Archives/edgar/data/1730168/000173016826000080/0001730168-26-000080-index.html
Unit: USD</t>
      </text>
    </comment>
    <comment ref="F712" authorId="0" shapeId="0">
      <text>
        <t>Analyst assumption, 2026-10-11
Unit: ratio (decimal)</t>
      </text>
    </comment>
    <comment ref="F713" authorId="0" shapeId="0">
      <text>
        <t>https://www.sec.gov/Archives/edgar/data/1730168/000173016825000121/0001730168-25-000121-index.html
https://www.sec.gov/Archives/edgar/data/1730168/000173016826000080/0001730168-26-000080-index.html
Unit: USD</t>
      </text>
    </comment>
    <comment ref="F714" authorId="0" shapeId="0">
      <text>
        <t>https://www.sec.gov/Archives/edgar/data/1730168/000173016825000121/0001730168-25-000121-index.html
https://www.sec.gov/Archives/edgar/data/1730168/000173016826000080/0001730168-26-000080-index.html
Unit: USD</t>
      </text>
    </comment>
    <comment ref="F715" authorId="0" shapeId="0">
      <text>
        <t>Derived or model input; see parent calculation formula and model assumptions.
Unit: USD</t>
      </text>
    </comment>
    <comment ref="F716" authorId="0" shapeId="0">
      <text>
        <t>https://www.sec.gov/Archives/edgar/data/1730168/000173016825000121/0001730168-25-000121-index.html
https://www.sec.gov/Archives/edgar/data/1730168/000173016826000080/0001730168-26-000080-index.html
Unit: USD</t>
      </text>
    </comment>
    <comment ref="F717" authorId="0" shapeId="0">
      <text>
        <t>https://www.sec.gov/Archives/edgar/data/1730168/000173016825000121/0001730168-25-000121-index.html
https://www.sec.gov/Archives/edgar/data/1730168/000173016826000080/0001730168-26-000080-index.html
Unit: USD</t>
      </text>
    </comment>
    <comment ref="F718" authorId="0" shapeId="0">
      <text>
        <t>https://www.sec.gov/Archives/edgar/data/1730168/000173016825000121/0001730168-25-000121-index.html
https://www.sec.gov/Archives/edgar/data/1730168/000173016826000080/0001730168-26-000080-index.html
Unit: USD</t>
      </text>
    </comment>
    <comment ref="F719" authorId="0" shapeId="0">
      <text>
        <t>Analyst assumption, 2026-10-11
Unit: ratio (decimal)</t>
      </text>
    </comment>
    <comment ref="F720" authorId="0" shapeId="0">
      <text>
        <t>https://www.sec.gov/Archives/edgar/data/1730168/000173016825000121/0001730168-25-000121-index.html
https://www.sec.gov/Archives/edgar/data/1730168/000173016826000080/0001730168-26-000080-index.html
Unit: USD</t>
      </text>
    </comment>
    <comment ref="F721" authorId="0" shapeId="0">
      <text>
        <t>https://www.sec.gov/Archives/edgar/data/1730168/000173016825000121/0001730168-25-000121-index.html
https://www.sec.gov/Archives/edgar/data/1730168/000173016826000080/0001730168-26-000080-index.html
Unit: USD</t>
      </text>
    </comment>
    <comment ref="F722" authorId="0" shapeId="0">
      <text>
        <t>Derived or model input; see parent calculation formula and model assumptions.
Unit: USD</t>
      </text>
    </comment>
  </commentList>
</comments>
</file>

<file path=xl/comments/comment5.xml><?xml version="1.0" encoding="utf-8"?>
<comments xmlns="http://schemas.openxmlformats.org/spreadsheetml/2006/main">
  <authors>
    <author>SEC text fact</author>
  </authors>
  <commentList>
    <comment ref="C2" authorId="0" shapeId="0">
      <text>
        <t>https://www.sec.gov/Archives/edgar/data/1730168/000173016825000121/0001730168-25-000121-index.html
One customer accounted for 44% and 18% of our net accounts receivable balance as of November 2, 2025 and November 3, 2024, respectively.</t>
      </text>
    </comment>
    <comment ref="C3" authorId="0" shapeId="0">
      <text>
        <t>https://www.sec.gov/Archives/edgar/data/1730168/000173016825000121/0001730168-25-000121-index.html
The benefit from income taxes was $397 million for fiscal year 2025</t>
      </text>
    </comment>
    <comment ref="C4" authorId="0" shapeId="0">
      <text>
        <t>https://www.sec.gov/Archives/edgar/data/1730168/000173016825000121/0001730168-25-000121-index.html
Direct sales to one semiconductor solutions customer, which is a distributor, accounted for 32% and 28% of our net revenue for fiscal years 2025 and 2024, respectively.</t>
      </text>
    </comment>
    <comment ref="C5" authorId="0" shapeId="0">
      <text>
        <t>https://www.sec.gov/Archives/edgar/data/1730168/000173016825000121/0001730168-25-000121-index.html
We believe aggregate sales, through all channels, to our top five end customers accounted for approximately 40% of our net revenue for fiscal year 2025.</t>
      </text>
    </comment>
    <comment ref="C6" authorId="0" shapeId="0">
      <text>
        <t>https://www.sec.gov/Archives/edgar/data/1730168/000119312526085691/0001193125-26-085691-index.html
our AI semiconductor revenue increased 65% from $12.2 billion in fiscal 2024 to $20.2 billion in fiscal 2025</t>
      </text>
    </comment>
    <comment ref="C7" authorId="0" shapeId="0">
      <text>
        <t>https://www.sec.gov/Archives/edgar/data/1730168/000119312526085691/0001193125-26-085691-index.html
96% of our Chief Executive Officer’s (“CEO”) and 95% of our other named executive officers’ (“NEOs”) average annualized target total compensation in fiscal 2025 is comprised of variable compensation</t>
      </text>
    </comment>
    <comment ref="C8" authorId="0" shapeId="0">
      <text>
        <t>https://www.sec.gov/Archives/edgar/data/1730168/000173016825000121/0001730168-25-000121-index.html
Semiconductor solutions $ 36,858 $30,096</t>
      </text>
    </comment>
    <comment ref="C9" authorId="0" shapeId="0">
      <text>
        <t>https://www.sec.gov/Archives/edgar/data/1730168/000173016825000121/0001730168-25-000121-index.html
Infrastructure software 27,029 21,478</t>
      </text>
    </comment>
    <comment ref="C10" authorId="0" shapeId="0">
      <text>
        <t>https://www.sec.gov/Archives/edgar/data/1730168/000173016825000121/0001730168-25-000121-index.html
Semiconductor solutions $ 21,232 $ 16,759</t>
      </text>
    </comment>
    <comment ref="C11" authorId="0" shapeId="0">
      <text>
        <t>https://www.sec.gov/Archives/edgar/data/1730168/000173016825000121/0001730168-25-000121-index.html
Infrastructure software 20,765 13,977</t>
      </text>
    </comment>
    <comment ref="C12" authorId="0" shapeId="0">
      <text>
        <t>https://www.sec.gov/Archives/edgar/data/1730168/000173016826000080/0001730168-26-000080-index.html
Semiconductor solutions $ 20,839 $9,166 $11,673 127% $ 48,363 $25,786 $22,577 88%</t>
      </text>
    </comment>
    <comment ref="C13" authorId="0" shapeId="0">
      <text>
        <t>https://www.sec.gov/Archives/edgar/data/1730168/000173016826000080/0001730168-26-000080-index.html
Semiconductor solutions $ 20,839 $9,166 $11,673 127% $ 48,363 $25,786 $22,577 88%</t>
      </text>
    </comment>
    <comment ref="C14" authorId="0" shapeId="0">
      <text>
        <t>https://www.sec.gov/Archives/edgar/data/1730168/000173016826000080/0001730168-26-000080-index.html
Infrastructure software 8,752 6,786 1,966 29% 22,726 20,086 2,640 13%</t>
      </text>
    </comment>
    <comment ref="C15" authorId="0" shapeId="0">
      <text>
        <t>https://www.sec.gov/Archives/edgar/data/1730168/000173016826000080/0001730168-26-000080-index.html
Infrastructure software 8,752 6,786 1,966 29% 22,726 20,086 2,640 13%</t>
      </text>
    </comment>
  </commentList>
</comments>
</file>

<file path=xl/comments/comment6.xml><?xml version="1.0" encoding="utf-8"?>
<comments xmlns="http://schemas.openxmlformats.org/spreadsheetml/2006/main">
  <authors>
    <author>Input source</author>
  </authors>
  <commentList>
    <comment ref="B2" authorId="0" shapeId="0">
      <text>
        <t>https://www.sec.gov/Archives/edgar/data/1730168/000173016825000121/0001730168-25-000121-index.html</t>
      </text>
    </comment>
    <comment ref="B3" authorId="0" shapeId="0">
      <text>
        <t>https://www.sec.gov/Archives/edgar/data/1730168/000173016825000121/0001730168-25-000121-index.html</t>
      </text>
    </comment>
    <comment ref="B4" authorId="0" shapeId="0">
      <text>
        <t>https://www.sec.gov/Archives/edgar/data/1730168/000173016825000121/0001730168-25-000121-index.html</t>
      </text>
    </comment>
    <comment ref="B5" authorId="0" shapeId="0">
      <text>
        <t>Derived or model input; see parent calculation formula and model assumptions.</t>
      </text>
    </comment>
    <comment ref="B6" authorId="0" shapeId="0">
      <text>
        <t>https://www.sec.gov/Archives/edgar/data/1730168/000173016825000121/0001730168-25-000121-index.html</t>
      </text>
    </comment>
    <comment ref="B7" authorId="0" shapeId="0">
      <text>
        <t>https://www.sec.gov/Archives/edgar/data/1730168/000173016825000121/0001730168-25-000121-index.html</t>
      </text>
    </comment>
    <comment ref="B8" authorId="0" shapeId="0">
      <text>
        <t>Derived or model input; see parent calculation formula and model assumptions.</t>
      </text>
    </comment>
    <comment ref="B9" authorId="0" shapeId="0">
      <text>
        <t>https://www.sec.gov/Archives/edgar/data/1730168/000173016825000121/0001730168-25-000121-index.html</t>
      </text>
    </comment>
    <comment ref="B10" authorId="0" shapeId="0">
      <text>
        <t>https://www.sec.gov/Archives/edgar/data/1730168/000173016825000121/0001730168-25-000121-index.html</t>
      </text>
    </comment>
    <comment ref="B11" authorId="0" shapeId="0">
      <text>
        <t>https://www.sec.gov/Archives/edgar/data/1730168/000173016825000121/0001730168-25-000121-index.html</t>
      </text>
    </comment>
    <comment ref="B12" authorId="0" shapeId="0">
      <text>
        <t>User-supplied price, 2026-10-09</t>
      </text>
    </comment>
    <comment ref="B13" authorId="0" shapeId="0">
      <text>
        <t>https://www.sec.gov/Archives/edgar/data/1730168/000173016826000080/0001730168-26-000080-index.html</t>
      </text>
    </comment>
    <comment ref="B14" authorId="0" shapeId="0">
      <text>
        <t>Derived or model input; see parent calculation formula and model assumptions.</t>
      </text>
    </comment>
    <comment ref="B15" authorId="0" shapeId="0">
      <text>
        <t>https://www.sec.gov/Archives/edgar/data/1730168/000173016826000080/0001730168-26-000080-index.html</t>
      </text>
    </comment>
    <comment ref="B16" authorId="0" shapeId="0">
      <text>
        <t xml:space="preserve">
Transformed calculation input: differs from the raw filing value; see formula and flags.</t>
      </text>
    </comment>
    <comment ref="B17" authorId="0" shapeId="0">
      <text>
        <t>https://www.sec.gov/Archives/edgar/data/1730168/000173016826000080/0001730168-26-000080-index.html</t>
      </text>
    </comment>
    <comment ref="B18" authorId="0" shapeId="0">
      <text>
        <t>Derived or model input; see parent calculation formula and model assumptions.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fitToPage="1"/>
  </sheetPr>
  <dimension ref="A1:B20"/>
  <sheetViews>
    <sheetView showGridLines="0"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Topic</t>
        </is>
      </c>
      <c r="B1" s="1" t="inlineStr">
        <is>
          <t>Explanation</t>
        </is>
      </c>
    </row>
    <row r="2" ht="42" customHeight="1">
      <c r="A2" s="2" t="inlineStr">
        <is>
          <t>Purpose</t>
        </is>
      </c>
      <c r="B2" s="2" t="inlineStr">
        <is>
          <t>Copy AVGO source data and calculations into your own analysis. Every handbook card has a notes row.</t>
        </is>
      </c>
    </row>
    <row r="3" ht="42" customHeight="1">
      <c r="A3" s="2" t="inlineStr">
        <is>
          <t>Price</t>
        </is>
      </c>
      <c r="B3" s="2" t="inlineStr">
        <is>
          <t>361.54 USD/share as of 2026-10-09 (user supplied)</t>
        </is>
      </c>
    </row>
    <row r="4" ht="42" customHeight="1">
      <c r="A4" s="2" t="inlineStr">
        <is>
          <t>Data date</t>
        </is>
      </c>
      <c r="B4" s="2" t="inlineStr">
        <is>
          <t>2026-09-10</t>
        </is>
      </c>
    </row>
    <row r="5" ht="42" customHeight="1">
      <c r="A5" s="2" t="inlineStr">
        <is>
          <t>Annual history</t>
        </is>
      </c>
      <c r="B5" s="2" t="inlineStr">
        <is>
          <t>2016-10-30 through 2025-11-02</t>
        </is>
      </c>
    </row>
    <row r="6" ht="42" customHeight="1">
      <c r="A6" s="2" t="inlineStr">
        <is>
          <t>Interim balance sheet</t>
        </is>
      </c>
      <c r="B6" s="2" t="inlineStr">
        <is>
          <t>2026-08-02</t>
        </is>
      </c>
    </row>
    <row r="7" ht="42" customHeight="1">
      <c r="A7" s="2" t="inlineStr">
        <is>
          <t>Cover shares</t>
        </is>
      </c>
      <c r="B7" s="2" t="inlineStr">
        <is>
          <t>2026-08-28</t>
        </is>
      </c>
    </row>
    <row r="8" ht="42" customHeight="1">
      <c r="A8" s="2" t="inlineStr">
        <is>
          <t>Units</t>
        </is>
      </c>
      <c r="B8" s="2" t="inlineStr">
        <is>
          <t>Full USD or shares. Ratios use decimal fractions and percentage display. Text facts retain quoted units.</t>
        </is>
      </c>
    </row>
    <row r="9" ht="42" customHeight="1">
      <c r="A9" s="2" t="inlineStr">
        <is>
          <t>Imported reference sheets</t>
        </is>
      </c>
      <c r="B9" s="2" t="inlineStr">
        <is>
          <t>Facts, Annual facts, Metrics, Calculations, Calc inputs, Text facts, Cards and Assumptions are fixed snapshots from the analysis, not live formulas.</t>
        </is>
      </c>
    </row>
    <row r="10" ht="42" customHeight="1">
      <c r="A10" s="2" t="inlineStr">
        <is>
          <t>Editable sheet</t>
        </is>
      </c>
      <c r="B10" s="2" t="inlineStr">
        <is>
          <t>Workbench has blue input cells and black Excel formulas. Edit the blue values for your own case. Only Workbench formulas respond to those edits.</t>
        </is>
      </c>
    </row>
    <row r="11" ht="42" customHeight="1">
      <c r="A11" s="2" t="inlineStr">
        <is>
          <t>Formula results</t>
        </is>
      </c>
      <c r="B11" s="2" t="inlineStr">
        <is>
          <t>Excel or LibreOffice recalculates Workbench when opened. Published results are displayed beside formulas for comparison.</t>
        </is>
      </c>
    </row>
    <row r="12" ht="42" customHeight="1">
      <c r="A12" s="2" t="inlineStr">
        <is>
          <t>Your notes</t>
        </is>
      </c>
      <c r="B12" s="2" t="inlineStr">
        <is>
          <t>My analysis has one editable row for each of the 109 handbook cards.</t>
        </is>
      </c>
    </row>
    <row r="13" ht="42" customHeight="1">
      <c r="A13" s="2" t="inlineStr">
        <is>
          <t>Known limitations</t>
        </is>
      </c>
      <c r="B13" s="2" t="inlineStr">
        <is>
          <t>Unusual tax rates; missing historical amortization in 2020–2022; 53-week years; tag conflicts; assumed-zero values.</t>
        </is>
      </c>
    </row>
    <row r="14" ht="42" customHeight="1">
      <c r="A14" s="2" t="inlineStr">
        <is>
          <t>Valuation dates</t>
        </is>
      </c>
      <c r="B14" s="2" t="inlineStr">
        <is>
          <t>Market metrics combine the supplied price, cover-page shares and interim debt/cash. Annual operating metrics remain fiscal 2025; TTM rows end August 2, 2026.</t>
        </is>
      </c>
    </row>
    <row r="15" ht="42" customHeight="1">
      <c r="A15" s="2" t="inlineStr">
        <is>
          <t>Missing data</t>
        </is>
      </c>
      <c r="B15" s="2" t="inlineStr">
        <is>
          <t>Blank values with not_available or not_meaningful status are not zero. Cards without data require further research.</t>
        </is>
      </c>
    </row>
    <row r="16" ht="42" customHeight="1">
      <c r="A16" s="2" t="inlineStr">
        <is>
          <t>Formula definitions</t>
        </is>
      </c>
      <c r="B16" s="2" t="inlineStr">
        <is>
          <t>Calculator formulas can be more specific than handbook formulas. For example, ROIC uses average invested capital; EV includes minority interest and preferred stock.</t>
        </is>
      </c>
    </row>
    <row r="17" ht="42" customHeight="1">
      <c r="A17" s="2" t="inlineStr">
        <is>
          <t>Original report</t>
        </is>
      </c>
      <c r="B17" s="2" t="inlineStr">
        <is>
          <t>https://github.com/jarvischer/stock-analysis-toolkit/blob/main/analyses/AVGO-2026-10-11-valuation.md</t>
        </is>
      </c>
    </row>
    <row r="18">
      <c r="A18" t="inlineStr">
        <is>
          <t>New model sheets</t>
        </is>
      </c>
      <c r="B18" t="inlineStr">
        <is>
          <t>Valuation Models, Forward Forecasts, Forward Segments and Sensitivity are fixed calculator snapshots. Edit adjustments.json and rerun sat calc to recalculate these scenarios.</t>
        </is>
      </c>
    </row>
    <row r="19">
      <c r="A19" t="inlineStr">
        <is>
          <t>Normalized tax</t>
        </is>
      </c>
      <c r="B19" t="inlineStr">
        <is>
          <t>Explicit illustrative 21% assumption; not a verified sustainable company tax rate.</t>
        </is>
      </c>
    </row>
    <row r="20">
      <c r="A20" t="inlineStr">
        <is>
          <t>Comparison report</t>
        </is>
      </c>
      <c r="B20" t="inlineStr">
        <is>
          <t>analyses/AVGO-2026-10-11-valuation.md</t>
        </is>
      </c>
    </row>
  </sheetData>
  <autoFilter ref="A1:B1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I578"/>
  <sheetViews>
    <sheetView showGridLines="0" workbookViewId="0">
      <pane ySplit="1" topLeftCell="A2" activePane="bottomLeft" state="frozen"/>
      <selection pane="bottomLeft" activeCell="A1" sqref="A1"/>
    </sheetView>
  </sheetViews>
  <sheetFormatPr baseColWidth="8" defaultRowHeight="15"/>
  <cols>
    <col width="25" customWidth="1" min="1" max="1"/>
    <col width="28" customWidth="1" min="2" max="2"/>
    <col width="25" customWidth="1" min="3" max="3"/>
    <col width="23" customWidth="1" min="4" max="4"/>
    <col width="25" customWidth="1" min="5" max="5"/>
    <col width="25" customWidth="1" min="6" max="6"/>
    <col width="35" customWidth="1" min="7" max="7"/>
    <col width="70" customWidth="1" min="8" max="8"/>
    <col width="90" customWidth="1" min="9" max="9"/>
  </cols>
  <sheetData>
    <row r="1" ht="32" customHeight="1">
      <c r="A1" s="1" t="inlineStr">
        <is>
          <t>Scope</t>
        </is>
      </c>
      <c r="B1" s="1" t="inlineStr">
        <is>
          <t>Item</t>
        </is>
      </c>
      <c r="C1" s="1" t="inlineStr">
        <is>
          <t>Period end</t>
        </is>
      </c>
      <c r="D1" s="1" t="inlineStr">
        <is>
          <t>Value (raw units)</t>
        </is>
      </c>
      <c r="E1" s="1" t="inlineStr">
        <is>
          <t>Unit</t>
        </is>
      </c>
      <c r="F1" s="1" t="inlineStr">
        <is>
          <t>Status</t>
        </is>
      </c>
      <c r="G1" s="1" t="inlineStr">
        <is>
          <t>Flags</t>
        </is>
      </c>
      <c r="H1" s="1" t="inlineStr">
        <is>
          <t>Source URL</t>
        </is>
      </c>
      <c r="I1" s="1" t="inlineStr">
        <is>
          <t>Source details</t>
        </is>
      </c>
    </row>
    <row r="2" ht="42" customHeight="1">
      <c r="A2" s="2" t="inlineStr">
        <is>
          <t>TTM</t>
        </is>
      </c>
      <c r="B2" s="2" t="inlineStr">
        <is>
          <t>revenue</t>
        </is>
      </c>
      <c r="C2" s="2" t="inlineStr">
        <is>
          <t>2026-08-02</t>
        </is>
      </c>
      <c r="D2" s="3" t="n">
        <v>89104000000</v>
      </c>
      <c r="E2" s="2" t="inlineStr">
        <is>
          <t>USD</t>
        </is>
      </c>
      <c r="F2" s="2" t="inlineStr">
        <is>
          <t>constructed</t>
        </is>
      </c>
      <c r="G2" s="2" t="inlineStr">
        <is>
          <t>ttm</t>
        </is>
      </c>
      <c r="H2" s="2" t="inlineStr">
        <is>
          <t>https://www.sec.gov/Archives/edgar/data/1730168/000173016825000121/0001730168-25-000121-index.html
https://www.sec.gov/Archives/edgar/data/1730168/000173016826000080/0001730168-26-000080-index.html</t>
        </is>
      </c>
      <c r="I2" s="2" t="inlineStr">
        <is>
          <t>{"formula": "Annual + current YTD - prior YTD", "parts": [{"value": 63887000000.0, "period_start": "2024-11-04", "period_end": "2025-11-02", "source": {"accession": "0001730168-25-000121", "filed": "2025-12-18", "form": "10-K"}, "tag": "us-gaap:RevenueFromContractWithCustomerExcludingAssessedTax", "flags": [], "sign": 1, "role": "annual"}, {"value": 71089000000.0, "period_start": "2025-11-03", "period_end": "2026-08-02", "source": {"accession": "0001730168-26-000080", "filed": "2026-09-10", "form": "10-Q"}, "tag": "us-gaap:RevenueFromContractWithCustomerExcludingAssessedTax", "flags": [], "sign": 1, "role": "current_ytd"}, {"value": 45872000000.0, "period_start": "2024-11-04", "period_end": "2025-08-03", "source": {"accession": "0001730168-26-000080", "filed": "2026-09-10", "form": "10-Q"}, "tag": "us-gaap:RevenueFromContractWithCustomerExcludingAssessedTax", "flags": [], "sign": -1, "role": "prior_ytd"}]}</t>
        </is>
      </c>
    </row>
    <row r="3" ht="42" customHeight="1">
      <c r="A3" s="2" t="inlineStr">
        <is>
          <t>TTM</t>
        </is>
      </c>
      <c r="B3" s="2" t="inlineStr">
        <is>
          <t>cost_of_revenue</t>
        </is>
      </c>
      <c r="C3" s="2" t="inlineStr">
        <is>
          <t>2026-08-02</t>
        </is>
      </c>
      <c r="D3" s="3" t="n">
        <v>27827000000</v>
      </c>
      <c r="E3" s="2" t="inlineStr">
        <is>
          <t>USD</t>
        </is>
      </c>
      <c r="F3" s="2" t="inlineStr">
        <is>
          <t>constructed</t>
        </is>
      </c>
      <c r="G3" s="2" t="inlineStr">
        <is>
          <t>ttm</t>
        </is>
      </c>
      <c r="H3" s="2" t="inlineStr">
        <is>
          <t>https://www.sec.gov/Archives/edgar/data/1730168/000173016825000121/0001730168-25-000121-index.html
https://www.sec.gov/Archives/edgar/data/1730168/000173016826000080/0001730168-26-000080-index.html</t>
        </is>
      </c>
      <c r="I3" s="2" t="inlineStr">
        <is>
          <t>{"formula": "Annual + current YTD - prior YTD", "parts": [{"value": 20593000000.0, "period_start": "2024-11-04", "period_end": "2025-11-02", "source": {"accession": "0001730168-25-000121", "filed": "2025-12-18", "form": "10-K"}, "tag": "us-gaap:CostOfRevenue", "flags": [], "sign": 1, "role": "annual"}, {"value": 22061000000.0, "period_start": "2025-11-03", "period_end": "2026-08-02", "source": {"accession": "0001730168-26-000080", "filed": "2026-09-10", "form": "10-Q"}, "tag": "us-gaap:CostOfRevenue", "flags": [], "sign": 1, "role": "current_ytd"}, {"value": 14827000000.0, "period_start": "2024-11-04", "period_end": "2025-08-03", "source": {"accession": "0001730168-26-000080", "filed": "2026-09-10", "form": "10-Q"}, "tag": "us-gaap:CostOfRevenue", "flags": [], "sign": -1, "role": "prior_ytd"}]}</t>
        </is>
      </c>
    </row>
    <row r="4" ht="42" customHeight="1">
      <c r="A4" s="2" t="inlineStr">
        <is>
          <t>TTM</t>
        </is>
      </c>
      <c r="B4" s="2" t="inlineStr">
        <is>
          <t>gross_profit</t>
        </is>
      </c>
      <c r="C4" s="2" t="inlineStr">
        <is>
          <t>2026-08-02</t>
        </is>
      </c>
      <c r="D4" s="3" t="n">
        <v>61277000000</v>
      </c>
      <c r="E4" s="2" t="inlineStr">
        <is>
          <t>USD</t>
        </is>
      </c>
      <c r="F4" s="2" t="inlineStr">
        <is>
          <t>constructed</t>
        </is>
      </c>
      <c r="G4" s="2" t="inlineStr">
        <is>
          <t>ttm</t>
        </is>
      </c>
      <c r="H4" s="2" t="inlineStr">
        <is>
          <t>https://www.sec.gov/Archives/edgar/data/1730168/000173016825000121/0001730168-25-000121-index.html
https://www.sec.gov/Archives/edgar/data/1730168/000173016826000080/0001730168-26-000080-index.html</t>
        </is>
      </c>
      <c r="I4" s="2" t="inlineStr">
        <is>
          <t>{"formula": "Annual + current YTD - prior YTD", "parts": [{"value": 43294000000.0, "period_start": "2024-11-04", "period_end": "2025-11-02", "source": {"accession": "0001730168-25-000121", "filed": "2025-12-18", "form": "10-K"}, "tag": "us-gaap:GrossProfit", "flags": [], "sign": 1, "role": "annual"}, {"value": 49028000000.0, "period_start": "2025-11-03", "period_end": "2026-08-02", "source": {"accession": "0001730168-26-000080", "filed": "2026-09-10", "form": "10-Q"}, "tag": "us-gaap:GrossProfit", "flags": [], "sign": 1, "role": "current_ytd"}, {"value": 31045000000.0, "period_start": "2024-11-04", "period_end": "2025-08-03", "source": {"accession": "0001730168-26-000080", "filed": "2026-09-10", "form": "10-Q"}, "tag": "us-gaap:GrossProfit", "flags": [], "sign": -1, "role": "prior_ytd"}]}</t>
        </is>
      </c>
    </row>
    <row r="5" ht="42" customHeight="1">
      <c r="A5" s="2" t="inlineStr">
        <is>
          <t>TTM</t>
        </is>
      </c>
      <c r="B5" s="2" t="inlineStr">
        <is>
          <t>rd</t>
        </is>
      </c>
      <c r="C5" s="2" t="inlineStr">
        <is>
          <t>2026-08-02</t>
        </is>
      </c>
      <c r="D5" s="3" t="n">
        <v>11836000000</v>
      </c>
      <c r="E5" s="2" t="inlineStr">
        <is>
          <t>USD</t>
        </is>
      </c>
      <c r="F5" s="2" t="inlineStr">
        <is>
          <t>constructed</t>
        </is>
      </c>
      <c r="G5" s="2" t="inlineStr">
        <is>
          <t>ttm</t>
        </is>
      </c>
      <c r="H5" s="2" t="inlineStr">
        <is>
          <t>https://www.sec.gov/Archives/edgar/data/1730168/000173016825000121/0001730168-25-000121-index.html
https://www.sec.gov/Archives/edgar/data/1730168/000173016826000080/0001730168-26-000080-index.html</t>
        </is>
      </c>
      <c r="I5" s="2" t="inlineStr">
        <is>
          <t>{"formula": "Annual + current YTD - prior YTD", "parts": [{"value": 10977000000.0, "period_start": "2024-11-04", "period_end": "2025-11-02", "source": {"accession": "0001730168-25-000121", "filed": "2025-12-18", "form": "10-K"}, "tag": "us-gaap:ResearchAndDevelopmentExpense", "flags": [], "sign": 1, "role": "annual"}, {"value": 8855000000.0, "period_start": "2025-11-03", "period_end": "2026-08-02", "source": {"accession": "0001730168-26-000080", "filed": "2026-09-10", "form": "10-Q"}, "tag": "us-gaap:ResearchAndDevelopmentExpense", "flags": [], "sign": 1, "role": "current_ytd"}, {"value": 7996000000.0, "period_start": "2024-11-04", "period_end": "2025-08-03", "source": {"accession": "0001730168-26-000080", "filed": "2026-09-10", "form": "10-Q"}, "tag": "us-gaap:ResearchAndDevelopmentExpense", "flags": [], "sign": -1, "role": "prior_ytd"}]}</t>
        </is>
      </c>
    </row>
    <row r="6" ht="42" customHeight="1">
      <c r="A6" s="2" t="inlineStr">
        <is>
          <t>TTM</t>
        </is>
      </c>
      <c r="B6" s="2" t="inlineStr">
        <is>
          <t>sga</t>
        </is>
      </c>
      <c r="C6" s="2" t="inlineStr">
        <is>
          <t>2026-08-02</t>
        </is>
      </c>
      <c r="D6" s="3" t="n">
        <v>4177000000</v>
      </c>
      <c r="E6" s="2" t="inlineStr">
        <is>
          <t>USD</t>
        </is>
      </c>
      <c r="F6" s="2" t="inlineStr">
        <is>
          <t>constructed</t>
        </is>
      </c>
      <c r="G6" s="2" t="inlineStr">
        <is>
          <t>ttm</t>
        </is>
      </c>
      <c r="H6" s="2" t="inlineStr">
        <is>
          <t>https://www.sec.gov/Archives/edgar/data/1730168/000173016825000121/0001730168-25-000121-index.html
https://www.sec.gov/Archives/edgar/data/1730168/000173016826000080/0001730168-26-000080-index.html</t>
        </is>
      </c>
      <c r="I6" s="2" t="inlineStr">
        <is>
          <t>{"formula": "Annual + current YTD - prior YTD", "parts": [{"value": 4211000000.0, "period_start": "2024-11-04", "period_end": "2025-11-02", "source": {"accession": "0001730168-25-000121", "filed": "2025-12-18", "form": "10-K"}, "tag": "us-gaap:SellingGeneralAndAdministrativeExpense", "flags": [], "sign": 1, "role": "annual"}, {"value": 3070000000.0, "period_start": "2025-11-03", "period_end": "2026-08-02", "source": {"accession": "0001730168-26-000080", "filed": "2026-09-10", "form": "10-Q"}, "tag": "us-gaap:SellingGeneralAndAdministrativeExpense", "flags": [], "sign": 1, "role": "current_ytd"}, {"value": 3104000000.0, "period_start": "2024-11-04", "period_end": "2025-08-03", "source": {"accession": "0001730168-26-000080", "filed": "2026-09-10", "form": "10-Q"}, "tag": "us-gaap:SellingGeneralAndAdministrativeExpense", "flags": [], "sign": -1, "role": "prior_ytd"}]}</t>
        </is>
      </c>
    </row>
    <row r="7" ht="42" customHeight="1">
      <c r="A7" s="2" t="inlineStr">
        <is>
          <t>TTM</t>
        </is>
      </c>
      <c r="B7" s="2" t="inlineStr">
        <is>
          <t>operating_income</t>
        </is>
      </c>
      <c r="C7" s="2" t="inlineStr">
        <is>
          <t>2026-08-02</t>
        </is>
      </c>
      <c r="D7" s="3" t="n">
        <v>42814000000</v>
      </c>
      <c r="E7" s="2" t="inlineStr">
        <is>
          <t>USD</t>
        </is>
      </c>
      <c r="F7" s="2" t="inlineStr">
        <is>
          <t>constructed</t>
        </is>
      </c>
      <c r="G7" s="2" t="inlineStr">
        <is>
          <t>ttm</t>
        </is>
      </c>
      <c r="H7" s="2" t="inlineStr">
        <is>
          <t>https://www.sec.gov/Archives/edgar/data/1730168/000173016825000121/0001730168-25-000121-index.html
https://www.sec.gov/Archives/edgar/data/1730168/000173016826000080/0001730168-26-000080-index.html</t>
        </is>
      </c>
      <c r="I7" s="2" t="inlineStr">
        <is>
          <t>{"formula": "Annual + current YTD - prior YTD", "parts": [{"value": 25484000000.0, "period_start": "2024-11-04", "period_end": "2025-11-02", "source": {"accession": "0001730168-25-000121", "filed": "2025-12-18", "form": "10-K"}, "tag": "us-gaap:OperatingIncomeLoss", "flags": [], "sign": 1, "role": "annual"}, {"value": 35306000000.0, "period_start": "2025-11-03", "period_end": "2026-08-02", "source": {"accession": "0001730168-26-000080", "filed": "2026-09-10", "form": "10-Q"}, "tag": "us-gaap:OperatingIncomeLoss", "flags": [], "sign": 1, "role": "current_ytd"}, {"value": 17976000000.0, "period_start": "2024-11-04", "period_end": "2025-08-03", "source": {"accession": "0001730168-26-000080", "filed": "2026-09-10", "form": "10-Q"}, "tag": "us-gaap:OperatingIncomeLoss", "flags": [], "sign": -1, "role": "prior_ytd"}]}</t>
        </is>
      </c>
    </row>
    <row r="8" ht="42" customHeight="1">
      <c r="A8" s="2" t="inlineStr">
        <is>
          <t>TTM</t>
        </is>
      </c>
      <c r="B8" s="2" t="inlineStr">
        <is>
          <t>interest_expense</t>
        </is>
      </c>
      <c r="C8" s="2" t="inlineStr">
        <is>
          <t>2026-08-02</t>
        </is>
      </c>
      <c r="D8" s="3" t="n">
        <v>3116000000</v>
      </c>
      <c r="E8" s="2" t="inlineStr">
        <is>
          <t>USD</t>
        </is>
      </c>
      <c r="F8" s="2" t="inlineStr">
        <is>
          <t>constructed</t>
        </is>
      </c>
      <c r="G8" s="2" t="inlineStr">
        <is>
          <t>ttm</t>
        </is>
      </c>
      <c r="H8" s="2" t="inlineStr">
        <is>
          <t>https://www.sec.gov/Archives/edgar/data/1730168/000173016825000121/0001730168-25-000121-index.html
https://www.sec.gov/Archives/edgar/data/1730168/000173016826000080/0001730168-26-000080-index.html</t>
        </is>
      </c>
      <c r="I8" s="2" t="inlineStr">
        <is>
          <t>{"formula": "Annual + current YTD - prior YTD", "parts": [{"value": 3210000000.0, "period_start": "2024-11-04", "period_end": "2025-11-02", "source": {"accession": "0001730168-25-000121", "filed": "2025-12-18", "form": "10-K"}, "tag": "us-gaap:InterestExpenseNonoperating", "flags": [], "sign": 1, "role": "annual"}, {"value": 2355000000.0, "period_start": "2025-11-03", "period_end": "2026-08-02", "source": {"accession": "0001730168-26-000080", "filed": "2026-09-10", "form": "10-Q"}, "tag": "us-gaap:InterestExpense", "flags": [], "sign": 1, "role": "current_ytd"}, {"value": 2449000000.0, "period_start": "2024-11-04", "period_end": "2025-08-03", "source": {"accession": "0001730168-26-000080", "filed": "2026-09-10", "form": "10-Q"}, "tag": "us-gaap:InterestExpense", "flags": [], "sign": -1, "role": "prior_ytd"}]}</t>
        </is>
      </c>
    </row>
    <row r="9" ht="42" customHeight="1">
      <c r="A9" s="2" t="inlineStr">
        <is>
          <t>TTM</t>
        </is>
      </c>
      <c r="B9" s="2" t="inlineStr">
        <is>
          <t>pretax_income</t>
        </is>
      </c>
      <c r="C9" s="2" t="inlineStr">
        <is>
          <t>2026-08-02</t>
        </is>
      </c>
      <c r="D9" s="3" t="n">
        <v>40469000000</v>
      </c>
      <c r="E9" s="2" t="inlineStr">
        <is>
          <t>USD</t>
        </is>
      </c>
      <c r="F9" s="2" t="inlineStr">
        <is>
          <t>constructed</t>
        </is>
      </c>
      <c r="G9" s="2" t="inlineStr">
        <is>
          <t>ttm</t>
        </is>
      </c>
      <c r="H9" s="2" t="inlineStr">
        <is>
          <t>https://www.sec.gov/Archives/edgar/data/1730168/000173016825000121/0001730168-25-000121-index.html
https://www.sec.gov/Archives/edgar/data/1730168/000173016826000080/0001730168-26-000080-index.html</t>
        </is>
      </c>
      <c r="I9" s="2" t="inlineStr">
        <is>
          <t>{"formula": "Annual + current YTD - prior YTD", "parts": [{"value": 22729000000.0, "period_start": "2024-11-04", "period_end": "2025-11-02", "source": {"accession": "0001730168-25-000121", "filed": "2025-12-18", "form": "10-K"}, "tag": "us-gaap:IncomeLossFromContinuingOperationsBeforeIncomeTaxesExtraordinaryItemsNoncontrollingInterest", "flags": [], "sign": 1, "role": "annual"}, {"value": 33600000000.0, "period_start": "2025-11-03", "period_end": "2026-08-02", "source": {"accession": "0001730168-26-000080", "filed": "2026-09-10", "form": "10-Q"}, "tag": "us-gaap:IncomeLossFromContinuingOperationsBeforeIncomeTaxesExtraordinaryItemsNoncontrollingInterest", "flags": [], "sign": 1, "role": "current_ytd"}, {"value": 15860000000.0, "period_start": "2024-11-04", "period_end": "2025-08-03", "source": {"accession": "0001730168-26-000080", "filed": "2026-09-10", "form": "10-Q"}, "tag": "us-gaap:IncomeLossFromContinuingOperationsBeforeIncomeTaxesExtraordinaryItemsNoncontrollingInterest", "flags": [], "sign": -1, "role": "prior_ytd"}]}</t>
        </is>
      </c>
    </row>
    <row r="10" ht="42" customHeight="1">
      <c r="A10" s="2" t="inlineStr">
        <is>
          <t>TTM</t>
        </is>
      </c>
      <c r="B10" s="2" t="inlineStr">
        <is>
          <t>income_tax</t>
        </is>
      </c>
      <c r="C10" s="2" t="inlineStr">
        <is>
          <t>2026-08-02</t>
        </is>
      </c>
      <c r="D10" s="3" t="n">
        <v>2204000000</v>
      </c>
      <c r="E10" s="2" t="inlineStr">
        <is>
          <t>USD</t>
        </is>
      </c>
      <c r="F10" s="2" t="inlineStr">
        <is>
          <t>constructed</t>
        </is>
      </c>
      <c r="G10" s="2" t="inlineStr">
        <is>
          <t>ttm</t>
        </is>
      </c>
      <c r="H10" s="2" t="inlineStr">
        <is>
          <t>https://www.sec.gov/Archives/edgar/data/1730168/000173016825000121/0001730168-25-000121-index.html
https://www.sec.gov/Archives/edgar/data/1730168/000173016826000080/0001730168-26-000080-index.html</t>
        </is>
      </c>
      <c r="I10" s="2" t="inlineStr">
        <is>
          <t>{"formula": "Annual + current YTD - prior YTD", "parts": [{"value": -397000000.0, "period_start": "2024-11-04", "period_end": "2025-11-02", "source": {"accession": "0001730168-25-000121", "filed": "2025-12-18", "form": "10-K"}, "tag": "us-gaap:IncomeTaxExpenseBenefit", "flags": [], "sign": 1, "role": "annual"}, {"value": 3853000000.0, "period_start": "2025-11-03", "period_end": "2026-08-02", "source": {"accession": "0001730168-26-000080", "filed": "2026-09-10", "form": "10-Q"}, "tag": "us-gaap:IncomeTaxExpenseBenefit", "flags": [], "sign": 1, "role": "current_ytd"}, {"value": 1252000000.0, "period_start": "2024-11-04", "period_end": "2025-08-03", "source": {"accession": "0001730168-26-000080", "filed": "2026-09-10", "form": "10-Q"}, "tag": "us-gaap:IncomeTaxExpenseBenefit", "flags": [], "sign": -1, "role": "prior_ytd"}]}</t>
        </is>
      </c>
    </row>
    <row r="11" ht="42" customHeight="1">
      <c r="A11" s="2" t="inlineStr">
        <is>
          <t>TTM</t>
        </is>
      </c>
      <c r="B11" s="2" t="inlineStr">
        <is>
          <t>net_income</t>
        </is>
      </c>
      <c r="C11" s="2" t="inlineStr">
        <is>
          <t>2026-08-02</t>
        </is>
      </c>
      <c r="D11" s="3" t="n">
        <v>38265000000</v>
      </c>
      <c r="E11" s="2" t="inlineStr">
        <is>
          <t>USD</t>
        </is>
      </c>
      <c r="F11" s="2" t="inlineStr">
        <is>
          <t>constructed</t>
        </is>
      </c>
      <c r="G11" s="2" t="inlineStr">
        <is>
          <t>ttm</t>
        </is>
      </c>
      <c r="H11" s="2" t="inlineStr">
        <is>
          <t>https://www.sec.gov/Archives/edgar/data/1730168/000173016825000121/0001730168-25-000121-index.html
https://www.sec.gov/Archives/edgar/data/1730168/000173016826000080/0001730168-26-000080-index.html</t>
        </is>
      </c>
      <c r="I11" s="2" t="inlineStr">
        <is>
          <t>{"formula": "Annual + current YTD - prior YTD", "parts": [{"value": 23126000000.0, "period_start": "2024-11-04", "period_end": "2025-11-02", "source": {"accession": "0001730168-25-000121", "filed": "2025-12-18", "form": "10-K"}, "tag": "us-gaap:ProfitLoss", "flags": [], "sign": 1, "role": "annual"}, {"value": 29747000000.0, "period_start": "2025-11-03", "period_end": "2026-08-02", "source": {"accession": "0001730168-26-000080", "filed": "2026-09-10", "form": "10-Q"}, "tag": "us-gaap:ProfitLoss", "flags": [], "sign": 1, "role": "current_ytd"}, {"value": 14608000000.0, "period_start": "2024-11-04", "period_end": "2025-08-03", "source": {"accession": "0001730168-26-000080", "filed": "2026-09-10", "form": "10-Q"}, "tag": "us-gaap:ProfitLoss", "flags": [], "sign": -1, "role": "prior_ytd"}]}</t>
        </is>
      </c>
    </row>
    <row r="12" ht="42" customHeight="1">
      <c r="A12" s="2" t="inlineStr">
        <is>
          <t>TTM</t>
        </is>
      </c>
      <c r="B12" s="2" t="inlineStr">
        <is>
          <t>d_and_a</t>
        </is>
      </c>
      <c r="C12" s="2" t="inlineStr">
        <is>
          <t>2026-08-02</t>
        </is>
      </c>
      <c r="D12" s="3" t="n">
        <v>8626000000</v>
      </c>
      <c r="E12" s="2" t="inlineStr">
        <is>
          <t>USD</t>
        </is>
      </c>
      <c r="F12" s="2" t="inlineStr">
        <is>
          <t>constructed</t>
        </is>
      </c>
      <c r="G12" s="2" t="inlineStr">
        <is>
          <t>ttm</t>
        </is>
      </c>
      <c r="H12" s="2" t="inlineStr">
        <is>
          <t>https://www.sec.gov/Archives/edgar/data/1730168/000173016825000121/0001730168-25-000121-index.html
https://www.sec.gov/Archives/edgar/data/1730168/000173016826000080/0001730168-26-000080-index.html</t>
        </is>
      </c>
      <c r="I12" s="2" t="inlineStr">
        <is>
          <t>{"formula": "Annual + current YTD - prior YTD", "parts": [{"value": 8636000000.0, "period_start": "2024-11-04", "period_end": "2025-11-02", "source": {"parts": [{"value": 574000000.0, "period_start": "2024-11-04", "period_end": "2025-11-02", "source": {"accession": "0001730168-25-000121", "filed": "2025-12-18", "form": "10-K"}, "tag": "us-gaap:Depreciation", "flags": []}, {"value": 8062000000.0, "period_start": "2024-11-04", "period_end": "2025-11-02", "source": {"accession": "0001730168-25-000121", "filed": "2025-12-18", "form": "10-K"}, "tag": "us-gaap:AmortizationOfIntangibleAssets", "flags": []}]}, "flags": ["constructed"], "sign": 1, "role": "annual"}, {"value": 6426000000.0, "period_start": "2025-11-03", "period_end": "2026-08-02", "source": {"parts": [{"value": 484000000.0, "period_start": "2025-11-03", "period_end": "2026-08-02", "source": {"accession": "0001730168-26-000080", "filed": "2026-09-10", "form": "10-Q"}, "tag": "us-gaap:Depreciation", "flags": []}, {"value": 5942000000.0, "period_start": "2025-11-03", "period_end": "2026-08-02", "source": {"accession": "0001730168-26-000080", "filed": "2026-09-10", "form": "10-Q"}, "tag": "us-gaap:AmortizationOfIntangibleAssets", "flags": []}]}, "flags": ["constructed"], "sign": 1, "role": "current_ytd"}, {"value": 6436000000.0, "period_start": "2024-11-04", "period_end": "2025-08-03", "source": {"parts": [{"value": 426000000.0, "period_start": "2024-11-04", "period_end": "2025-08-03", "source": {"accession": "0001730168-26-000080", "filed": "2026-09-10", "form": "10-Q"}, "tag": "us-gaap:Depreciation", "flags": []}, {"value": 6010000000.0, "period_start": "2024-11-04", "period_end": "2025-08-03", "source": {"accession": "0001730168-26-000080", "filed": "2026-09-10", "form": "10-Q"}, "tag": "us-gaap:AmortizationOfIntangibleAssets", "flags": []}]}, "flags": ["constructed"], "sign": -1, "role": "prior_ytd"}]}</t>
        </is>
      </c>
    </row>
    <row r="13" ht="42" customHeight="1">
      <c r="A13" s="2" t="inlineStr">
        <is>
          <t>TTM</t>
        </is>
      </c>
      <c r="B13" s="2" t="inlineStr">
        <is>
          <t>depreciation</t>
        </is>
      </c>
      <c r="C13" s="2" t="inlineStr">
        <is>
          <t>2026-08-02</t>
        </is>
      </c>
      <c r="D13" s="3" t="n">
        <v>632000000</v>
      </c>
      <c r="E13" s="2" t="inlineStr">
        <is>
          <t>USD</t>
        </is>
      </c>
      <c r="F13" s="2" t="inlineStr">
        <is>
          <t>constructed</t>
        </is>
      </c>
      <c r="G13" s="2" t="inlineStr">
        <is>
          <t>ttm</t>
        </is>
      </c>
      <c r="H13" s="2" t="inlineStr">
        <is>
          <t>https://www.sec.gov/Archives/edgar/data/1730168/000173016825000121/0001730168-25-000121-index.html
https://www.sec.gov/Archives/edgar/data/1730168/000173016826000080/0001730168-26-000080-index.html</t>
        </is>
      </c>
      <c r="I13" s="2" t="inlineStr">
        <is>
          <t>{"formula": "Annual + current YTD - prior YTD", "parts": [{"value": 574000000.0, "period_start": "2024-11-04", "period_end": "2025-11-02", "source": {"accession": "0001730168-25-000121", "filed": "2025-12-18", "form": "10-K"}, "tag": "us-gaap:Depreciation", "flags": [], "sign": 1, "role": "annual"}, {"value": 484000000.0, "period_start": "2025-11-03", "period_end": "2026-08-02", "source": {"accession": "0001730168-26-000080", "filed": "2026-09-10", "form": "10-Q"}, "tag": "us-gaap:Depreciation", "flags": [], "sign": 1, "role": "current_ytd"}, {"value": 426000000.0, "period_start": "2024-11-04", "period_end": "2025-08-03", "source": {"accession": "0001730168-26-000080", "filed": "2026-09-10", "form": "10-Q"}, "tag": "us-gaap:Depreciation", "flags": [], "sign": -1, "role": "prior_ytd"}]}</t>
        </is>
      </c>
    </row>
    <row r="14" ht="42" customHeight="1">
      <c r="A14" s="2" t="inlineStr">
        <is>
          <t>TTM</t>
        </is>
      </c>
      <c r="B14" s="2" t="inlineStr">
        <is>
          <t>amortization</t>
        </is>
      </c>
      <c r="C14" s="2" t="inlineStr">
        <is>
          <t>2026-08-02</t>
        </is>
      </c>
      <c r="D14" s="3" t="n">
        <v>7994000000</v>
      </c>
      <c r="E14" s="2" t="inlineStr">
        <is>
          <t>USD</t>
        </is>
      </c>
      <c r="F14" s="2" t="inlineStr">
        <is>
          <t>constructed</t>
        </is>
      </c>
      <c r="G14" s="2" t="inlineStr">
        <is>
          <t>ttm</t>
        </is>
      </c>
      <c r="H14" s="2" t="inlineStr">
        <is>
          <t>https://www.sec.gov/Archives/edgar/data/1730168/000173016825000121/0001730168-25-000121-index.html
https://www.sec.gov/Archives/edgar/data/1730168/000173016826000080/0001730168-26-000080-index.html</t>
        </is>
      </c>
      <c r="I14" s="2" t="inlineStr">
        <is>
          <t>{"formula": "Annual + current YTD - prior YTD", "parts": [{"value": 8062000000.0, "period_start": "2024-11-04", "period_end": "2025-11-02", "source": {"accession": "0001730168-25-000121", "filed": "2025-12-18", "form": "10-K"}, "tag": "us-gaap:AmortizationOfIntangibleAssets", "flags": [], "sign": 1, "role": "annual"}, {"value": 5942000000.0, "period_start": "2025-11-03", "period_end": "2026-08-02", "source": {"accession": "0001730168-26-000080", "filed": "2026-09-10", "form": "10-Q"}, "tag": "us-gaap:AmortizationOfIntangibleAssets", "flags": [], "sign": 1, "role": "current_ytd"}, {"value": 6010000000.0, "period_start": "2024-11-04", "period_end": "2025-08-03", "source": {"accession": "0001730168-26-000080", "filed": "2026-09-10", "form": "10-Q"}, "tag": "us-gaap:AmortizationOfIntangibleAssets", "flags": [], "sign": -1, "role": "prior_ytd"}]}</t>
        </is>
      </c>
    </row>
    <row r="15" ht="42" customHeight="1">
      <c r="A15" s="2" t="inlineStr">
        <is>
          <t>TTM</t>
        </is>
      </c>
      <c r="B15" s="2" t="inlineStr">
        <is>
          <t>ocf</t>
        </is>
      </c>
      <c r="C15" s="2" t="inlineStr">
        <is>
          <t>2026-08-02</t>
        </is>
      </c>
      <c r="D15" s="3" t="n">
        <v>40653000000</v>
      </c>
      <c r="E15" s="2" t="inlineStr">
        <is>
          <t>USD</t>
        </is>
      </c>
      <c r="F15" s="2" t="inlineStr">
        <is>
          <t>constructed</t>
        </is>
      </c>
      <c r="G15" s="2" t="inlineStr">
        <is>
          <t>ttm</t>
        </is>
      </c>
      <c r="H15" s="2" t="inlineStr">
        <is>
          <t>https://www.sec.gov/Archives/edgar/data/1730168/000173016825000121/0001730168-25-000121-index.html
https://www.sec.gov/Archives/edgar/data/1730168/000173016826000080/0001730168-26-000080-index.html</t>
        </is>
      </c>
      <c r="I15" s="2" t="inlineStr">
        <is>
          <t>{"formula": "Annual + current YTD - prior YTD", "parts": [{"value": 27537000000.0, "period_start": "2024-11-04", "period_end": "2025-11-02", "source": {"accession": "0001730168-25-000121", "filed": "2025-12-18", "form": "10-K"}, "tag": "us-gaap:NetCashProvidedByUsedInOperatingActivities", "flags": [], "sign": 1, "role": "annual"}, {"value": 32950000000.0, "period_start": "2025-11-03", "period_end": "2026-08-02", "source": {"accession": "0001730168-26-000080", "filed": "2026-09-10", "form": "10-Q"}, "tag": "us-gaap:NetCashProvidedByUsedInOperatingActivities", "flags": [], "sign": 1, "role": "current_ytd"}, {"value": 19834000000.0, "period_start": "2024-11-04", "period_end": "2025-08-03", "source": {"accession": "0001730168-26-000080", "filed": "2026-09-10", "form": "10-Q"}, "tag": "us-gaap:NetCashProvidedByUsedInOperatingActivities", "flags": [], "sign": -1, "role": "prior_ytd"}]}</t>
        </is>
      </c>
    </row>
    <row r="16" ht="42" customHeight="1">
      <c r="A16" s="2" t="inlineStr">
        <is>
          <t>TTM</t>
        </is>
      </c>
      <c r="B16" s="2" t="inlineStr">
        <is>
          <t>capex</t>
        </is>
      </c>
      <c r="C16" s="2" t="inlineStr">
        <is>
          <t>2026-08-02</t>
        </is>
      </c>
      <c r="D16" s="3" t="n">
        <v>1250000000</v>
      </c>
      <c r="E16" s="2" t="inlineStr">
        <is>
          <t>USD</t>
        </is>
      </c>
      <c r="F16" s="2" t="inlineStr">
        <is>
          <t>constructed</t>
        </is>
      </c>
      <c r="G16" s="2" t="inlineStr">
        <is>
          <t>ttm</t>
        </is>
      </c>
      <c r="H16" s="2" t="inlineStr">
        <is>
          <t>https://www.sec.gov/Archives/edgar/data/1730168/000173016825000121/0001730168-25-000121-index.html
https://www.sec.gov/Archives/edgar/data/1730168/000173016826000080/0001730168-26-000080-index.html</t>
        </is>
      </c>
      <c r="I16" s="2" t="inlineStr">
        <is>
          <t>{"formula": "Annual + current YTD - prior YTD", "parts": [{"value": 623000000.0, "period_start": "2024-11-04", "period_end": "2025-11-02", "source": {"accession": "0001730168-25-000121", "filed": "2025-12-18", "form": "10-K"}, "tag": "us-gaap:PaymentsToAcquirePropertyPlantAndEquipment", "flags": [], "sign": 1, "role": "annual"}, {"value": 1013000000.0, "period_start": "2025-11-03", "period_end": "2026-08-02", "source": {"accession": "0001730168-26-000080", "filed": "2026-09-10", "form": "10-Q"}, "tag": "us-gaap:PaymentsToAcquirePropertyPlantAndEquipment", "flags": [], "sign": 1, "role": "current_ytd"}, {"value": 386000000.0, "period_start": "2024-11-04", "period_end": "2025-08-03", "source": {"accession": "0001730168-26-000080", "filed": "2026-09-10", "form": "10-Q"}, "tag": "us-gaap:PaymentsToAcquirePropertyPlantAndEquipment", "flags": [], "sign": -1, "role": "prior_ytd"}]}</t>
        </is>
      </c>
    </row>
    <row r="17" ht="42" customHeight="1">
      <c r="A17" s="2" t="inlineStr">
        <is>
          <t>TTM</t>
        </is>
      </c>
      <c r="B17" s="2" t="inlineStr">
        <is>
          <t>sbc</t>
        </is>
      </c>
      <c r="C17" s="2" t="inlineStr">
        <is>
          <t>2026-08-02</t>
        </is>
      </c>
      <c r="D17" s="3" t="n">
        <v>8482000000</v>
      </c>
      <c r="E17" s="2" t="inlineStr">
        <is>
          <t>USD</t>
        </is>
      </c>
      <c r="F17" s="2" t="inlineStr">
        <is>
          <t>constructed</t>
        </is>
      </c>
      <c r="G17" s="2" t="inlineStr">
        <is>
          <t>ttm</t>
        </is>
      </c>
      <c r="H17" s="2" t="inlineStr">
        <is>
          <t>https://www.sec.gov/Archives/edgar/data/1730168/000173016825000121/0001730168-25-000121-index.html
https://www.sec.gov/Archives/edgar/data/1730168/000173016826000080/0001730168-26-000080-index.html</t>
        </is>
      </c>
      <c r="I17" s="2" t="inlineStr">
        <is>
          <t>{"formula": "Annual + current YTD - prior YTD", "parts": [{"value": 7568000000.0, "period_start": "2024-11-04", "period_end": "2025-11-02", "source": {"accession": "0001730168-25-000121", "filed": "2025-12-18", "form": "10-K"}, "tag": "us-gaap:ShareBasedCompensation", "flags": [], "sign": 1, "role": "annual"}, {"value": 6287000000.0, "period_start": "2025-11-03", "period_end": "2026-08-02", "source": {"accession": "0001730168-26-000080", "filed": "2026-09-10", "form": "10-Q"}, "tag": "us-gaap:ShareBasedCompensation", "flags": [], "sign": 1, "role": "current_ytd"}, {"value": 5373000000.0, "period_start": "2024-11-04", "period_end": "2025-08-03", "source": {"accession": "0001730168-26-000080", "filed": "2026-09-10", "form": "10-Q"}, "tag": "us-gaap:ShareBasedCompensation", "flags": [], "sign": -1, "role": "prior_ytd"}]}</t>
        </is>
      </c>
    </row>
    <row r="18" ht="42" customHeight="1">
      <c r="A18" s="2" t="inlineStr">
        <is>
          <t>TTM</t>
        </is>
      </c>
      <c r="B18" s="2" t="inlineStr">
        <is>
          <t>acquisitions</t>
        </is>
      </c>
      <c r="C18" s="2" t="inlineStr">
        <is>
          <t>2026-08-02</t>
        </is>
      </c>
      <c r="D18" s="2" t="n"/>
      <c r="E18" s="2" t="inlineStr">
        <is>
          <t>USD</t>
        </is>
      </c>
      <c r="F18" s="2" t="inlineStr">
        <is>
          <t>not_available</t>
        </is>
      </c>
      <c r="G18" s="2" t="inlineStr">
        <is>
          <t>ttm</t>
        </is>
      </c>
      <c r="H18" s="2" t="inlineStr">
        <is>
          <t>https://www.sec.gov/Archives/edgar/data/1730168/000173016825000121/0001730168-25-000121-index.html
https://www.sec.gov/Archives/edgar/data/1730168/000173016825000098/0001730168-25-000098-index.html</t>
        </is>
      </c>
      <c r="I18" s="2" t="inlineStr">
        <is>
          <t>{"formula": "Annual + current YTD - prior YTD", "parts": [{"value": 0.0, "period_start": "2024-11-04", "period_end": "2025-11-02", "source": {"accession": "0001730168-25-000121", "filed": "2025-12-18", "form": "10-K"}, "tag": "us-gaap:PaymentsToAcquireBusinessesNetOfCashAcquired", "flags": [], "sign": 1, "role": "annual"}, {"value": 0.0, "period_start": "2024-11-04", "period_end": "2025-08-03", "source": {"accession": "0001730168-25-000098", "filed": "2025-09-10", "form": "10-Q"}, "tag": "us-gaap:PaymentsToAcquireBusinessesNetOfCashAcquired", "flags": [], "sign": -1, "role": "prior_ytd"}]}</t>
        </is>
      </c>
    </row>
    <row r="19" ht="42" customHeight="1">
      <c r="A19" s="2" t="inlineStr">
        <is>
          <t>TTM</t>
        </is>
      </c>
      <c r="B19" s="2" t="inlineStr">
        <is>
          <t>buybacks</t>
        </is>
      </c>
      <c r="C19" s="2" t="inlineStr">
        <is>
          <t>2026-08-02</t>
        </is>
      </c>
      <c r="D19" s="3" t="n">
        <v>8450000000</v>
      </c>
      <c r="E19" s="2" t="inlineStr">
        <is>
          <t>USD</t>
        </is>
      </c>
      <c r="F19" s="2" t="inlineStr">
        <is>
          <t>constructed</t>
        </is>
      </c>
      <c r="G19" s="2" t="inlineStr">
        <is>
          <t>ttm</t>
        </is>
      </c>
      <c r="H19" s="2" t="inlineStr">
        <is>
          <t>https://www.sec.gov/Archives/edgar/data/1730168/000173016825000121/0001730168-25-000121-index.html
https://www.sec.gov/Archives/edgar/data/1730168/000173016826000080/0001730168-26-000080-index.html</t>
        </is>
      </c>
      <c r="I19" s="2" t="inlineStr">
        <is>
          <t>{"formula": "Annual + current YTD - prior YTD", "parts": [{"value": 2450000000.0, "period_start": "2024-11-04", "period_end": "2025-11-02", "source": {"accession": "0001730168-25-000121", "filed": "2025-12-18", "form": "10-K"}, "tag": "us-gaap:PaymentsForRepurchaseOfCommonStock", "flags": [], "sign": 1, "role": "annual"}, {"value": 8450000000.0, "period_start": "2025-11-03", "period_end": "2026-08-02", "source": {"accession": "0001730168-26-000080", "filed": "2026-09-10", "form": "10-Q"}, "tag": "us-gaap:PaymentsForRepurchaseOfCommonStock", "flags": [], "sign": 1, "role": "current_ytd"}, {"value": 2450000000.0, "period_start": "2024-11-04", "period_end": "2025-08-03", "source": {"accession": "0001730168-26-000080", "filed": "2026-09-10", "form": "10-Q"}, "tag": "us-gaap:PaymentsForRepurchaseOfCommonStock", "flags": [], "sign": -1, "role": "prior_ytd"}]}</t>
        </is>
      </c>
    </row>
    <row r="20" ht="42" customHeight="1">
      <c r="A20" s="2" t="inlineStr">
        <is>
          <t>TTM</t>
        </is>
      </c>
      <c r="B20" s="2" t="inlineStr">
        <is>
          <t>dividends</t>
        </is>
      </c>
      <c r="C20" s="2" t="inlineStr">
        <is>
          <t>2026-08-02</t>
        </is>
      </c>
      <c r="D20" s="3" t="n">
        <v>12078000000</v>
      </c>
      <c r="E20" s="2" t="inlineStr">
        <is>
          <t>USD</t>
        </is>
      </c>
      <c r="F20" s="2" t="inlineStr">
        <is>
          <t>constructed</t>
        </is>
      </c>
      <c r="G20" s="2" t="inlineStr">
        <is>
          <t>ttm</t>
        </is>
      </c>
      <c r="H20" s="2" t="inlineStr">
        <is>
          <t>https://www.sec.gov/Archives/edgar/data/1730168/000173016825000121/0001730168-25-000121-index.html
https://www.sec.gov/Archives/edgar/data/1730168/000173016826000080/0001730168-26-000080-index.html</t>
        </is>
      </c>
      <c r="I20" s="2" t="inlineStr">
        <is>
          <t>{"formula": "Annual + current YTD - prior YTD", "parts": [{"value": 11142000000.0, "period_start": "2024-11-04", "period_end": "2025-11-02", "source": {"accession": "0001730168-25-000121", "filed": "2025-12-18", "form": "10-K"}, "tag": "us-gaap:PaymentsOfDividends", "flags": [], "sign": 1, "role": "annual"}, {"value": 9281000000.0, "period_start": "2025-11-03", "period_end": "2026-08-02", "source": {"accession": "0001730168-26-000080", "filed": "2026-09-10", "form": "10-Q"}, "tag": "us-gaap:PaymentsOfDividends", "flags": [], "sign": 1, "role": "current_ytd"}, {"value": 8345000000.0, "period_start": "2024-11-04", "period_end": "2025-08-03", "source": {"accession": "0001730168-26-000080", "filed": "2026-09-10", "form": "10-Q"}, "tag": "us-gaap:PaymentsOfDividends", "flags": [], "sign": -1, "role": "prior_ytd"}]}</t>
        </is>
      </c>
    </row>
    <row r="21" ht="42" customHeight="1">
      <c r="A21" s="2" t="inlineStr">
        <is>
          <t>TTM</t>
        </is>
      </c>
      <c r="B21" s="2" t="inlineStr">
        <is>
          <t>debt_issued</t>
        </is>
      </c>
      <c r="C21" s="2" t="inlineStr">
        <is>
          <t>2026-08-02</t>
        </is>
      </c>
      <c r="D21" s="3" t="n">
        <v>9445000000</v>
      </c>
      <c r="E21" s="2" t="inlineStr">
        <is>
          <t>USD</t>
        </is>
      </c>
      <c r="F21" s="2" t="inlineStr">
        <is>
          <t>constructed</t>
        </is>
      </c>
      <c r="G21" s="2" t="inlineStr">
        <is>
          <t>ttm</t>
        </is>
      </c>
      <c r="H21" s="2" t="inlineStr">
        <is>
          <t>https://www.sec.gov/Archives/edgar/data/1730168/000173016825000121/0001730168-25-000121-index.html
https://www.sec.gov/Archives/edgar/data/1730168/000173016826000080/0001730168-26-000080-index.html</t>
        </is>
      </c>
      <c r="I21" s="2" t="inlineStr">
        <is>
          <t>{"formula": "Annual + current YTD - prior YTD", "parts": [{"value": 15666000000.0, "period_start": "2024-11-04", "period_end": "2025-11-02", "source": {"accession": "0001730168-25-000121", "filed": "2025-12-18", "form": "10-K"}, "tag": "us-gaap:ProceedsFromIssuanceOfLongTermDebt", "flags": [], "sign": 1, "role": "annual"}, {"value": 4474000000.0, "period_start": "2025-11-03", "period_end": "2026-08-02", "source": {"accession": "0001730168-26-000080", "filed": "2026-09-10", "form": "10-Q"}, "tag": "us-gaap:ProceedsFromIssuanceOfLongTermDebt", "flags": [], "sign": 1, "role": "current_ytd"}, {"value": 10695000000.0, "period_start": "2024-11-04", "period_end": "2025-08-03", "source": {"accession": "0001730168-26-000080", "filed": "2026-09-10", "form": "10-Q"}, "tag": "us-gaap:ProceedsFromIssuanceOfLongTermDebt", "flags": [], "sign": -1, "role": "prior_ytd"}]}</t>
        </is>
      </c>
    </row>
    <row r="22" ht="42" customHeight="1">
      <c r="A22" s="2" t="inlineStr">
        <is>
          <t>TTM</t>
        </is>
      </c>
      <c r="B22" s="2" t="inlineStr">
        <is>
          <t>debt_repaid</t>
        </is>
      </c>
      <c r="C22" s="2" t="inlineStr">
        <is>
          <t>2026-08-02</t>
        </is>
      </c>
      <c r="D22" s="3" t="n">
        <v>14166000000</v>
      </c>
      <c r="E22" s="2" t="inlineStr">
        <is>
          <t>USD</t>
        </is>
      </c>
      <c r="F22" s="2" t="inlineStr">
        <is>
          <t>constructed</t>
        </is>
      </c>
      <c r="G22" s="2" t="inlineStr">
        <is>
          <t>ttm</t>
        </is>
      </c>
      <c r="H22" s="2" t="inlineStr">
        <is>
          <t>https://www.sec.gov/Archives/edgar/data/1730168/000173016825000121/0001730168-25-000121-index.html
https://www.sec.gov/Archives/edgar/data/1730168/000173016826000080/0001730168-26-000080-index.html</t>
        </is>
      </c>
      <c r="I22" s="2" t="inlineStr">
        <is>
          <t>{"formula": "Annual + current YTD - prior YTD", "parts": [{"value": 18478000000.0, "period_start": "2024-11-04", "period_end": "2025-11-02", "source": {"accession": "0001730168-25-000121", "filed": "2025-12-18", "form": "10-K"}, "tag": "us-gaap:RepaymentsOfDebt", "flags": [], "sign": 1, "role": "annual"}, {"value": 10528000000.0, "period_start": "2025-11-03", "period_end": "2026-08-02", "source": {"accession": "0001730168-26-000080", "filed": "2026-09-10", "form": "10-Q"}, "tag": "us-gaap:RepaymentsOfDebt", "flags": [], "sign": 1, "role": "current_ytd"}, {"value": 14840000000.0, "period_start": "2024-11-04", "period_end": "2025-08-03", "source": {"accession": "0001730168-26-000080", "filed": "2026-09-10", "form": "10-Q"}, "tag": "us-gaap:RepaymentsOfDebt", "flags": [], "sign": -1, "role": "prior_ytd"}]}</t>
        </is>
      </c>
    </row>
    <row r="23" ht="42" customHeight="1">
      <c r="A23" s="2" t="inlineStr">
        <is>
          <t>TTM balance sheet</t>
        </is>
      </c>
      <c r="B23" s="2" t="inlineStr">
        <is>
          <t>cash_sti</t>
        </is>
      </c>
      <c r="C23" s="2" t="inlineStr">
        <is>
          <t>2026-08-02</t>
        </is>
      </c>
      <c r="D23" s="3" t="n">
        <v>23975000000</v>
      </c>
      <c r="E23" s="2" t="inlineStr">
        <is>
          <t>USD</t>
        </is>
      </c>
      <c r="F23" s="2" t="inlineStr">
        <is>
          <t>constructed</t>
        </is>
      </c>
      <c r="G23" s="2" t="inlineStr">
        <is>
          <t>constructed</t>
        </is>
      </c>
      <c r="H23" s="2" t="inlineStr">
        <is>
          <t>https://www.sec.gov/Archives/edgar/data/1730168/000173016826000080/0001730168-26-000080-index.html</t>
        </is>
      </c>
      <c r="I23" s="2" t="inlineStr">
        <is>
          <t>{"parts": [{"tag": "us-gaap:CashAndCashEquivalentsAtCarryingValue", "value": 23975000000.0, "sign": 1, "accession": "0001730168-26-000080"}]}</t>
        </is>
      </c>
    </row>
    <row r="24" ht="42" customHeight="1">
      <c r="A24" s="2" t="inlineStr">
        <is>
          <t>TTM balance sheet</t>
        </is>
      </c>
      <c r="B24" s="2" t="inlineStr">
        <is>
          <t>cash_sti</t>
        </is>
      </c>
      <c r="C24" s="2" t="inlineStr">
        <is>
          <t>2025-08-03</t>
        </is>
      </c>
      <c r="D24" s="3" t="n">
        <v>10718000000</v>
      </c>
      <c r="E24" s="2" t="inlineStr">
        <is>
          <t>USD</t>
        </is>
      </c>
      <c r="F24" s="2" t="inlineStr">
        <is>
          <t>constructed</t>
        </is>
      </c>
      <c r="G24" s="2" t="inlineStr">
        <is>
          <t>constructed</t>
        </is>
      </c>
      <c r="H24" s="2" t="inlineStr">
        <is>
          <t>https://www.sec.gov/Archives/edgar/data/1730168/000173016825000098/0001730168-25-000098-index.html</t>
        </is>
      </c>
      <c r="I24" s="2" t="inlineStr">
        <is>
          <t>{"parts": [{"tag": "us-gaap:CashAndCashEquivalentsAtCarryingValue", "value": 10718000000.0, "sign": 1, "accession": "0001730168-25-000098"}]}</t>
        </is>
      </c>
    </row>
    <row r="25" ht="42" customHeight="1">
      <c r="A25" s="2" t="inlineStr">
        <is>
          <t>TTM balance sheet</t>
        </is>
      </c>
      <c r="B25" s="2" t="inlineStr">
        <is>
          <t>receivables</t>
        </is>
      </c>
      <c r="C25" s="2" t="inlineStr">
        <is>
          <t>2026-08-02</t>
        </is>
      </c>
      <c r="D25" s="3" t="n">
        <v>13707000000</v>
      </c>
      <c r="E25" s="2" t="inlineStr">
        <is>
          <t>USD</t>
        </is>
      </c>
      <c r="F25" s="2" t="inlineStr">
        <is>
          <t>reported</t>
        </is>
      </c>
      <c r="G25" s="2" t="inlineStr"/>
      <c r="H25" s="2" t="inlineStr">
        <is>
          <t>https://www.sec.gov/Archives/edgar/data/1730168/000173016826000080/0001730168-26-000080-index.html</t>
        </is>
      </c>
      <c r="I25" s="2" t="inlineStr">
        <is>
          <t>{"tag": "us-gaap:AccountsReceivableNetCurrent", "form": "10-Q", "accession": "0001730168-26-000080", "filed": "2026-09-10"}</t>
        </is>
      </c>
    </row>
    <row r="26" ht="42" customHeight="1">
      <c r="A26" s="2" t="inlineStr">
        <is>
          <t>TTM balance sheet</t>
        </is>
      </c>
      <c r="B26" s="2" t="inlineStr">
        <is>
          <t>receivables</t>
        </is>
      </c>
      <c r="C26" s="2" t="inlineStr">
        <is>
          <t>2025-08-03</t>
        </is>
      </c>
      <c r="D26" s="3" t="n">
        <v>6494000000</v>
      </c>
      <c r="E26" s="2" t="inlineStr">
        <is>
          <t>USD</t>
        </is>
      </c>
      <c r="F26" s="2" t="inlineStr">
        <is>
          <t>reported</t>
        </is>
      </c>
      <c r="G26" s="2" t="inlineStr"/>
      <c r="H26" s="2" t="inlineStr">
        <is>
          <t>https://www.sec.gov/Archives/edgar/data/1730168/000173016825000098/0001730168-25-000098-index.html</t>
        </is>
      </c>
      <c r="I26" s="2" t="inlineStr">
        <is>
          <t>{"tag": "us-gaap:AccountsReceivableNetCurrent", "form": "10-Q", "accession": "0001730168-25-000098", "filed": "2025-09-10"}</t>
        </is>
      </c>
    </row>
    <row r="27" ht="42" customHeight="1">
      <c r="A27" s="2" t="inlineStr">
        <is>
          <t>TTM balance sheet</t>
        </is>
      </c>
      <c r="B27" s="2" t="inlineStr">
        <is>
          <t>inventory</t>
        </is>
      </c>
      <c r="C27" s="2" t="inlineStr">
        <is>
          <t>2026-08-02</t>
        </is>
      </c>
      <c r="D27" s="3" t="n">
        <v>4523000000</v>
      </c>
      <c r="E27" s="2" t="inlineStr">
        <is>
          <t>USD</t>
        </is>
      </c>
      <c r="F27" s="2" t="inlineStr">
        <is>
          <t>reported</t>
        </is>
      </c>
      <c r="G27" s="2" t="inlineStr"/>
      <c r="H27" s="2" t="inlineStr">
        <is>
          <t>https://www.sec.gov/Archives/edgar/data/1730168/000173016826000080/0001730168-26-000080-index.html</t>
        </is>
      </c>
      <c r="I27" s="2" t="inlineStr">
        <is>
          <t>{"tag": "us-gaap:InventoryNet", "form": "10-Q", "accession": "0001730168-26-000080", "filed": "2026-09-10"}</t>
        </is>
      </c>
    </row>
    <row r="28" ht="42" customHeight="1">
      <c r="A28" s="2" t="inlineStr">
        <is>
          <t>TTM balance sheet</t>
        </is>
      </c>
      <c r="B28" s="2" t="inlineStr">
        <is>
          <t>inventory</t>
        </is>
      </c>
      <c r="C28" s="2" t="inlineStr">
        <is>
          <t>2025-08-03</t>
        </is>
      </c>
      <c r="D28" s="3" t="n">
        <v>2180000000</v>
      </c>
      <c r="E28" s="2" t="inlineStr">
        <is>
          <t>USD</t>
        </is>
      </c>
      <c r="F28" s="2" t="inlineStr">
        <is>
          <t>reported</t>
        </is>
      </c>
      <c r="G28" s="2" t="inlineStr"/>
      <c r="H28" s="2" t="inlineStr">
        <is>
          <t>https://www.sec.gov/Archives/edgar/data/1730168/000173016825000098/0001730168-25-000098-index.html</t>
        </is>
      </c>
      <c r="I28" s="2" t="inlineStr">
        <is>
          <t>{"tag": "us-gaap:InventoryNet", "form": "10-Q", "accession": "0001730168-25-000098", "filed": "2025-09-10"}</t>
        </is>
      </c>
    </row>
    <row r="29" ht="42" customHeight="1">
      <c r="A29" s="2" t="inlineStr">
        <is>
          <t>TTM balance sheet</t>
        </is>
      </c>
      <c r="B29" s="2" t="inlineStr">
        <is>
          <t>current_assets</t>
        </is>
      </c>
      <c r="C29" s="2" t="inlineStr">
        <is>
          <t>2026-08-02</t>
        </is>
      </c>
      <c r="D29" s="3" t="n">
        <v>52173000000</v>
      </c>
      <c r="E29" s="2" t="inlineStr">
        <is>
          <t>USD</t>
        </is>
      </c>
      <c r="F29" s="2" t="inlineStr">
        <is>
          <t>reported</t>
        </is>
      </c>
      <c r="G29" s="2" t="inlineStr"/>
      <c r="H29" s="2" t="inlineStr">
        <is>
          <t>https://www.sec.gov/Archives/edgar/data/1730168/000173016826000080/0001730168-26-000080-index.html</t>
        </is>
      </c>
      <c r="I29" s="2" t="inlineStr">
        <is>
          <t>{"tag": "us-gaap:AssetsCurrent", "form": "10-Q", "accession": "0001730168-26-000080", "filed": "2026-09-10"}</t>
        </is>
      </c>
    </row>
    <row r="30" ht="42" customHeight="1">
      <c r="A30" s="2" t="inlineStr">
        <is>
          <t>TTM balance sheet</t>
        </is>
      </c>
      <c r="B30" s="2" t="inlineStr">
        <is>
          <t>current_assets</t>
        </is>
      </c>
      <c r="C30" s="2" t="inlineStr">
        <is>
          <t>2025-08-03</t>
        </is>
      </c>
      <c r="D30" s="3" t="n">
        <v>24998000000</v>
      </c>
      <c r="E30" s="2" t="inlineStr">
        <is>
          <t>USD</t>
        </is>
      </c>
      <c r="F30" s="2" t="inlineStr">
        <is>
          <t>reported</t>
        </is>
      </c>
      <c r="G30" s="2" t="inlineStr"/>
      <c r="H30" s="2" t="inlineStr">
        <is>
          <t>https://www.sec.gov/Archives/edgar/data/1730168/000173016825000098/0001730168-25-000098-index.html</t>
        </is>
      </c>
      <c r="I30" s="2" t="inlineStr">
        <is>
          <t>{"tag": "us-gaap:AssetsCurrent", "form": "10-Q", "accession": "0001730168-25-000098", "filed": "2025-09-10"}</t>
        </is>
      </c>
    </row>
    <row r="31" ht="42" customHeight="1">
      <c r="A31" s="2" t="inlineStr">
        <is>
          <t>TTM balance sheet</t>
        </is>
      </c>
      <c r="B31" s="2" t="inlineStr">
        <is>
          <t>ppe</t>
        </is>
      </c>
      <c r="C31" s="2" t="inlineStr">
        <is>
          <t>2026-08-02</t>
        </is>
      </c>
      <c r="D31" s="3" t="n">
        <v>3144000000</v>
      </c>
      <c r="E31" s="2" t="inlineStr">
        <is>
          <t>USD</t>
        </is>
      </c>
      <c r="F31" s="2" t="inlineStr">
        <is>
          <t>reported</t>
        </is>
      </c>
      <c r="G31" s="2" t="inlineStr"/>
      <c r="H31" s="2" t="inlineStr">
        <is>
          <t>https://www.sec.gov/Archives/edgar/data/1730168/000173016826000080/0001730168-26-000080-index.html</t>
        </is>
      </c>
      <c r="I31" s="2" t="inlineStr">
        <is>
          <t>{"tag": "us-gaap:PropertyPlantAndEquipmentNet", "form": "10-Q", "accession": "0001730168-26-000080", "filed": "2026-09-10"}</t>
        </is>
      </c>
    </row>
    <row r="32" ht="42" customHeight="1">
      <c r="A32" s="2" t="inlineStr">
        <is>
          <t>TTM balance sheet</t>
        </is>
      </c>
      <c r="B32" s="2" t="inlineStr">
        <is>
          <t>ppe</t>
        </is>
      </c>
      <c r="C32" s="2" t="inlineStr">
        <is>
          <t>2025-08-03</t>
        </is>
      </c>
      <c r="D32" s="3" t="n">
        <v>2451000000</v>
      </c>
      <c r="E32" s="2" t="inlineStr">
        <is>
          <t>USD</t>
        </is>
      </c>
      <c r="F32" s="2" t="inlineStr">
        <is>
          <t>reported</t>
        </is>
      </c>
      <c r="G32" s="2" t="inlineStr"/>
      <c r="H32" s="2" t="inlineStr">
        <is>
          <t>https://www.sec.gov/Archives/edgar/data/1730168/000173016825000098/0001730168-25-000098-index.html</t>
        </is>
      </c>
      <c r="I32" s="2" t="inlineStr">
        <is>
          <t>{"tag": "us-gaap:PropertyPlantAndEquipmentNet", "form": "10-Q", "accession": "0001730168-25-000098", "filed": "2025-09-10"}</t>
        </is>
      </c>
    </row>
    <row r="33" ht="42" customHeight="1">
      <c r="A33" s="2" t="inlineStr">
        <is>
          <t>TTM balance sheet</t>
        </is>
      </c>
      <c r="B33" s="2" t="inlineStr">
        <is>
          <t>goodwill</t>
        </is>
      </c>
      <c r="C33" s="2" t="inlineStr">
        <is>
          <t>2026-08-02</t>
        </is>
      </c>
      <c r="D33" s="3" t="n">
        <v>97801000000</v>
      </c>
      <c r="E33" s="2" t="inlineStr">
        <is>
          <t>USD</t>
        </is>
      </c>
      <c r="F33" s="2" t="inlineStr">
        <is>
          <t>reported</t>
        </is>
      </c>
      <c r="G33" s="2" t="inlineStr"/>
      <c r="H33" s="2" t="inlineStr">
        <is>
          <t>https://www.sec.gov/Archives/edgar/data/1730168/000173016826000080/0001730168-26-000080-index.html</t>
        </is>
      </c>
      <c r="I33" s="2" t="inlineStr">
        <is>
          <t>{"tag": "us-gaap:Goodwill", "form": "10-Q", "accession": "0001730168-26-000080", "filed": "2026-09-10"}</t>
        </is>
      </c>
    </row>
    <row r="34" ht="42" customHeight="1">
      <c r="A34" s="2" t="inlineStr">
        <is>
          <t>TTM balance sheet</t>
        </is>
      </c>
      <c r="B34" s="2" t="inlineStr">
        <is>
          <t>goodwill</t>
        </is>
      </c>
      <c r="C34" s="2" t="inlineStr">
        <is>
          <t>2025-08-03</t>
        </is>
      </c>
      <c r="D34" s="3" t="n">
        <v>97801000000</v>
      </c>
      <c r="E34" s="2" t="inlineStr">
        <is>
          <t>USD</t>
        </is>
      </c>
      <c r="F34" s="2" t="inlineStr">
        <is>
          <t>reported</t>
        </is>
      </c>
      <c r="G34" s="2" t="inlineStr"/>
      <c r="H34" s="2" t="inlineStr">
        <is>
          <t>https://www.sec.gov/Archives/edgar/data/1730168/000173016825000098/0001730168-25-000098-index.html</t>
        </is>
      </c>
      <c r="I34" s="2" t="inlineStr">
        <is>
          <t>{"tag": "us-gaap:Goodwill", "form": "10-Q", "accession": "0001730168-25-000098", "filed": "2025-09-10"}</t>
        </is>
      </c>
    </row>
    <row r="35" ht="42" customHeight="1">
      <c r="A35" s="2" t="inlineStr">
        <is>
          <t>TTM balance sheet</t>
        </is>
      </c>
      <c r="B35" s="2" t="inlineStr">
        <is>
          <t>intangibles</t>
        </is>
      </c>
      <c r="C35" s="2" t="inlineStr">
        <is>
          <t>2026-08-02</t>
        </is>
      </c>
      <c r="D35" s="3" t="n">
        <v>26325000000</v>
      </c>
      <c r="E35" s="2" t="inlineStr">
        <is>
          <t>USD</t>
        </is>
      </c>
      <c r="F35" s="2" t="inlineStr">
        <is>
          <t>reported</t>
        </is>
      </c>
      <c r="G35" s="2" t="inlineStr"/>
      <c r="H35" s="2" t="inlineStr">
        <is>
          <t>https://www.sec.gov/Archives/edgar/data/1730168/000173016826000080/0001730168-26-000080-index.html</t>
        </is>
      </c>
      <c r="I35" s="2" t="inlineStr">
        <is>
          <t>{"tag": "us-gaap:IntangibleAssetsNetExcludingGoodwill", "form": "10-Q", "accession": "0001730168-26-000080", "filed": "2026-09-10"}</t>
        </is>
      </c>
    </row>
    <row r="36" ht="42" customHeight="1">
      <c r="A36" s="2" t="inlineStr">
        <is>
          <t>TTM balance sheet</t>
        </is>
      </c>
      <c r="B36" s="2" t="inlineStr">
        <is>
          <t>intangibles</t>
        </is>
      </c>
      <c r="C36" s="2" t="inlineStr">
        <is>
          <t>2025-08-03</t>
        </is>
      </c>
      <c r="D36" s="3" t="n">
        <v>34344000000</v>
      </c>
      <c r="E36" s="2" t="inlineStr">
        <is>
          <t>USD</t>
        </is>
      </c>
      <c r="F36" s="2" t="inlineStr">
        <is>
          <t>reported</t>
        </is>
      </c>
      <c r="G36" s="2" t="inlineStr">
        <is>
          <t>tag_conflict</t>
        </is>
      </c>
      <c r="H36" s="2" t="inlineStr">
        <is>
          <t>https://www.sec.gov/Archives/edgar/data/1730168/000173016825000098/0001730168-25-000098-index.html</t>
        </is>
      </c>
      <c r="I36" s="2" t="inlineStr">
        <is>
          <t>{"tag": "us-gaap:IntangibleAssetsNetExcludingGoodwill", "form": "10-Q", "accession": "0001730168-25-000098", "filed": "2025-09-10"}</t>
        </is>
      </c>
    </row>
    <row r="37" ht="42" customHeight="1">
      <c r="A37" s="2" t="inlineStr">
        <is>
          <t>TTM balance sheet</t>
        </is>
      </c>
      <c r="B37" s="2" t="inlineStr">
        <is>
          <t>total_assets</t>
        </is>
      </c>
      <c r="C37" s="2" t="inlineStr">
        <is>
          <t>2026-08-02</t>
        </is>
      </c>
      <c r="D37" s="3" t="n">
        <v>188148000000</v>
      </c>
      <c r="E37" s="2" t="inlineStr">
        <is>
          <t>USD</t>
        </is>
      </c>
      <c r="F37" s="2" t="inlineStr">
        <is>
          <t>reported</t>
        </is>
      </c>
      <c r="G37" s="2" t="inlineStr"/>
      <c r="H37" s="2" t="inlineStr">
        <is>
          <t>https://www.sec.gov/Archives/edgar/data/1730168/000173016826000080/0001730168-26-000080-index.html</t>
        </is>
      </c>
      <c r="I37" s="2" t="inlineStr">
        <is>
          <t>{"tag": "us-gaap:Assets", "form": "10-Q", "accession": "0001730168-26-000080", "filed": "2026-09-10"}</t>
        </is>
      </c>
    </row>
    <row r="38" ht="42" customHeight="1">
      <c r="A38" s="2" t="inlineStr">
        <is>
          <t>TTM balance sheet</t>
        </is>
      </c>
      <c r="B38" s="2" t="inlineStr">
        <is>
          <t>total_assets</t>
        </is>
      </c>
      <c r="C38" s="2" t="inlineStr">
        <is>
          <t>2025-08-03</t>
        </is>
      </c>
      <c r="D38" s="3" t="n">
        <v>165621000000</v>
      </c>
      <c r="E38" s="2" t="inlineStr">
        <is>
          <t>USD</t>
        </is>
      </c>
      <c r="F38" s="2" t="inlineStr">
        <is>
          <t>reported</t>
        </is>
      </c>
      <c r="G38" s="2" t="inlineStr"/>
      <c r="H38" s="2" t="inlineStr">
        <is>
          <t>https://www.sec.gov/Archives/edgar/data/1730168/000173016825000098/0001730168-25-000098-index.html</t>
        </is>
      </c>
      <c r="I38" s="2" t="inlineStr">
        <is>
          <t>{"tag": "us-gaap:Assets", "form": "10-Q", "accession": "0001730168-25-000098", "filed": "2025-09-10"}</t>
        </is>
      </c>
    </row>
    <row r="39" ht="42" customHeight="1">
      <c r="A39" s="2" t="inlineStr">
        <is>
          <t>TTM balance sheet</t>
        </is>
      </c>
      <c r="B39" s="2" t="inlineStr">
        <is>
          <t>payables</t>
        </is>
      </c>
      <c r="C39" s="2" t="inlineStr">
        <is>
          <t>2026-08-02</t>
        </is>
      </c>
      <c r="D39" s="3" t="n">
        <v>4000000000</v>
      </c>
      <c r="E39" s="2" t="inlineStr">
        <is>
          <t>USD</t>
        </is>
      </c>
      <c r="F39" s="2" t="inlineStr">
        <is>
          <t>reported</t>
        </is>
      </c>
      <c r="G39" s="2" t="inlineStr"/>
      <c r="H39" s="2" t="inlineStr">
        <is>
          <t>https://www.sec.gov/Archives/edgar/data/1730168/000173016826000080/0001730168-26-000080-index.html</t>
        </is>
      </c>
      <c r="I39" s="2" t="inlineStr">
        <is>
          <t>{"tag": "us-gaap:AccountsPayableCurrent", "form": "10-Q", "accession": "0001730168-26-000080", "filed": "2026-09-10"}</t>
        </is>
      </c>
    </row>
    <row r="40" ht="42" customHeight="1">
      <c r="A40" s="2" t="inlineStr">
        <is>
          <t>TTM balance sheet</t>
        </is>
      </c>
      <c r="B40" s="2" t="inlineStr">
        <is>
          <t>payables</t>
        </is>
      </c>
      <c r="C40" s="2" t="inlineStr">
        <is>
          <t>2025-08-03</t>
        </is>
      </c>
      <c r="D40" s="3" t="n">
        <v>1432000000</v>
      </c>
      <c r="E40" s="2" t="inlineStr">
        <is>
          <t>USD</t>
        </is>
      </c>
      <c r="F40" s="2" t="inlineStr">
        <is>
          <t>reported</t>
        </is>
      </c>
      <c r="G40" s="2" t="inlineStr"/>
      <c r="H40" s="2" t="inlineStr">
        <is>
          <t>https://www.sec.gov/Archives/edgar/data/1730168/000173016825000098/0001730168-25-000098-index.html</t>
        </is>
      </c>
      <c r="I40" s="2" t="inlineStr">
        <is>
          <t>{"tag": "us-gaap:AccountsPayableCurrent", "form": "10-Q", "accession": "0001730168-25-000098", "filed": "2025-09-10"}</t>
        </is>
      </c>
    </row>
    <row r="41" ht="42" customHeight="1">
      <c r="A41" s="2" t="inlineStr">
        <is>
          <t>TTM balance sheet</t>
        </is>
      </c>
      <c r="B41" s="2" t="inlineStr">
        <is>
          <t>current_liabilities</t>
        </is>
      </c>
      <c r="C41" s="2" t="inlineStr">
        <is>
          <t>2026-08-02</t>
        </is>
      </c>
      <c r="D41" s="3" t="n">
        <v>20838000000</v>
      </c>
      <c r="E41" s="2" t="inlineStr">
        <is>
          <t>USD</t>
        </is>
      </c>
      <c r="F41" s="2" t="inlineStr">
        <is>
          <t>reported</t>
        </is>
      </c>
      <c r="G41" s="2" t="inlineStr"/>
      <c r="H41" s="2" t="inlineStr">
        <is>
          <t>https://www.sec.gov/Archives/edgar/data/1730168/000173016826000080/0001730168-26-000080-index.html</t>
        </is>
      </c>
      <c r="I41" s="2" t="inlineStr">
        <is>
          <t>{"tag": "us-gaap:LiabilitiesCurrent", "form": "10-Q", "accession": "0001730168-26-000080", "filed": "2026-09-10"}</t>
        </is>
      </c>
    </row>
    <row r="42" ht="42" customHeight="1">
      <c r="A42" s="2" t="inlineStr">
        <is>
          <t>TTM balance sheet</t>
        </is>
      </c>
      <c r="B42" s="2" t="inlineStr">
        <is>
          <t>current_liabilities</t>
        </is>
      </c>
      <c r="C42" s="2" t="inlineStr">
        <is>
          <t>2025-08-03</t>
        </is>
      </c>
      <c r="D42" s="3" t="n">
        <v>16704000000</v>
      </c>
      <c r="E42" s="2" t="inlineStr">
        <is>
          <t>USD</t>
        </is>
      </c>
      <c r="F42" s="2" t="inlineStr">
        <is>
          <t>reported</t>
        </is>
      </c>
      <c r="G42" s="2" t="inlineStr"/>
      <c r="H42" s="2" t="inlineStr">
        <is>
          <t>https://www.sec.gov/Archives/edgar/data/1730168/000173016825000098/0001730168-25-000098-index.html</t>
        </is>
      </c>
      <c r="I42" s="2" t="inlineStr">
        <is>
          <t>{"tag": "us-gaap:LiabilitiesCurrent", "form": "10-Q", "accession": "0001730168-25-000098", "filed": "2025-09-10"}</t>
        </is>
      </c>
    </row>
    <row r="43" ht="42" customHeight="1">
      <c r="A43" s="2" t="inlineStr">
        <is>
          <t>TTM balance sheet</t>
        </is>
      </c>
      <c r="B43" s="2" t="inlineStr">
        <is>
          <t>short_term_debt</t>
        </is>
      </c>
      <c r="C43" s="2" t="inlineStr">
        <is>
          <t>2026-08-02</t>
        </is>
      </c>
      <c r="D43" s="3" t="n">
        <v>2252000000</v>
      </c>
      <c r="E43" s="2" t="inlineStr">
        <is>
          <t>USD</t>
        </is>
      </c>
      <c r="F43" s="2" t="inlineStr">
        <is>
          <t>reported</t>
        </is>
      </c>
      <c r="G43" s="2" t="inlineStr"/>
      <c r="H43" s="2" t="inlineStr">
        <is>
          <t>https://www.sec.gov/Archives/edgar/data/1730168/000173016826000080/0001730168-26-000080-index.html</t>
        </is>
      </c>
      <c r="I43" s="2" t="inlineStr">
        <is>
          <t>{"tag": "us-gaap:DebtCurrent", "form": "10-Q", "accession": "0001730168-26-000080", "filed": "2026-09-10"}</t>
        </is>
      </c>
    </row>
    <row r="44" ht="42" customHeight="1">
      <c r="A44" s="2" t="inlineStr">
        <is>
          <t>TTM balance sheet</t>
        </is>
      </c>
      <c r="B44" s="2" t="inlineStr">
        <is>
          <t>short_term_debt</t>
        </is>
      </c>
      <c r="C44" s="2" t="inlineStr">
        <is>
          <t>2025-08-03</t>
        </is>
      </c>
      <c r="D44" s="3" t="n">
        <v>1399000000</v>
      </c>
      <c r="E44" s="2" t="inlineStr">
        <is>
          <t>USD</t>
        </is>
      </c>
      <c r="F44" s="2" t="inlineStr">
        <is>
          <t>reported</t>
        </is>
      </c>
      <c r="G44" s="2" t="inlineStr">
        <is>
          <t>tag_conflict</t>
        </is>
      </c>
      <c r="H44" s="2" t="inlineStr">
        <is>
          <t>https://www.sec.gov/Archives/edgar/data/1730168/000173016825000098/0001730168-25-000098-index.html</t>
        </is>
      </c>
      <c r="I44" s="2" t="inlineStr">
        <is>
          <t>{"tag": "us-gaap:DebtCurrent", "form": "10-Q", "accession": "0001730168-25-000098", "filed": "2025-09-10"}</t>
        </is>
      </c>
    </row>
    <row r="45" ht="42" customHeight="1">
      <c r="A45" s="2" t="inlineStr">
        <is>
          <t>TTM balance sheet</t>
        </is>
      </c>
      <c r="B45" s="2" t="inlineStr">
        <is>
          <t>long_term_debt</t>
        </is>
      </c>
      <c r="C45" s="2" t="inlineStr">
        <is>
          <t>2026-08-02</t>
        </is>
      </c>
      <c r="D45" s="3" t="n">
        <v>57167000000</v>
      </c>
      <c r="E45" s="2" t="inlineStr">
        <is>
          <t>USD</t>
        </is>
      </c>
      <c r="F45" s="2" t="inlineStr">
        <is>
          <t>reported</t>
        </is>
      </c>
      <c r="G45" s="2" t="inlineStr"/>
      <c r="H45" s="2" t="inlineStr">
        <is>
          <t>https://www.sec.gov/Archives/edgar/data/1730168/000173016826000080/0001730168-26-000080-index.html</t>
        </is>
      </c>
      <c r="I45" s="2" t="inlineStr">
        <is>
          <t>{"tag": "us-gaap:LongTermDebtNoncurrent", "form": "10-Q", "accession": "0001730168-26-000080", "filed": "2026-09-10"}</t>
        </is>
      </c>
    </row>
    <row r="46" ht="42" customHeight="1">
      <c r="A46" s="2" t="inlineStr">
        <is>
          <t>TTM balance sheet</t>
        </is>
      </c>
      <c r="B46" s="2" t="inlineStr">
        <is>
          <t>long_term_debt</t>
        </is>
      </c>
      <c r="C46" s="2" t="inlineStr">
        <is>
          <t>2025-08-03</t>
        </is>
      </c>
      <c r="D46" s="3" t="n">
        <v>62830000000</v>
      </c>
      <c r="E46" s="2" t="inlineStr">
        <is>
          <t>USD</t>
        </is>
      </c>
      <c r="F46" s="2" t="inlineStr">
        <is>
          <t>reported</t>
        </is>
      </c>
      <c r="G46" s="2" t="inlineStr"/>
      <c r="H46" s="2" t="inlineStr">
        <is>
          <t>https://www.sec.gov/Archives/edgar/data/1730168/000173016825000098/0001730168-25-000098-index.html</t>
        </is>
      </c>
      <c r="I46" s="2" t="inlineStr">
        <is>
          <t>{"tag": "us-gaap:LongTermDebtAndCapitalLeaseObligations", "form": "10-Q", "accession": "0001730168-25-000098", "filed": "2025-09-10"}</t>
        </is>
      </c>
    </row>
    <row r="47" ht="42" customHeight="1">
      <c r="A47" s="2" t="inlineStr">
        <is>
          <t>TTM balance sheet</t>
        </is>
      </c>
      <c r="B47" s="2" t="inlineStr">
        <is>
          <t>convertible_debt</t>
        </is>
      </c>
      <c r="C47" s="2" t="inlineStr">
        <is>
          <t>2026-08-02</t>
        </is>
      </c>
      <c r="D47" s="2" t="n"/>
      <c r="E47" s="2" t="inlineStr">
        <is>
          <t>USD</t>
        </is>
      </c>
      <c r="F47" s="2" t="inlineStr">
        <is>
          <t>not_available</t>
        </is>
      </c>
      <c r="G47" s="2" t="inlineStr"/>
      <c r="H47" s="2" t="inlineStr"/>
      <c r="I47" s="2" t="inlineStr">
        <is>
          <t>null</t>
        </is>
      </c>
    </row>
    <row r="48" ht="42" customHeight="1">
      <c r="A48" s="2" t="inlineStr">
        <is>
          <t>TTM balance sheet</t>
        </is>
      </c>
      <c r="B48" s="2" t="inlineStr">
        <is>
          <t>convertible_debt</t>
        </is>
      </c>
      <c r="C48" s="2" t="inlineStr">
        <is>
          <t>2025-08-03</t>
        </is>
      </c>
      <c r="D48" s="2" t="n"/>
      <c r="E48" s="2" t="inlineStr">
        <is>
          <t>USD</t>
        </is>
      </c>
      <c r="F48" s="2" t="inlineStr">
        <is>
          <t>not_available</t>
        </is>
      </c>
      <c r="G48" s="2" t="inlineStr"/>
      <c r="H48" s="2" t="inlineStr"/>
      <c r="I48" s="2" t="inlineStr">
        <is>
          <t>null</t>
        </is>
      </c>
    </row>
    <row r="49" ht="42" customHeight="1">
      <c r="A49" s="2" t="inlineStr">
        <is>
          <t>TTM balance sheet</t>
        </is>
      </c>
      <c r="B49" s="2" t="inlineStr">
        <is>
          <t>lease_liabilities</t>
        </is>
      </c>
      <c r="C49" s="2" t="inlineStr">
        <is>
          <t>2026-08-02</t>
        </is>
      </c>
      <c r="D49" s="2" t="n"/>
      <c r="E49" s="2" t="inlineStr">
        <is>
          <t>USD</t>
        </is>
      </c>
      <c r="F49" s="2" t="inlineStr">
        <is>
          <t>not_available</t>
        </is>
      </c>
      <c r="G49" s="2" t="inlineStr"/>
      <c r="H49" s="2" t="inlineStr"/>
      <c r="I49" s="2" t="inlineStr">
        <is>
          <t>null</t>
        </is>
      </c>
    </row>
    <row r="50" ht="42" customHeight="1">
      <c r="A50" s="2" t="inlineStr">
        <is>
          <t>TTM balance sheet</t>
        </is>
      </c>
      <c r="B50" s="2" t="inlineStr">
        <is>
          <t>lease_liabilities</t>
        </is>
      </c>
      <c r="C50" s="2" t="inlineStr">
        <is>
          <t>2025-08-03</t>
        </is>
      </c>
      <c r="D50" s="2" t="n"/>
      <c r="E50" s="2" t="inlineStr">
        <is>
          <t>USD</t>
        </is>
      </c>
      <c r="F50" s="2" t="inlineStr">
        <is>
          <t>not_available</t>
        </is>
      </c>
      <c r="G50" s="2" t="inlineStr"/>
      <c r="H50" s="2" t="inlineStr"/>
      <c r="I50" s="2" t="inlineStr">
        <is>
          <t>null</t>
        </is>
      </c>
    </row>
    <row r="51" ht="42" customHeight="1">
      <c r="A51" s="2" t="inlineStr">
        <is>
          <t>TTM balance sheet</t>
        </is>
      </c>
      <c r="B51" s="2" t="inlineStr">
        <is>
          <t>total_liabilities</t>
        </is>
      </c>
      <c r="C51" s="2" t="inlineStr">
        <is>
          <t>2026-08-02</t>
        </is>
      </c>
      <c r="D51" s="3" t="n">
        <v>88458000000</v>
      </c>
      <c r="E51" s="2" t="inlineStr">
        <is>
          <t>USD</t>
        </is>
      </c>
      <c r="F51" s="2" t="inlineStr">
        <is>
          <t>reported</t>
        </is>
      </c>
      <c r="G51" s="2" t="inlineStr"/>
      <c r="H51" s="2" t="inlineStr">
        <is>
          <t>https://www.sec.gov/Archives/edgar/data/1730168/000173016826000080/0001730168-26-000080-index.html</t>
        </is>
      </c>
      <c r="I51" s="2" t="inlineStr">
        <is>
          <t>{"tag": "us-gaap:Liabilities", "form": "10-Q", "accession": "0001730168-26-000080", "filed": "2026-09-10"}</t>
        </is>
      </c>
    </row>
    <row r="52" ht="42" customHeight="1">
      <c r="A52" s="2" t="inlineStr">
        <is>
          <t>TTM balance sheet</t>
        </is>
      </c>
      <c r="B52" s="2" t="inlineStr">
        <is>
          <t>total_liabilities</t>
        </is>
      </c>
      <c r="C52" s="2" t="inlineStr">
        <is>
          <t>2025-08-03</t>
        </is>
      </c>
      <c r="D52" s="3" t="n">
        <v>92344000000</v>
      </c>
      <c r="E52" s="2" t="inlineStr">
        <is>
          <t>USD</t>
        </is>
      </c>
      <c r="F52" s="2" t="inlineStr">
        <is>
          <t>reported</t>
        </is>
      </c>
      <c r="G52" s="2" t="inlineStr"/>
      <c r="H52" s="2" t="inlineStr">
        <is>
          <t>https://www.sec.gov/Archives/edgar/data/1730168/000173016825000098/0001730168-25-000098-index.html</t>
        </is>
      </c>
      <c r="I52" s="2" t="inlineStr">
        <is>
          <t>{"tag": "us-gaap:Liabilities", "form": "10-Q", "accession": "0001730168-25-000098", "filed": "2025-09-10"}</t>
        </is>
      </c>
    </row>
    <row r="53" ht="42" customHeight="1">
      <c r="A53" s="2" t="inlineStr">
        <is>
          <t>TTM balance sheet</t>
        </is>
      </c>
      <c r="B53" s="2" t="inlineStr">
        <is>
          <t>equity</t>
        </is>
      </c>
      <c r="C53" s="2" t="inlineStr">
        <is>
          <t>2026-08-02</t>
        </is>
      </c>
      <c r="D53" s="3" t="n">
        <v>99690000000</v>
      </c>
      <c r="E53" s="2" t="inlineStr">
        <is>
          <t>USD</t>
        </is>
      </c>
      <c r="F53" s="2" t="inlineStr">
        <is>
          <t>reported</t>
        </is>
      </c>
      <c r="G53" s="2" t="inlineStr"/>
      <c r="H53" s="2" t="inlineStr">
        <is>
          <t>https://www.sec.gov/Archives/edgar/data/1730168/000173016826000080/0001730168-26-000080-index.html</t>
        </is>
      </c>
      <c r="I53" s="2" t="inlineStr">
        <is>
          <t>{"tag": "us-gaap:StockholdersEquityIncludingPortionAttributableToNoncontrollingInterest", "form": "10-Q", "accession": "0001730168-26-000080", "filed": "2026-09-10"}</t>
        </is>
      </c>
    </row>
    <row r="54" ht="42" customHeight="1">
      <c r="A54" s="2" t="inlineStr">
        <is>
          <t>TTM balance sheet</t>
        </is>
      </c>
      <c r="B54" s="2" t="inlineStr">
        <is>
          <t>equity</t>
        </is>
      </c>
      <c r="C54" s="2" t="inlineStr">
        <is>
          <t>2025-08-03</t>
        </is>
      </c>
      <c r="D54" s="3" t="n">
        <v>73277000000</v>
      </c>
      <c r="E54" s="2" t="inlineStr">
        <is>
          <t>USD</t>
        </is>
      </c>
      <c r="F54" s="2" t="inlineStr">
        <is>
          <t>reported</t>
        </is>
      </c>
      <c r="G54" s="2" t="inlineStr"/>
      <c r="H54" s="2" t="inlineStr">
        <is>
          <t>https://www.sec.gov/Archives/edgar/data/1730168/000173016826000080/0001730168-26-000080-index.html</t>
        </is>
      </c>
      <c r="I54" s="2" t="inlineStr">
        <is>
          <t>{"tag": "us-gaap:StockholdersEquityIncludingPortionAttributableToNoncontrollingInterest", "form": "10-Q", "accession": "0001730168-26-000080", "filed": "2026-09-10"}</t>
        </is>
      </c>
    </row>
    <row r="55" ht="42" customHeight="1">
      <c r="A55" s="2" t="inlineStr">
        <is>
          <t>TTM balance sheet</t>
        </is>
      </c>
      <c r="B55" s="2" t="inlineStr">
        <is>
          <t>minority_interest</t>
        </is>
      </c>
      <c r="C55" s="2" t="inlineStr">
        <is>
          <t>2026-08-02</t>
        </is>
      </c>
      <c r="D55" s="2" t="n"/>
      <c r="E55" s="2" t="inlineStr">
        <is>
          <t>USD</t>
        </is>
      </c>
      <c r="F55" s="2" t="inlineStr">
        <is>
          <t>not_available</t>
        </is>
      </c>
      <c r="G55" s="2" t="inlineStr"/>
      <c r="H55" s="2" t="inlineStr"/>
      <c r="I55" s="2" t="inlineStr">
        <is>
          <t>null</t>
        </is>
      </c>
    </row>
    <row r="56" ht="42" customHeight="1">
      <c r="A56" s="2" t="inlineStr">
        <is>
          <t>TTM balance sheet</t>
        </is>
      </c>
      <c r="B56" s="2" t="inlineStr">
        <is>
          <t>minority_interest</t>
        </is>
      </c>
      <c r="C56" s="2" t="inlineStr">
        <is>
          <t>2025-08-03</t>
        </is>
      </c>
      <c r="D56" s="2" t="n"/>
      <c r="E56" s="2" t="inlineStr">
        <is>
          <t>USD</t>
        </is>
      </c>
      <c r="F56" s="2" t="inlineStr">
        <is>
          <t>not_available</t>
        </is>
      </c>
      <c r="G56" s="2" t="inlineStr"/>
      <c r="H56" s="2" t="inlineStr"/>
      <c r="I56" s="2" t="inlineStr">
        <is>
          <t>null</t>
        </is>
      </c>
    </row>
    <row r="57" ht="42" customHeight="1">
      <c r="A57" s="2" t="inlineStr">
        <is>
          <t>TTM balance sheet</t>
        </is>
      </c>
      <c r="B57" s="2" t="inlineStr">
        <is>
          <t>preferred</t>
        </is>
      </c>
      <c r="C57" s="2" t="inlineStr">
        <is>
          <t>2026-08-02</t>
        </is>
      </c>
      <c r="D57" s="3" t="n">
        <v>0</v>
      </c>
      <c r="E57" s="2" t="inlineStr">
        <is>
          <t>USD</t>
        </is>
      </c>
      <c r="F57" s="2" t="inlineStr">
        <is>
          <t>reported</t>
        </is>
      </c>
      <c r="G57" s="2" t="inlineStr"/>
      <c r="H57" s="2" t="inlineStr">
        <is>
          <t>https://www.sec.gov/Archives/edgar/data/1730168/000173016826000080/0001730168-26-000080-index.html</t>
        </is>
      </c>
      <c r="I57" s="2" t="inlineStr">
        <is>
          <t>{"tag": "us-gaap:PreferredStockValue", "form": "10-Q", "accession": "0001730168-26-000080", "filed": "2026-09-10"}</t>
        </is>
      </c>
    </row>
    <row r="58" ht="42" customHeight="1">
      <c r="A58" s="2" t="inlineStr">
        <is>
          <t>TTM balance sheet</t>
        </is>
      </c>
      <c r="B58" s="2" t="inlineStr">
        <is>
          <t>preferred</t>
        </is>
      </c>
      <c r="C58" s="2" t="inlineStr">
        <is>
          <t>2025-08-03</t>
        </is>
      </c>
      <c r="D58" s="3" t="n">
        <v>0</v>
      </c>
      <c r="E58" s="2" t="inlineStr">
        <is>
          <t>USD</t>
        </is>
      </c>
      <c r="F58" s="2" t="inlineStr">
        <is>
          <t>reported</t>
        </is>
      </c>
      <c r="G58" s="2" t="inlineStr"/>
      <c r="H58" s="2" t="inlineStr">
        <is>
          <t>https://www.sec.gov/Archives/edgar/data/1730168/000173016825000098/0001730168-25-000098-index.html</t>
        </is>
      </c>
      <c r="I58" s="2" t="inlineStr">
        <is>
          <t>{"tag": "us-gaap:PreferredStockValue", "form": "10-Q", "accession": "0001730168-25-000098", "filed": "2025-09-10"}</t>
        </is>
      </c>
    </row>
    <row r="59" ht="42" customHeight="1">
      <c r="A59" s="2" t="inlineStr">
        <is>
          <t>TTM balance sheet</t>
        </is>
      </c>
      <c r="B59" s="2" t="inlineStr">
        <is>
          <t>shares_outstanding</t>
        </is>
      </c>
      <c r="C59" s="2" t="inlineStr">
        <is>
          <t>2026-08-02</t>
        </is>
      </c>
      <c r="D59" s="3" t="n">
        <v>4774000000</v>
      </c>
      <c r="E59" s="2" t="inlineStr">
        <is>
          <t>shares</t>
        </is>
      </c>
      <c r="F59" s="2" t="inlineStr">
        <is>
          <t>reported</t>
        </is>
      </c>
      <c r="G59" s="2" t="inlineStr"/>
      <c r="H59" s="2" t="inlineStr">
        <is>
          <t>https://www.sec.gov/Archives/edgar/data/1730168/000173016826000080/0001730168-26-000080-index.html</t>
        </is>
      </c>
      <c r="I59" s="2" t="inlineStr">
        <is>
          <t>{"tag": "us-gaap:CommonStockSharesOutstanding", "form": "10-Q", "accession": "0001730168-26-000080", "filed": "2026-09-10"}</t>
        </is>
      </c>
    </row>
    <row r="60" ht="42" customHeight="1">
      <c r="A60" s="2" t="inlineStr">
        <is>
          <t>TTM balance sheet</t>
        </is>
      </c>
      <c r="B60" s="2" t="inlineStr">
        <is>
          <t>shares_outstanding</t>
        </is>
      </c>
      <c r="C60" s="2" t="inlineStr">
        <is>
          <t>2025-08-03</t>
        </is>
      </c>
      <c r="D60" s="3" t="n">
        <v>4722000000</v>
      </c>
      <c r="E60" s="2" t="inlineStr">
        <is>
          <t>shares</t>
        </is>
      </c>
      <c r="F60" s="2" t="inlineStr">
        <is>
          <t>reported</t>
        </is>
      </c>
      <c r="G60" s="2" t="inlineStr"/>
      <c r="H60" s="2" t="inlineStr">
        <is>
          <t>https://www.sec.gov/Archives/edgar/data/1730168/000173016825000098/0001730168-25-000098-index.html</t>
        </is>
      </c>
      <c r="I60" s="2" t="inlineStr">
        <is>
          <t>{"tag": "us-gaap:CommonStockSharesOutstanding", "form": "10-Q", "accession": "0001730168-25-000098", "filed": "2025-09-10"}</t>
        </is>
      </c>
    </row>
    <row r="61" ht="42" customHeight="1">
      <c r="A61" s="2" t="inlineStr">
        <is>
          <t>TTM balance sheet</t>
        </is>
      </c>
      <c r="B61" s="2" t="inlineStr">
        <is>
          <t>maturity_y1</t>
        </is>
      </c>
      <c r="C61" s="2" t="inlineStr">
        <is>
          <t>2026-08-02</t>
        </is>
      </c>
      <c r="D61" s="3" t="n">
        <v>0</v>
      </c>
      <c r="E61" s="2" t="inlineStr">
        <is>
          <t>USD</t>
        </is>
      </c>
      <c r="F61" s="2" t="inlineStr">
        <is>
          <t>reported</t>
        </is>
      </c>
      <c r="G61" s="2" t="inlineStr"/>
      <c r="H61" s="2" t="inlineStr">
        <is>
          <t>https://www.sec.gov/Archives/edgar/data/1730168/000173016826000080/0001730168-26-000080-index.html</t>
        </is>
      </c>
      <c r="I61" s="2" t="inlineStr">
        <is>
          <t>{"tag": "us-gaap:LongTermDebtMaturitiesRepaymentsOfPrincipalInNextTwelveMonths", "form": "10-Q", "accession": "0001730168-26-000080", "filed": "2026-09-10"}</t>
        </is>
      </c>
    </row>
    <row r="62" ht="42" customHeight="1">
      <c r="A62" s="2" t="inlineStr">
        <is>
          <t>TTM balance sheet</t>
        </is>
      </c>
      <c r="B62" s="2" t="inlineStr">
        <is>
          <t>maturity_y1</t>
        </is>
      </c>
      <c r="C62" s="2" t="inlineStr">
        <is>
          <t>2025-08-03</t>
        </is>
      </c>
      <c r="D62" s="3" t="n">
        <v>3152000000</v>
      </c>
      <c r="E62" s="2" t="inlineStr">
        <is>
          <t>USD</t>
        </is>
      </c>
      <c r="F62" s="2" t="inlineStr">
        <is>
          <t>reported</t>
        </is>
      </c>
      <c r="G62" s="2" t="inlineStr"/>
      <c r="H62" s="2" t="inlineStr">
        <is>
          <t>https://www.sec.gov/Archives/edgar/data/1730168/000173016825000098/0001730168-25-000098-index.html</t>
        </is>
      </c>
      <c r="I62" s="2" t="inlineStr">
        <is>
          <t>{"tag": "us-gaap:LongTermDebtMaturitiesRepaymentsOfPrincipalInNextTwelveMonths", "form": "10-Q", "accession": "0001730168-25-000098", "filed": "2025-09-10"}</t>
        </is>
      </c>
    </row>
    <row r="63" ht="42" customHeight="1">
      <c r="A63" s="2" t="inlineStr">
        <is>
          <t>TTM balance sheet</t>
        </is>
      </c>
      <c r="B63" s="2" t="inlineStr">
        <is>
          <t>maturity_y2</t>
        </is>
      </c>
      <c r="C63" s="2" t="inlineStr">
        <is>
          <t>2026-08-02</t>
        </is>
      </c>
      <c r="D63" s="3" t="n">
        <v>5127000000</v>
      </c>
      <c r="E63" s="2" t="inlineStr">
        <is>
          <t>USD</t>
        </is>
      </c>
      <c r="F63" s="2" t="inlineStr">
        <is>
          <t>reported</t>
        </is>
      </c>
      <c r="G63" s="2" t="inlineStr"/>
      <c r="H63" s="2" t="inlineStr">
        <is>
          <t>https://www.sec.gov/Archives/edgar/data/1730168/000173016826000080/0001730168-26-000080-index.html</t>
        </is>
      </c>
      <c r="I63" s="2" t="inlineStr">
        <is>
          <t>{"tag": "us-gaap:LongTermDebtMaturitiesRepaymentsOfPrincipalInYearTwo", "form": "10-Q", "accession": "0001730168-26-000080", "filed": "2026-09-10"}</t>
        </is>
      </c>
    </row>
    <row r="64" ht="42" customHeight="1">
      <c r="A64" s="2" t="inlineStr">
        <is>
          <t>TTM balance sheet</t>
        </is>
      </c>
      <c r="B64" s="2" t="inlineStr">
        <is>
          <t>maturity_y2</t>
        </is>
      </c>
      <c r="C64" s="2" t="inlineStr">
        <is>
          <t>2025-08-03</t>
        </is>
      </c>
      <c r="D64" s="3" t="n">
        <v>6137000000</v>
      </c>
      <c r="E64" s="2" t="inlineStr">
        <is>
          <t>USD</t>
        </is>
      </c>
      <c r="F64" s="2" t="inlineStr">
        <is>
          <t>reported</t>
        </is>
      </c>
      <c r="G64" s="2" t="inlineStr"/>
      <c r="H64" s="2" t="inlineStr">
        <is>
          <t>https://www.sec.gov/Archives/edgar/data/1730168/000173016825000098/0001730168-25-000098-index.html</t>
        </is>
      </c>
      <c r="I64" s="2" t="inlineStr">
        <is>
          <t>{"tag": "us-gaap:LongTermDebtMaturitiesRepaymentsOfPrincipalInYearTwo", "form": "10-Q", "accession": "0001730168-25-000098", "filed": "2025-09-10"}</t>
        </is>
      </c>
    </row>
    <row r="65" ht="42" customHeight="1">
      <c r="A65" s="2" t="inlineStr">
        <is>
          <t>TTM balance sheet</t>
        </is>
      </c>
      <c r="B65" s="2" t="inlineStr">
        <is>
          <t>maturity_y3</t>
        </is>
      </c>
      <c r="C65" s="2" t="inlineStr">
        <is>
          <t>2026-08-02</t>
        </is>
      </c>
      <c r="D65" s="3" t="n">
        <v>2405000000</v>
      </c>
      <c r="E65" s="2" t="inlineStr">
        <is>
          <t>USD</t>
        </is>
      </c>
      <c r="F65" s="2" t="inlineStr">
        <is>
          <t>reported</t>
        </is>
      </c>
      <c r="G65" s="2" t="inlineStr"/>
      <c r="H65" s="2" t="inlineStr">
        <is>
          <t>https://www.sec.gov/Archives/edgar/data/1730168/000173016826000080/0001730168-26-000080-index.html</t>
        </is>
      </c>
      <c r="I65" s="2" t="inlineStr">
        <is>
          <t>{"tag": "us-gaap:LongTermDebtMaturitiesRepaymentsOfPrincipalInYearThree", "form": "10-Q", "accession": "0001730168-26-000080", "filed": "2026-09-10"}</t>
        </is>
      </c>
    </row>
    <row r="66" ht="42" customHeight="1">
      <c r="A66" s="2" t="inlineStr">
        <is>
          <t>TTM balance sheet</t>
        </is>
      </c>
      <c r="B66" s="2" t="inlineStr">
        <is>
          <t>maturity_y3</t>
        </is>
      </c>
      <c r="C66" s="2" t="inlineStr">
        <is>
          <t>2025-08-03</t>
        </is>
      </c>
      <c r="D66" s="3" t="n">
        <v>7120000000</v>
      </c>
      <c r="E66" s="2" t="inlineStr">
        <is>
          <t>USD</t>
        </is>
      </c>
      <c r="F66" s="2" t="inlineStr">
        <is>
          <t>reported</t>
        </is>
      </c>
      <c r="G66" s="2" t="inlineStr"/>
      <c r="H66" s="2" t="inlineStr">
        <is>
          <t>https://www.sec.gov/Archives/edgar/data/1730168/000173016825000098/0001730168-25-000098-index.html</t>
        </is>
      </c>
      <c r="I66" s="2" t="inlineStr">
        <is>
          <t>{"tag": "us-gaap:LongTermDebtMaturitiesRepaymentsOfPrincipalInYearThree", "form": "10-Q", "accession": "0001730168-25-000098", "filed": "2025-09-10"}</t>
        </is>
      </c>
    </row>
    <row r="67" ht="42" customHeight="1">
      <c r="A67" s="2" t="inlineStr">
        <is>
          <t>TTM balance sheet</t>
        </is>
      </c>
      <c r="B67" s="2" t="inlineStr">
        <is>
          <t>maturity_y4</t>
        </is>
      </c>
      <c r="C67" s="2" t="inlineStr">
        <is>
          <t>2026-08-02</t>
        </is>
      </c>
      <c r="D67" s="3" t="n">
        <v>6406000000</v>
      </c>
      <c r="E67" s="2" t="inlineStr">
        <is>
          <t>USD</t>
        </is>
      </c>
      <c r="F67" s="2" t="inlineStr">
        <is>
          <t>reported</t>
        </is>
      </c>
      <c r="G67" s="2" t="inlineStr"/>
      <c r="H67" s="2" t="inlineStr">
        <is>
          <t>https://www.sec.gov/Archives/edgar/data/1730168/000173016826000080/0001730168-26-000080-index.html</t>
        </is>
      </c>
      <c r="I67" s="2" t="inlineStr">
        <is>
          <t>{"tag": "us-gaap:LongTermDebtMaturitiesRepaymentsOfPrincipalInYearFour", "form": "10-Q", "accession": "0001730168-26-000080", "filed": "2026-09-10"}</t>
        </is>
      </c>
    </row>
    <row r="68" ht="42" customHeight="1">
      <c r="A68" s="2" t="inlineStr">
        <is>
          <t>TTM balance sheet</t>
        </is>
      </c>
      <c r="B68" s="2" t="inlineStr">
        <is>
          <t>maturity_y4</t>
        </is>
      </c>
      <c r="C68" s="2" t="inlineStr">
        <is>
          <t>2025-08-03</t>
        </is>
      </c>
      <c r="D68" s="3" t="n">
        <v>4655000000</v>
      </c>
      <c r="E68" s="2" t="inlineStr">
        <is>
          <t>USD</t>
        </is>
      </c>
      <c r="F68" s="2" t="inlineStr">
        <is>
          <t>reported</t>
        </is>
      </c>
      <c r="G68" s="2" t="inlineStr"/>
      <c r="H68" s="2" t="inlineStr">
        <is>
          <t>https://www.sec.gov/Archives/edgar/data/1730168/000173016825000098/0001730168-25-000098-index.html</t>
        </is>
      </c>
      <c r="I68" s="2" t="inlineStr">
        <is>
          <t>{"tag": "us-gaap:LongTermDebtMaturitiesRepaymentsOfPrincipalInYearFour", "form": "10-Q", "accession": "0001730168-25-000098", "filed": "2025-09-10"}</t>
        </is>
      </c>
    </row>
    <row r="69" ht="42" customHeight="1">
      <c r="A69" s="2" t="inlineStr">
        <is>
          <t>TTM balance sheet</t>
        </is>
      </c>
      <c r="B69" s="2" t="inlineStr">
        <is>
          <t>maturity_y5</t>
        </is>
      </c>
      <c r="C69" s="2" t="inlineStr">
        <is>
          <t>2026-08-02</t>
        </is>
      </c>
      <c r="D69" s="2" t="n"/>
      <c r="E69" s="2" t="inlineStr">
        <is>
          <t>USD</t>
        </is>
      </c>
      <c r="F69" s="2" t="inlineStr">
        <is>
          <t>not_available</t>
        </is>
      </c>
      <c r="G69" s="2" t="inlineStr"/>
      <c r="H69" s="2" t="inlineStr"/>
      <c r="I69" s="2" t="inlineStr">
        <is>
          <t>null</t>
        </is>
      </c>
    </row>
    <row r="70" ht="42" customHeight="1">
      <c r="A70" s="2" t="inlineStr">
        <is>
          <t>TTM balance sheet</t>
        </is>
      </c>
      <c r="B70" s="2" t="inlineStr">
        <is>
          <t>maturity_y5</t>
        </is>
      </c>
      <c r="C70" s="2" t="inlineStr">
        <is>
          <t>2025-08-03</t>
        </is>
      </c>
      <c r="D70" s="2" t="n"/>
      <c r="E70" s="2" t="inlineStr">
        <is>
          <t>USD</t>
        </is>
      </c>
      <c r="F70" s="2" t="inlineStr">
        <is>
          <t>not_available</t>
        </is>
      </c>
      <c r="G70" s="2" t="inlineStr"/>
      <c r="H70" s="2" t="inlineStr"/>
      <c r="I70" s="2" t="inlineStr">
        <is>
          <t>null</t>
        </is>
      </c>
    </row>
    <row r="71" ht="42" customHeight="1">
      <c r="A71" s="2" t="inlineStr">
        <is>
          <t>TTM balance sheet</t>
        </is>
      </c>
      <c r="B71" s="2" t="inlineStr">
        <is>
          <t>maturity_after_y5</t>
        </is>
      </c>
      <c r="C71" s="2" t="inlineStr">
        <is>
          <t>2026-08-02</t>
        </is>
      </c>
      <c r="D71" s="2" t="n"/>
      <c r="E71" s="2" t="inlineStr">
        <is>
          <t>USD</t>
        </is>
      </c>
      <c r="F71" s="2" t="inlineStr">
        <is>
          <t>not_available</t>
        </is>
      </c>
      <c r="G71" s="2" t="inlineStr"/>
      <c r="H71" s="2" t="inlineStr"/>
      <c r="I71" s="2" t="inlineStr">
        <is>
          <t>null</t>
        </is>
      </c>
    </row>
    <row r="72" ht="42" customHeight="1">
      <c r="A72" s="2" t="inlineStr">
        <is>
          <t>TTM balance sheet</t>
        </is>
      </c>
      <c r="B72" s="2" t="inlineStr">
        <is>
          <t>maturity_after_y5</t>
        </is>
      </c>
      <c r="C72" s="2" t="inlineStr">
        <is>
          <t>2025-08-03</t>
        </is>
      </c>
      <c r="D72" s="2" t="n"/>
      <c r="E72" s="2" t="inlineStr">
        <is>
          <t>USD</t>
        </is>
      </c>
      <c r="F72" s="2" t="inlineStr">
        <is>
          <t>not_available</t>
        </is>
      </c>
      <c r="G72" s="2" t="inlineStr"/>
      <c r="H72" s="2" t="inlineStr"/>
      <c r="I72" s="2" t="inlineStr">
        <is>
          <t>null</t>
        </is>
      </c>
    </row>
    <row r="73" ht="42" customHeight="1">
      <c r="A73" s="2" t="inlineStr">
        <is>
          <t>Annual</t>
        </is>
      </c>
      <c r="B73" s="2" t="inlineStr">
        <is>
          <t>revenue</t>
        </is>
      </c>
      <c r="C73" s="2" t="inlineStr">
        <is>
          <t>2016-10-30</t>
        </is>
      </c>
      <c r="D73" s="3" t="n">
        <v>13240000000</v>
      </c>
      <c r="E73" s="2" t="inlineStr">
        <is>
          <t>USD</t>
        </is>
      </c>
      <c r="F73" s="2" t="inlineStr">
        <is>
          <t>reported</t>
        </is>
      </c>
      <c r="G73" s="2" t="inlineStr"/>
      <c r="H73" s="2" t="inlineStr">
        <is>
          <t>https://www.sec.gov/Archives/edgar/data/1730168/000173016818000084/0001730168-18-000084-index.html</t>
        </is>
      </c>
      <c r="I73" s="2" t="inlineStr">
        <is>
          <t>{"tag": "us-gaap:Revenues", "form": "10-K", "accession": "0001730168-18-000084", "filed": "2018-12-21"}</t>
        </is>
      </c>
    </row>
    <row r="74" ht="42" customHeight="1">
      <c r="A74" s="2" t="inlineStr">
        <is>
          <t>Annual</t>
        </is>
      </c>
      <c r="B74" s="2" t="inlineStr">
        <is>
          <t>revenue</t>
        </is>
      </c>
      <c r="C74" s="2" t="inlineStr">
        <is>
          <t>2017-10-29</t>
        </is>
      </c>
      <c r="D74" s="3" t="n">
        <v>17636000000</v>
      </c>
      <c r="E74" s="2" t="inlineStr">
        <is>
          <t>USD</t>
        </is>
      </c>
      <c r="F74" s="2" t="inlineStr">
        <is>
          <t>reported</t>
        </is>
      </c>
      <c r="G74" s="2" t="inlineStr"/>
      <c r="H74" s="2" t="inlineStr">
        <is>
          <t>https://www.sec.gov/Archives/edgar/data/1730168/000173016818000084/0001730168-18-000084-index.html</t>
        </is>
      </c>
      <c r="I74" s="2" t="inlineStr">
        <is>
          <t>{"tag": "us-gaap:Revenues", "form": "10-K", "accession": "0001730168-18-000084", "filed": "2018-12-21"}</t>
        </is>
      </c>
    </row>
    <row r="75" ht="42" customHeight="1">
      <c r="A75" s="2" t="inlineStr">
        <is>
          <t>Annual</t>
        </is>
      </c>
      <c r="B75" s="2" t="inlineStr">
        <is>
          <t>revenue</t>
        </is>
      </c>
      <c r="C75" s="2" t="inlineStr">
        <is>
          <t>2018-11-04</t>
        </is>
      </c>
      <c r="D75" s="3" t="n">
        <v>20848000000</v>
      </c>
      <c r="E75" s="2" t="inlineStr">
        <is>
          <t>USD</t>
        </is>
      </c>
      <c r="F75" s="2" t="inlineStr">
        <is>
          <t>reported</t>
        </is>
      </c>
      <c r="G75" s="2" t="inlineStr">
        <is>
          <t>long_year</t>
        </is>
      </c>
      <c r="H75" s="2" t="inlineStr">
        <is>
          <t>https://www.sec.gov/Archives/edgar/data/1730168/000173016818000084/0001730168-18-000084-index.html</t>
        </is>
      </c>
      <c r="I75" s="2" t="inlineStr">
        <is>
          <t>{"tag": "us-gaap:Revenues", "form": "10-K", "accession": "0001730168-18-000084", "filed": "2018-12-21"}</t>
        </is>
      </c>
    </row>
    <row r="76" ht="42" customHeight="1">
      <c r="A76" s="2" t="inlineStr">
        <is>
          <t>Annual</t>
        </is>
      </c>
      <c r="B76" s="2" t="inlineStr">
        <is>
          <t>revenue</t>
        </is>
      </c>
      <c r="C76" s="2" t="inlineStr">
        <is>
          <t>2019-11-03</t>
        </is>
      </c>
      <c r="D76" s="3" t="n">
        <v>22597000000</v>
      </c>
      <c r="E76" s="2" t="inlineStr">
        <is>
          <t>USD</t>
        </is>
      </c>
      <c r="F76" s="2" t="inlineStr">
        <is>
          <t>reported</t>
        </is>
      </c>
      <c r="G76" s="2" t="inlineStr"/>
      <c r="H76" s="2" t="inlineStr">
        <is>
          <t>https://www.sec.gov/Archives/edgar/data/1730168/000173016821000153/0001730168-21-000153-index.html</t>
        </is>
      </c>
      <c r="I76" s="2" t="inlineStr">
        <is>
          <t>{"tag": "us-gaap:RevenueFromContractWithCustomerExcludingAssessedTax", "form": "10-K", "accession": "0001730168-21-000153", "filed": "2021-12-17"}</t>
        </is>
      </c>
    </row>
    <row r="77" ht="42" customHeight="1">
      <c r="A77" s="2" t="inlineStr">
        <is>
          <t>Annual</t>
        </is>
      </c>
      <c r="B77" s="2" t="inlineStr">
        <is>
          <t>revenue</t>
        </is>
      </c>
      <c r="C77" s="2" t="inlineStr">
        <is>
          <t>2020-11-01</t>
        </is>
      </c>
      <c r="D77" s="3" t="n">
        <v>23888000000</v>
      </c>
      <c r="E77" s="2" t="inlineStr">
        <is>
          <t>USD</t>
        </is>
      </c>
      <c r="F77" s="2" t="inlineStr">
        <is>
          <t>reported</t>
        </is>
      </c>
      <c r="G77" s="2" t="inlineStr"/>
      <c r="H77" s="2" t="inlineStr">
        <is>
          <t>https://www.sec.gov/Archives/edgar/data/1730168/000173016822000118/0001730168-22-000118-index.html</t>
        </is>
      </c>
      <c r="I77" s="2" t="inlineStr">
        <is>
          <t>{"tag": "us-gaap:RevenueFromContractWithCustomerExcludingAssessedTax", "form": "10-K", "accession": "0001730168-22-000118", "filed": "2022-12-16"}</t>
        </is>
      </c>
    </row>
    <row r="78" ht="42" customHeight="1">
      <c r="A78" s="2" t="inlineStr">
        <is>
          <t>Annual</t>
        </is>
      </c>
      <c r="B78" s="2" t="inlineStr">
        <is>
          <t>revenue</t>
        </is>
      </c>
      <c r="C78" s="2" t="inlineStr">
        <is>
          <t>2021-10-31</t>
        </is>
      </c>
      <c r="D78" s="3" t="n">
        <v>27450000000</v>
      </c>
      <c r="E78" s="2" t="inlineStr">
        <is>
          <t>USD</t>
        </is>
      </c>
      <c r="F78" s="2" t="inlineStr">
        <is>
          <t>reported</t>
        </is>
      </c>
      <c r="G78" s="2" t="inlineStr"/>
      <c r="H78" s="2" t="inlineStr">
        <is>
          <t>https://www.sec.gov/Archives/edgar/data/1730168/000173016823000096/0001730168-23-000096-index.html</t>
        </is>
      </c>
      <c r="I78" s="2" t="inlineStr">
        <is>
          <t>{"tag": "us-gaap:RevenueFromContractWithCustomerExcludingAssessedTax", "form": "10-K", "accession": "0001730168-23-000096", "filed": "2023-12-14"}</t>
        </is>
      </c>
    </row>
    <row r="79" ht="42" customHeight="1">
      <c r="A79" s="2" t="inlineStr">
        <is>
          <t>Annual</t>
        </is>
      </c>
      <c r="B79" s="2" t="inlineStr">
        <is>
          <t>revenue</t>
        </is>
      </c>
      <c r="C79" s="2" t="inlineStr">
        <is>
          <t>2022-10-30</t>
        </is>
      </c>
      <c r="D79" s="3" t="n">
        <v>33203000000</v>
      </c>
      <c r="E79" s="2" t="inlineStr">
        <is>
          <t>USD</t>
        </is>
      </c>
      <c r="F79" s="2" t="inlineStr">
        <is>
          <t>reported</t>
        </is>
      </c>
      <c r="G79" s="2" t="inlineStr"/>
      <c r="H79" s="2" t="inlineStr">
        <is>
          <t>https://www.sec.gov/Archives/edgar/data/1730168/000173016824000139/0001730168-24-000139-index.html</t>
        </is>
      </c>
      <c r="I79" s="2" t="inlineStr">
        <is>
          <t>{"tag": "us-gaap:RevenueFromContractWithCustomerExcludingAssessedTax", "form": "10-K", "accession": "0001730168-24-000139", "filed": "2024-12-20"}</t>
        </is>
      </c>
    </row>
    <row r="80" ht="42" customHeight="1">
      <c r="A80" s="2" t="inlineStr">
        <is>
          <t>Annual</t>
        </is>
      </c>
      <c r="B80" s="2" t="inlineStr">
        <is>
          <t>revenue</t>
        </is>
      </c>
      <c r="C80" s="2" t="inlineStr">
        <is>
          <t>2023-10-29</t>
        </is>
      </c>
      <c r="D80" s="3" t="n">
        <v>35819000000</v>
      </c>
      <c r="E80" s="2" t="inlineStr">
        <is>
          <t>USD</t>
        </is>
      </c>
      <c r="F80" s="2" t="inlineStr">
        <is>
          <t>reported</t>
        </is>
      </c>
      <c r="G80" s="2" t="inlineStr"/>
      <c r="H80" s="2" t="inlineStr">
        <is>
          <t>https://www.sec.gov/Archives/edgar/data/1730168/000173016825000121/0001730168-25-000121-index.html</t>
        </is>
      </c>
      <c r="I80" s="2" t="inlineStr">
        <is>
          <t>{"tag": "us-gaap:RevenueFromContractWithCustomerExcludingAssessedTax", "form": "10-K", "accession": "0001730168-25-000121", "filed": "2025-12-18"}</t>
        </is>
      </c>
    </row>
    <row r="81" ht="42" customHeight="1">
      <c r="A81" s="2" t="inlineStr">
        <is>
          <t>Annual</t>
        </is>
      </c>
      <c r="B81" s="2" t="inlineStr">
        <is>
          <t>revenue</t>
        </is>
      </c>
      <c r="C81" s="2" t="inlineStr">
        <is>
          <t>2024-11-03</t>
        </is>
      </c>
      <c r="D81" s="3" t="n">
        <v>51574000000</v>
      </c>
      <c r="E81" s="2" t="inlineStr">
        <is>
          <t>USD</t>
        </is>
      </c>
      <c r="F81" s="2" t="inlineStr">
        <is>
          <t>reported</t>
        </is>
      </c>
      <c r="G81" s="2" t="inlineStr">
        <is>
          <t>long_year</t>
        </is>
      </c>
      <c r="H81" s="2" t="inlineStr">
        <is>
          <t>https://www.sec.gov/Archives/edgar/data/1730168/000173016825000121/0001730168-25-000121-index.html</t>
        </is>
      </c>
      <c r="I81" s="2" t="inlineStr">
        <is>
          <t>{"tag": "us-gaap:RevenueFromContractWithCustomerExcludingAssessedTax", "form": "10-K", "accession": "0001730168-25-000121", "filed": "2025-12-18"}</t>
        </is>
      </c>
    </row>
    <row r="82" ht="42" customHeight="1">
      <c r="A82" s="2" t="inlineStr">
        <is>
          <t>Annual</t>
        </is>
      </c>
      <c r="B82" s="2" t="inlineStr">
        <is>
          <t>revenue</t>
        </is>
      </c>
      <c r="C82" s="2" t="inlineStr">
        <is>
          <t>2025-11-02</t>
        </is>
      </c>
      <c r="D82" s="3" t="n">
        <v>63887000000</v>
      </c>
      <c r="E82" s="2" t="inlineStr">
        <is>
          <t>USD</t>
        </is>
      </c>
      <c r="F82" s="2" t="inlineStr">
        <is>
          <t>reported</t>
        </is>
      </c>
      <c r="G82" s="2" t="inlineStr"/>
      <c r="H82" s="2" t="inlineStr">
        <is>
          <t>https://www.sec.gov/Archives/edgar/data/1730168/000173016825000121/0001730168-25-000121-index.html</t>
        </is>
      </c>
      <c r="I82" s="2" t="inlineStr">
        <is>
          <t>{"tag": "us-gaap:RevenueFromContractWithCustomerExcludingAssessedTax", "form": "10-K", "accession": "0001730168-25-000121", "filed": "2025-12-18"}</t>
        </is>
      </c>
    </row>
    <row r="83" ht="42" customHeight="1">
      <c r="A83" s="2" t="inlineStr">
        <is>
          <t>Annual</t>
        </is>
      </c>
      <c r="B83" s="2" t="inlineStr">
        <is>
          <t>cost_of_revenue</t>
        </is>
      </c>
      <c r="C83" s="2" t="inlineStr">
        <is>
          <t>2016-10-30</t>
        </is>
      </c>
      <c r="D83" s="3" t="n">
        <v>7300000000</v>
      </c>
      <c r="E83" s="2" t="inlineStr">
        <is>
          <t>USD</t>
        </is>
      </c>
      <c r="F83" s="2" t="inlineStr">
        <is>
          <t>reported</t>
        </is>
      </c>
      <c r="G83" s="2" t="inlineStr"/>
      <c r="H83" s="2" t="inlineStr">
        <is>
          <t>https://www.sec.gov/Archives/edgar/data/1730168/000173016818000084/0001730168-18-000084-index.html</t>
        </is>
      </c>
      <c r="I83" s="2" t="inlineStr">
        <is>
          <t>{"tag": "us-gaap:CostOfGoodsAndServicesSold", "form": "10-K", "accession": "0001730168-18-000084", "filed": "2018-12-21"}</t>
        </is>
      </c>
    </row>
    <row r="84" ht="42" customHeight="1">
      <c r="A84" s="2" t="inlineStr">
        <is>
          <t>Annual</t>
        </is>
      </c>
      <c r="B84" s="2" t="inlineStr">
        <is>
          <t>cost_of_revenue</t>
        </is>
      </c>
      <c r="C84" s="2" t="inlineStr">
        <is>
          <t>2017-10-29</t>
        </is>
      </c>
      <c r="D84" s="3" t="n">
        <v>9127000000</v>
      </c>
      <c r="E84" s="2" t="inlineStr">
        <is>
          <t>USD</t>
        </is>
      </c>
      <c r="F84" s="2" t="inlineStr">
        <is>
          <t>reported</t>
        </is>
      </c>
      <c r="G84" s="2" t="inlineStr"/>
      <c r="H84" s="2" t="inlineStr">
        <is>
          <t>https://www.sec.gov/Archives/edgar/data/1730168/000173016819000144/0001730168-19-000144-index.html</t>
        </is>
      </c>
      <c r="I84" s="2" t="inlineStr">
        <is>
          <t>{"tag": "us-gaap:CostOfRevenue", "form": "10-K", "accession": "0001730168-19-000144", "filed": "2019-12-20"}</t>
        </is>
      </c>
    </row>
    <row r="85" ht="42" customHeight="1">
      <c r="A85" s="2" t="inlineStr">
        <is>
          <t>Annual</t>
        </is>
      </c>
      <c r="B85" s="2" t="inlineStr">
        <is>
          <t>cost_of_revenue</t>
        </is>
      </c>
      <c r="C85" s="2" t="inlineStr">
        <is>
          <t>2018-11-04</t>
        </is>
      </c>
      <c r="D85" s="3" t="n">
        <v>10115000000</v>
      </c>
      <c r="E85" s="2" t="inlineStr">
        <is>
          <t>USD</t>
        </is>
      </c>
      <c r="F85" s="2" t="inlineStr">
        <is>
          <t>reported</t>
        </is>
      </c>
      <c r="G85" s="2" t="inlineStr">
        <is>
          <t>long_year</t>
        </is>
      </c>
      <c r="H85" s="2" t="inlineStr">
        <is>
          <t>https://www.sec.gov/Archives/edgar/data/1730168/000173016820000226/0001730168-20-000226-index.html</t>
        </is>
      </c>
      <c r="I85" s="2" t="inlineStr">
        <is>
          <t>{"tag": "us-gaap:CostOfRevenue", "form": "10-K", "accession": "0001730168-20-000226", "filed": "2020-12-18"}</t>
        </is>
      </c>
    </row>
    <row r="86" ht="42" customHeight="1">
      <c r="A86" s="2" t="inlineStr">
        <is>
          <t>Annual</t>
        </is>
      </c>
      <c r="B86" s="2" t="inlineStr">
        <is>
          <t>cost_of_revenue</t>
        </is>
      </c>
      <c r="C86" s="2" t="inlineStr">
        <is>
          <t>2019-11-03</t>
        </is>
      </c>
      <c r="D86" s="3" t="n">
        <v>10114000000</v>
      </c>
      <c r="E86" s="2" t="inlineStr">
        <is>
          <t>USD</t>
        </is>
      </c>
      <c r="F86" s="2" t="inlineStr">
        <is>
          <t>reported</t>
        </is>
      </c>
      <c r="G86" s="2" t="inlineStr"/>
      <c r="H86" s="2" t="inlineStr">
        <is>
          <t>https://www.sec.gov/Archives/edgar/data/1730168/000173016821000153/0001730168-21-000153-index.html</t>
        </is>
      </c>
      <c r="I86" s="2" t="inlineStr">
        <is>
          <t>{"tag": "us-gaap:CostOfRevenue", "form": "10-K", "accession": "0001730168-21-000153", "filed": "2021-12-17"}</t>
        </is>
      </c>
    </row>
    <row r="87" ht="42" customHeight="1">
      <c r="A87" s="2" t="inlineStr">
        <is>
          <t>Annual</t>
        </is>
      </c>
      <c r="B87" s="2" t="inlineStr">
        <is>
          <t>cost_of_revenue</t>
        </is>
      </c>
      <c r="C87" s="2" t="inlineStr">
        <is>
          <t>2020-11-01</t>
        </is>
      </c>
      <c r="D87" s="3" t="n">
        <v>10372000000</v>
      </c>
      <c r="E87" s="2" t="inlineStr">
        <is>
          <t>USD</t>
        </is>
      </c>
      <c r="F87" s="2" t="inlineStr">
        <is>
          <t>reported</t>
        </is>
      </c>
      <c r="G87" s="2" t="inlineStr"/>
      <c r="H87" s="2" t="inlineStr">
        <is>
          <t>https://www.sec.gov/Archives/edgar/data/1730168/000173016822000118/0001730168-22-000118-index.html</t>
        </is>
      </c>
      <c r="I87" s="2" t="inlineStr">
        <is>
          <t>{"tag": "us-gaap:CostOfRevenue", "form": "10-K", "accession": "0001730168-22-000118", "filed": "2022-12-16"}</t>
        </is>
      </c>
    </row>
    <row r="88" ht="42" customHeight="1">
      <c r="A88" s="2" t="inlineStr">
        <is>
          <t>Annual</t>
        </is>
      </c>
      <c r="B88" s="2" t="inlineStr">
        <is>
          <t>cost_of_revenue</t>
        </is>
      </c>
      <c r="C88" s="2" t="inlineStr">
        <is>
          <t>2021-10-31</t>
        </is>
      </c>
      <c r="D88" s="3" t="n">
        <v>10606000000</v>
      </c>
      <c r="E88" s="2" t="inlineStr">
        <is>
          <t>USD</t>
        </is>
      </c>
      <c r="F88" s="2" t="inlineStr">
        <is>
          <t>reported</t>
        </is>
      </c>
      <c r="G88" s="2" t="inlineStr"/>
      <c r="H88" s="2" t="inlineStr">
        <is>
          <t>https://www.sec.gov/Archives/edgar/data/1730168/000173016823000096/0001730168-23-000096-index.html</t>
        </is>
      </c>
      <c r="I88" s="2" t="inlineStr">
        <is>
          <t>{"tag": "us-gaap:CostOfRevenue", "form": "10-K", "accession": "0001730168-23-000096", "filed": "2023-12-14"}</t>
        </is>
      </c>
    </row>
    <row r="89" ht="42" customHeight="1">
      <c r="A89" s="2" t="inlineStr">
        <is>
          <t>Annual</t>
        </is>
      </c>
      <c r="B89" s="2" t="inlineStr">
        <is>
          <t>cost_of_revenue</t>
        </is>
      </c>
      <c r="C89" s="2" t="inlineStr">
        <is>
          <t>2022-10-30</t>
        </is>
      </c>
      <c r="D89" s="3" t="n">
        <v>11108000000</v>
      </c>
      <c r="E89" s="2" t="inlineStr">
        <is>
          <t>USD</t>
        </is>
      </c>
      <c r="F89" s="2" t="inlineStr">
        <is>
          <t>reported</t>
        </is>
      </c>
      <c r="G89" s="2" t="inlineStr"/>
      <c r="H89" s="2" t="inlineStr">
        <is>
          <t>https://www.sec.gov/Archives/edgar/data/1730168/000173016824000139/0001730168-24-000139-index.html</t>
        </is>
      </c>
      <c r="I89" s="2" t="inlineStr">
        <is>
          <t>{"tag": "us-gaap:CostOfRevenue", "form": "10-K", "accession": "0001730168-24-000139", "filed": "2024-12-20"}</t>
        </is>
      </c>
    </row>
    <row r="90" ht="42" customHeight="1">
      <c r="A90" s="2" t="inlineStr">
        <is>
          <t>Annual</t>
        </is>
      </c>
      <c r="B90" s="2" t="inlineStr">
        <is>
          <t>cost_of_revenue</t>
        </is>
      </c>
      <c r="C90" s="2" t="inlineStr">
        <is>
          <t>2023-10-29</t>
        </is>
      </c>
      <c r="D90" s="3" t="n">
        <v>11129000000</v>
      </c>
      <c r="E90" s="2" t="inlineStr">
        <is>
          <t>USD</t>
        </is>
      </c>
      <c r="F90" s="2" t="inlineStr">
        <is>
          <t>reported</t>
        </is>
      </c>
      <c r="G90" s="2" t="inlineStr"/>
      <c r="H90" s="2" t="inlineStr">
        <is>
          <t>https://www.sec.gov/Archives/edgar/data/1730168/000173016825000121/0001730168-25-000121-index.html</t>
        </is>
      </c>
      <c r="I90" s="2" t="inlineStr">
        <is>
          <t>{"tag": "us-gaap:CostOfRevenue", "form": "10-K", "accession": "0001730168-25-000121", "filed": "2025-12-18"}</t>
        </is>
      </c>
    </row>
    <row r="91" ht="42" customHeight="1">
      <c r="A91" s="2" t="inlineStr">
        <is>
          <t>Annual</t>
        </is>
      </c>
      <c r="B91" s="2" t="inlineStr">
        <is>
          <t>cost_of_revenue</t>
        </is>
      </c>
      <c r="C91" s="2" t="inlineStr">
        <is>
          <t>2024-11-03</t>
        </is>
      </c>
      <c r="D91" s="3" t="n">
        <v>19065000000</v>
      </c>
      <c r="E91" s="2" t="inlineStr">
        <is>
          <t>USD</t>
        </is>
      </c>
      <c r="F91" s="2" t="inlineStr">
        <is>
          <t>reported</t>
        </is>
      </c>
      <c r="G91" s="2" t="inlineStr">
        <is>
          <t>long_year</t>
        </is>
      </c>
      <c r="H91" s="2" t="inlineStr">
        <is>
          <t>https://www.sec.gov/Archives/edgar/data/1730168/000173016825000121/0001730168-25-000121-index.html</t>
        </is>
      </c>
      <c r="I91" s="2" t="inlineStr">
        <is>
          <t>{"tag": "us-gaap:CostOfRevenue", "form": "10-K", "accession": "0001730168-25-000121", "filed": "2025-12-18"}</t>
        </is>
      </c>
    </row>
    <row r="92" ht="42" customHeight="1">
      <c r="A92" s="2" t="inlineStr">
        <is>
          <t>Annual</t>
        </is>
      </c>
      <c r="B92" s="2" t="inlineStr">
        <is>
          <t>cost_of_revenue</t>
        </is>
      </c>
      <c r="C92" s="2" t="inlineStr">
        <is>
          <t>2025-11-02</t>
        </is>
      </c>
      <c r="D92" s="3" t="n">
        <v>20593000000</v>
      </c>
      <c r="E92" s="2" t="inlineStr">
        <is>
          <t>USD</t>
        </is>
      </c>
      <c r="F92" s="2" t="inlineStr">
        <is>
          <t>reported</t>
        </is>
      </c>
      <c r="G92" s="2" t="inlineStr"/>
      <c r="H92" s="2" t="inlineStr">
        <is>
          <t>https://www.sec.gov/Archives/edgar/data/1730168/000173016825000121/0001730168-25-000121-index.html</t>
        </is>
      </c>
      <c r="I92" s="2" t="inlineStr">
        <is>
          <t>{"tag": "us-gaap:CostOfRevenue", "form": "10-K", "accession": "0001730168-25-000121", "filed": "2025-12-18"}</t>
        </is>
      </c>
    </row>
    <row r="93" ht="42" customHeight="1">
      <c r="A93" s="2" t="inlineStr">
        <is>
          <t>Annual</t>
        </is>
      </c>
      <c r="B93" s="2" t="inlineStr">
        <is>
          <t>gross_profit</t>
        </is>
      </c>
      <c r="C93" s="2" t="inlineStr">
        <is>
          <t>2016-10-30</t>
        </is>
      </c>
      <c r="D93" s="3" t="n">
        <v>5940000000</v>
      </c>
      <c r="E93" s="2" t="inlineStr">
        <is>
          <t>USD</t>
        </is>
      </c>
      <c r="F93" s="2" t="inlineStr">
        <is>
          <t>reported</t>
        </is>
      </c>
      <c r="G93" s="2" t="inlineStr"/>
      <c r="H93" s="2" t="inlineStr">
        <is>
          <t>https://www.sec.gov/Archives/edgar/data/1730168/000173016818000084/0001730168-18-000084-index.html</t>
        </is>
      </c>
      <c r="I93" s="2" t="inlineStr">
        <is>
          <t>{"tag": "us-gaap:GrossProfit", "form": "10-K", "accession": "0001730168-18-000084", "filed": "2018-12-21"}</t>
        </is>
      </c>
    </row>
    <row r="94" ht="42" customHeight="1">
      <c r="A94" s="2" t="inlineStr">
        <is>
          <t>Annual</t>
        </is>
      </c>
      <c r="B94" s="2" t="inlineStr">
        <is>
          <t>gross_profit</t>
        </is>
      </c>
      <c r="C94" s="2" t="inlineStr">
        <is>
          <t>2017-10-29</t>
        </is>
      </c>
      <c r="D94" s="3" t="n">
        <v>8509000000</v>
      </c>
      <c r="E94" s="2" t="inlineStr">
        <is>
          <t>USD</t>
        </is>
      </c>
      <c r="F94" s="2" t="inlineStr">
        <is>
          <t>reported</t>
        </is>
      </c>
      <c r="G94" s="2" t="inlineStr"/>
      <c r="H94" s="2" t="inlineStr">
        <is>
          <t>https://www.sec.gov/Archives/edgar/data/1730168/000173016819000144/0001730168-19-000144-index.html</t>
        </is>
      </c>
      <c r="I94" s="2" t="inlineStr">
        <is>
          <t>{"tag": "us-gaap:GrossProfit", "form": "10-K", "accession": "0001730168-19-000144", "filed": "2019-12-20"}</t>
        </is>
      </c>
    </row>
    <row r="95" ht="42" customHeight="1">
      <c r="A95" s="2" t="inlineStr">
        <is>
          <t>Annual</t>
        </is>
      </c>
      <c r="B95" s="2" t="inlineStr">
        <is>
          <t>gross_profit</t>
        </is>
      </c>
      <c r="C95" s="2" t="inlineStr">
        <is>
          <t>2018-11-04</t>
        </is>
      </c>
      <c r="D95" s="3" t="n">
        <v>10733000000</v>
      </c>
      <c r="E95" s="2" t="inlineStr">
        <is>
          <t>USD</t>
        </is>
      </c>
      <c r="F95" s="2" t="inlineStr">
        <is>
          <t>reported</t>
        </is>
      </c>
      <c r="G95" s="2" t="inlineStr">
        <is>
          <t>long_year</t>
        </is>
      </c>
      <c r="H95" s="2" t="inlineStr">
        <is>
          <t>https://www.sec.gov/Archives/edgar/data/1730168/000173016820000226/0001730168-20-000226-index.html</t>
        </is>
      </c>
      <c r="I95" s="2" t="inlineStr">
        <is>
          <t>{"tag": "us-gaap:GrossProfit", "form": "10-K", "accession": "0001730168-20-000226", "filed": "2020-12-18"}</t>
        </is>
      </c>
    </row>
    <row r="96" ht="42" customHeight="1">
      <c r="A96" s="2" t="inlineStr">
        <is>
          <t>Annual</t>
        </is>
      </c>
      <c r="B96" s="2" t="inlineStr">
        <is>
          <t>gross_profit</t>
        </is>
      </c>
      <c r="C96" s="2" t="inlineStr">
        <is>
          <t>2019-11-03</t>
        </is>
      </c>
      <c r="D96" s="3" t="n">
        <v>12483000000</v>
      </c>
      <c r="E96" s="2" t="inlineStr">
        <is>
          <t>USD</t>
        </is>
      </c>
      <c r="F96" s="2" t="inlineStr">
        <is>
          <t>reported</t>
        </is>
      </c>
      <c r="G96" s="2" t="inlineStr"/>
      <c r="H96" s="2" t="inlineStr">
        <is>
          <t>https://www.sec.gov/Archives/edgar/data/1730168/000173016821000153/0001730168-21-000153-index.html</t>
        </is>
      </c>
      <c r="I96" s="2" t="inlineStr">
        <is>
          <t>{"tag": "us-gaap:GrossProfit", "form": "10-K", "accession": "0001730168-21-000153", "filed": "2021-12-17"}</t>
        </is>
      </c>
    </row>
    <row r="97" ht="42" customHeight="1">
      <c r="A97" s="2" t="inlineStr">
        <is>
          <t>Annual</t>
        </is>
      </c>
      <c r="B97" s="2" t="inlineStr">
        <is>
          <t>gross_profit</t>
        </is>
      </c>
      <c r="C97" s="2" t="inlineStr">
        <is>
          <t>2020-11-01</t>
        </is>
      </c>
      <c r="D97" s="3" t="n">
        <v>13516000000</v>
      </c>
      <c r="E97" s="2" t="inlineStr">
        <is>
          <t>USD</t>
        </is>
      </c>
      <c r="F97" s="2" t="inlineStr">
        <is>
          <t>reported</t>
        </is>
      </c>
      <c r="G97" s="2" t="inlineStr"/>
      <c r="H97" s="2" t="inlineStr">
        <is>
          <t>https://www.sec.gov/Archives/edgar/data/1730168/000173016822000118/0001730168-22-000118-index.html</t>
        </is>
      </c>
      <c r="I97" s="2" t="inlineStr">
        <is>
          <t>{"tag": "us-gaap:GrossProfit", "form": "10-K", "accession": "0001730168-22-000118", "filed": "2022-12-16"}</t>
        </is>
      </c>
    </row>
    <row r="98" ht="42" customHeight="1">
      <c r="A98" s="2" t="inlineStr">
        <is>
          <t>Annual</t>
        </is>
      </c>
      <c r="B98" s="2" t="inlineStr">
        <is>
          <t>gross_profit</t>
        </is>
      </c>
      <c r="C98" s="2" t="inlineStr">
        <is>
          <t>2021-10-31</t>
        </is>
      </c>
      <c r="D98" s="3" t="n">
        <v>16844000000</v>
      </c>
      <c r="E98" s="2" t="inlineStr">
        <is>
          <t>USD</t>
        </is>
      </c>
      <c r="F98" s="2" t="inlineStr">
        <is>
          <t>reported</t>
        </is>
      </c>
      <c r="G98" s="2" t="inlineStr"/>
      <c r="H98" s="2" t="inlineStr">
        <is>
          <t>https://www.sec.gov/Archives/edgar/data/1730168/000173016823000096/0001730168-23-000096-index.html</t>
        </is>
      </c>
      <c r="I98" s="2" t="inlineStr">
        <is>
          <t>{"tag": "us-gaap:GrossProfit", "form": "10-K", "accession": "0001730168-23-000096", "filed": "2023-12-14"}</t>
        </is>
      </c>
    </row>
    <row r="99" ht="42" customHeight="1">
      <c r="A99" s="2" t="inlineStr">
        <is>
          <t>Annual</t>
        </is>
      </c>
      <c r="B99" s="2" t="inlineStr">
        <is>
          <t>gross_profit</t>
        </is>
      </c>
      <c r="C99" s="2" t="inlineStr">
        <is>
          <t>2022-10-30</t>
        </is>
      </c>
      <c r="D99" s="3" t="n">
        <v>22095000000</v>
      </c>
      <c r="E99" s="2" t="inlineStr">
        <is>
          <t>USD</t>
        </is>
      </c>
      <c r="F99" s="2" t="inlineStr">
        <is>
          <t>reported</t>
        </is>
      </c>
      <c r="G99" s="2" t="inlineStr"/>
      <c r="H99" s="2" t="inlineStr">
        <is>
          <t>https://www.sec.gov/Archives/edgar/data/1730168/000173016824000139/0001730168-24-000139-index.html</t>
        </is>
      </c>
      <c r="I99" s="2" t="inlineStr">
        <is>
          <t>{"tag": "us-gaap:GrossProfit", "form": "10-K", "accession": "0001730168-24-000139", "filed": "2024-12-20"}</t>
        </is>
      </c>
    </row>
    <row r="100" ht="42" customHeight="1">
      <c r="A100" s="2" t="inlineStr">
        <is>
          <t>Annual</t>
        </is>
      </c>
      <c r="B100" s="2" t="inlineStr">
        <is>
          <t>gross_profit</t>
        </is>
      </c>
      <c r="C100" s="2" t="inlineStr">
        <is>
          <t>2023-10-29</t>
        </is>
      </c>
      <c r="D100" s="3" t="n">
        <v>24690000000</v>
      </c>
      <c r="E100" s="2" t="inlineStr">
        <is>
          <t>USD</t>
        </is>
      </c>
      <c r="F100" s="2" t="inlineStr">
        <is>
          <t>reported</t>
        </is>
      </c>
      <c r="G100" s="2" t="inlineStr"/>
      <c r="H100" s="2" t="inlineStr">
        <is>
          <t>https://www.sec.gov/Archives/edgar/data/1730168/000173016825000121/0001730168-25-000121-index.html</t>
        </is>
      </c>
      <c r="I100" s="2" t="inlineStr">
        <is>
          <t>{"tag": "us-gaap:GrossProfit", "form": "10-K", "accession": "0001730168-25-000121", "filed": "2025-12-18"}</t>
        </is>
      </c>
    </row>
    <row r="101" ht="42" customHeight="1">
      <c r="A101" s="2" t="inlineStr">
        <is>
          <t>Annual</t>
        </is>
      </c>
      <c r="B101" s="2" t="inlineStr">
        <is>
          <t>gross_profit</t>
        </is>
      </c>
      <c r="C101" s="2" t="inlineStr">
        <is>
          <t>2024-11-03</t>
        </is>
      </c>
      <c r="D101" s="3" t="n">
        <v>32509000000</v>
      </c>
      <c r="E101" s="2" t="inlineStr">
        <is>
          <t>USD</t>
        </is>
      </c>
      <c r="F101" s="2" t="inlineStr">
        <is>
          <t>reported</t>
        </is>
      </c>
      <c r="G101" s="2" t="inlineStr">
        <is>
          <t>long_year</t>
        </is>
      </c>
      <c r="H101" s="2" t="inlineStr">
        <is>
          <t>https://www.sec.gov/Archives/edgar/data/1730168/000173016825000121/0001730168-25-000121-index.html</t>
        </is>
      </c>
      <c r="I101" s="2" t="inlineStr">
        <is>
          <t>{"tag": "us-gaap:GrossProfit", "form": "10-K", "accession": "0001730168-25-000121", "filed": "2025-12-18"}</t>
        </is>
      </c>
    </row>
    <row r="102" ht="42" customHeight="1">
      <c r="A102" s="2" t="inlineStr">
        <is>
          <t>Annual</t>
        </is>
      </c>
      <c r="B102" s="2" t="inlineStr">
        <is>
          <t>gross_profit</t>
        </is>
      </c>
      <c r="C102" s="2" t="inlineStr">
        <is>
          <t>2025-11-02</t>
        </is>
      </c>
      <c r="D102" s="3" t="n">
        <v>43294000000</v>
      </c>
      <c r="E102" s="2" t="inlineStr">
        <is>
          <t>USD</t>
        </is>
      </c>
      <c r="F102" s="2" t="inlineStr">
        <is>
          <t>reported</t>
        </is>
      </c>
      <c r="G102" s="2" t="inlineStr"/>
      <c r="H102" s="2" t="inlineStr">
        <is>
          <t>https://www.sec.gov/Archives/edgar/data/1730168/000173016825000121/0001730168-25-000121-index.html</t>
        </is>
      </c>
      <c r="I102" s="2" t="inlineStr">
        <is>
          <t>{"tag": "us-gaap:GrossProfit", "form": "10-K", "accession": "0001730168-25-000121", "filed": "2025-12-18"}</t>
        </is>
      </c>
    </row>
    <row r="103" ht="42" customHeight="1">
      <c r="A103" s="2" t="inlineStr">
        <is>
          <t>Annual</t>
        </is>
      </c>
      <c r="B103" s="2" t="inlineStr">
        <is>
          <t>rd</t>
        </is>
      </c>
      <c r="C103" s="2" t="inlineStr">
        <is>
          <t>2016-10-30</t>
        </is>
      </c>
      <c r="D103" s="3" t="n">
        <v>2674000000</v>
      </c>
      <c r="E103" s="2" t="inlineStr">
        <is>
          <t>USD</t>
        </is>
      </c>
      <c r="F103" s="2" t="inlineStr">
        <is>
          <t>reported</t>
        </is>
      </c>
      <c r="G103" s="2" t="inlineStr"/>
      <c r="H103" s="2" t="inlineStr">
        <is>
          <t>https://www.sec.gov/Archives/edgar/data/1730168/000173016818000084/0001730168-18-000084-index.html</t>
        </is>
      </c>
      <c r="I103" s="2" t="inlineStr">
        <is>
          <t>{"tag": "us-gaap:ResearchAndDevelopmentExpense", "form": "10-K", "accession": "0001730168-18-000084", "filed": "2018-12-21"}</t>
        </is>
      </c>
    </row>
    <row r="104" ht="42" customHeight="1">
      <c r="A104" s="2" t="inlineStr">
        <is>
          <t>Annual</t>
        </is>
      </c>
      <c r="B104" s="2" t="inlineStr">
        <is>
          <t>rd</t>
        </is>
      </c>
      <c r="C104" s="2" t="inlineStr">
        <is>
          <t>2017-10-29</t>
        </is>
      </c>
      <c r="D104" s="3" t="n">
        <v>3302000000</v>
      </c>
      <c r="E104" s="2" t="inlineStr">
        <is>
          <t>USD</t>
        </is>
      </c>
      <c r="F104" s="2" t="inlineStr">
        <is>
          <t>reported</t>
        </is>
      </c>
      <c r="G104" s="2" t="inlineStr">
        <is>
          <t>restated</t>
        </is>
      </c>
      <c r="H104" s="2" t="inlineStr">
        <is>
          <t>https://www.sec.gov/Archives/edgar/data/1730168/000173016819000144/0001730168-19-000144-index.html</t>
        </is>
      </c>
      <c r="I104" s="2" t="inlineStr">
        <is>
          <t>{"tag": "us-gaap:ResearchAndDevelopmentExpense", "form": "10-K", "accession": "0001730168-19-000144", "filed": "2019-12-20"}</t>
        </is>
      </c>
    </row>
    <row r="105" ht="42" customHeight="1">
      <c r="A105" s="2" t="inlineStr">
        <is>
          <t>Annual</t>
        </is>
      </c>
      <c r="B105" s="2" t="inlineStr">
        <is>
          <t>rd</t>
        </is>
      </c>
      <c r="C105" s="2" t="inlineStr">
        <is>
          <t>2018-11-04</t>
        </is>
      </c>
      <c r="D105" s="3" t="n">
        <v>3768000000</v>
      </c>
      <c r="E105" s="2" t="inlineStr">
        <is>
          <t>USD</t>
        </is>
      </c>
      <c r="F105" s="2" t="inlineStr">
        <is>
          <t>reported</t>
        </is>
      </c>
      <c r="G105" s="2" t="inlineStr">
        <is>
          <t>long_year</t>
        </is>
      </c>
      <c r="H105" s="2" t="inlineStr">
        <is>
          <t>https://www.sec.gov/Archives/edgar/data/1730168/000173016820000226/0001730168-20-000226-index.html</t>
        </is>
      </c>
      <c r="I105" s="2" t="inlineStr">
        <is>
          <t>{"tag": "us-gaap:ResearchAndDevelopmentExpense", "form": "10-K", "accession": "0001730168-20-000226", "filed": "2020-12-18"}</t>
        </is>
      </c>
    </row>
    <row r="106" ht="42" customHeight="1">
      <c r="A106" s="2" t="inlineStr">
        <is>
          <t>Annual</t>
        </is>
      </c>
      <c r="B106" s="2" t="inlineStr">
        <is>
          <t>rd</t>
        </is>
      </c>
      <c r="C106" s="2" t="inlineStr">
        <is>
          <t>2019-11-03</t>
        </is>
      </c>
      <c r="D106" s="3" t="n">
        <v>4696000000</v>
      </c>
      <c r="E106" s="2" t="inlineStr">
        <is>
          <t>USD</t>
        </is>
      </c>
      <c r="F106" s="2" t="inlineStr">
        <is>
          <t>reported</t>
        </is>
      </c>
      <c r="G106" s="2" t="inlineStr"/>
      <c r="H106" s="2" t="inlineStr">
        <is>
          <t>https://www.sec.gov/Archives/edgar/data/1730168/000173016821000153/0001730168-21-000153-index.html</t>
        </is>
      </c>
      <c r="I106" s="2" t="inlineStr">
        <is>
          <t>{"tag": "us-gaap:ResearchAndDevelopmentExpense", "form": "10-K", "accession": "0001730168-21-000153", "filed": "2021-12-17"}</t>
        </is>
      </c>
    </row>
    <row r="107" ht="42" customHeight="1">
      <c r="A107" s="2" t="inlineStr">
        <is>
          <t>Annual</t>
        </is>
      </c>
      <c r="B107" s="2" t="inlineStr">
        <is>
          <t>rd</t>
        </is>
      </c>
      <c r="C107" s="2" t="inlineStr">
        <is>
          <t>2020-11-01</t>
        </is>
      </c>
      <c r="D107" s="3" t="n">
        <v>4968000000</v>
      </c>
      <c r="E107" s="2" t="inlineStr">
        <is>
          <t>USD</t>
        </is>
      </c>
      <c r="F107" s="2" t="inlineStr">
        <is>
          <t>reported</t>
        </is>
      </c>
      <c r="G107" s="2" t="inlineStr"/>
      <c r="H107" s="2" t="inlineStr">
        <is>
          <t>https://www.sec.gov/Archives/edgar/data/1730168/000173016822000118/0001730168-22-000118-index.html</t>
        </is>
      </c>
      <c r="I107" s="2" t="inlineStr">
        <is>
          <t>{"tag": "us-gaap:ResearchAndDevelopmentExpense", "form": "10-K", "accession": "0001730168-22-000118", "filed": "2022-12-16"}</t>
        </is>
      </c>
    </row>
    <row r="108" ht="42" customHeight="1">
      <c r="A108" s="2" t="inlineStr">
        <is>
          <t>Annual</t>
        </is>
      </c>
      <c r="B108" s="2" t="inlineStr">
        <is>
          <t>rd</t>
        </is>
      </c>
      <c r="C108" s="2" t="inlineStr">
        <is>
          <t>2021-10-31</t>
        </is>
      </c>
      <c r="D108" s="3" t="n">
        <v>4854000000</v>
      </c>
      <c r="E108" s="2" t="inlineStr">
        <is>
          <t>USD</t>
        </is>
      </c>
      <c r="F108" s="2" t="inlineStr">
        <is>
          <t>reported</t>
        </is>
      </c>
      <c r="G108" s="2" t="inlineStr"/>
      <c r="H108" s="2" t="inlineStr">
        <is>
          <t>https://www.sec.gov/Archives/edgar/data/1730168/000173016823000096/0001730168-23-000096-index.html</t>
        </is>
      </c>
      <c r="I108" s="2" t="inlineStr">
        <is>
          <t>{"tag": "us-gaap:ResearchAndDevelopmentExpense", "form": "10-K", "accession": "0001730168-23-000096", "filed": "2023-12-14"}</t>
        </is>
      </c>
    </row>
    <row r="109" ht="42" customHeight="1">
      <c r="A109" s="2" t="inlineStr">
        <is>
          <t>Annual</t>
        </is>
      </c>
      <c r="B109" s="2" t="inlineStr">
        <is>
          <t>rd</t>
        </is>
      </c>
      <c r="C109" s="2" t="inlineStr">
        <is>
          <t>2022-10-30</t>
        </is>
      </c>
      <c r="D109" s="3" t="n">
        <v>4919000000</v>
      </c>
      <c r="E109" s="2" t="inlineStr">
        <is>
          <t>USD</t>
        </is>
      </c>
      <c r="F109" s="2" t="inlineStr">
        <is>
          <t>reported</t>
        </is>
      </c>
      <c r="G109" s="2" t="inlineStr"/>
      <c r="H109" s="2" t="inlineStr">
        <is>
          <t>https://www.sec.gov/Archives/edgar/data/1730168/000173016824000139/0001730168-24-000139-index.html</t>
        </is>
      </c>
      <c r="I109" s="2" t="inlineStr">
        <is>
          <t>{"tag": "us-gaap:ResearchAndDevelopmentExpense", "form": "10-K", "accession": "0001730168-24-000139", "filed": "2024-12-20"}</t>
        </is>
      </c>
    </row>
    <row r="110" ht="42" customHeight="1">
      <c r="A110" s="2" t="inlineStr">
        <is>
          <t>Annual</t>
        </is>
      </c>
      <c r="B110" s="2" t="inlineStr">
        <is>
          <t>rd</t>
        </is>
      </c>
      <c r="C110" s="2" t="inlineStr">
        <is>
          <t>2023-10-29</t>
        </is>
      </c>
      <c r="D110" s="3" t="n">
        <v>5253000000</v>
      </c>
      <c r="E110" s="2" t="inlineStr">
        <is>
          <t>USD</t>
        </is>
      </c>
      <c r="F110" s="2" t="inlineStr">
        <is>
          <t>reported</t>
        </is>
      </c>
      <c r="G110" s="2" t="inlineStr"/>
      <c r="H110" s="2" t="inlineStr">
        <is>
          <t>https://www.sec.gov/Archives/edgar/data/1730168/000173016825000121/0001730168-25-000121-index.html</t>
        </is>
      </c>
      <c r="I110" s="2" t="inlineStr">
        <is>
          <t>{"tag": "us-gaap:ResearchAndDevelopmentExpense", "form": "10-K", "accession": "0001730168-25-000121", "filed": "2025-12-18"}</t>
        </is>
      </c>
    </row>
    <row r="111" ht="42" customHeight="1">
      <c r="A111" s="2" t="inlineStr">
        <is>
          <t>Annual</t>
        </is>
      </c>
      <c r="B111" s="2" t="inlineStr">
        <is>
          <t>rd</t>
        </is>
      </c>
      <c r="C111" s="2" t="inlineStr">
        <is>
          <t>2024-11-03</t>
        </is>
      </c>
      <c r="D111" s="3" t="n">
        <v>9310000000</v>
      </c>
      <c r="E111" s="2" t="inlineStr">
        <is>
          <t>USD</t>
        </is>
      </c>
      <c r="F111" s="2" t="inlineStr">
        <is>
          <t>reported</t>
        </is>
      </c>
      <c r="G111" s="2" t="inlineStr">
        <is>
          <t>long_year</t>
        </is>
      </c>
      <c r="H111" s="2" t="inlineStr">
        <is>
          <t>https://www.sec.gov/Archives/edgar/data/1730168/000173016825000121/0001730168-25-000121-index.html</t>
        </is>
      </c>
      <c r="I111" s="2" t="inlineStr">
        <is>
          <t>{"tag": "us-gaap:ResearchAndDevelopmentExpense", "form": "10-K", "accession": "0001730168-25-000121", "filed": "2025-12-18"}</t>
        </is>
      </c>
    </row>
    <row r="112" ht="42" customHeight="1">
      <c r="A112" s="2" t="inlineStr">
        <is>
          <t>Annual</t>
        </is>
      </c>
      <c r="B112" s="2" t="inlineStr">
        <is>
          <t>rd</t>
        </is>
      </c>
      <c r="C112" s="2" t="inlineStr">
        <is>
          <t>2025-11-02</t>
        </is>
      </c>
      <c r="D112" s="3" t="n">
        <v>10977000000</v>
      </c>
      <c r="E112" s="2" t="inlineStr">
        <is>
          <t>USD</t>
        </is>
      </c>
      <c r="F112" s="2" t="inlineStr">
        <is>
          <t>reported</t>
        </is>
      </c>
      <c r="G112" s="2" t="inlineStr"/>
      <c r="H112" s="2" t="inlineStr">
        <is>
          <t>https://www.sec.gov/Archives/edgar/data/1730168/000173016825000121/0001730168-25-000121-index.html</t>
        </is>
      </c>
      <c r="I112" s="2" t="inlineStr">
        <is>
          <t>{"tag": "us-gaap:ResearchAndDevelopmentExpense", "form": "10-K", "accession": "0001730168-25-000121", "filed": "2025-12-18"}</t>
        </is>
      </c>
    </row>
    <row r="113" ht="42" customHeight="1">
      <c r="A113" s="2" t="inlineStr">
        <is>
          <t>Annual</t>
        </is>
      </c>
      <c r="B113" s="2" t="inlineStr">
        <is>
          <t>sga</t>
        </is>
      </c>
      <c r="C113" s="2" t="inlineStr">
        <is>
          <t>2016-10-30</t>
        </is>
      </c>
      <c r="D113" s="3" t="n">
        <v>806000000</v>
      </c>
      <c r="E113" s="2" t="inlineStr">
        <is>
          <t>USD</t>
        </is>
      </c>
      <c r="F113" s="2" t="inlineStr">
        <is>
          <t>reported</t>
        </is>
      </c>
      <c r="G113" s="2" t="inlineStr"/>
      <c r="H113" s="2" t="inlineStr">
        <is>
          <t>https://www.sec.gov/Archives/edgar/data/1730168/000173016818000084/0001730168-18-000084-index.html</t>
        </is>
      </c>
      <c r="I113" s="2" t="inlineStr">
        <is>
          <t>{"tag": "us-gaap:SellingGeneralAndAdministrativeExpense", "form": "10-K", "accession": "0001730168-18-000084", "filed": "2018-12-21"}</t>
        </is>
      </c>
    </row>
    <row r="114" ht="42" customHeight="1">
      <c r="A114" s="2" t="inlineStr">
        <is>
          <t>Annual</t>
        </is>
      </c>
      <c r="B114" s="2" t="inlineStr">
        <is>
          <t>sga</t>
        </is>
      </c>
      <c r="C114" s="2" t="inlineStr">
        <is>
          <t>2017-10-29</t>
        </is>
      </c>
      <c r="D114" s="3" t="n">
        <v>789000000</v>
      </c>
      <c r="E114" s="2" t="inlineStr">
        <is>
          <t>USD</t>
        </is>
      </c>
      <c r="F114" s="2" t="inlineStr">
        <is>
          <t>reported</t>
        </is>
      </c>
      <c r="G114" s="2" t="inlineStr">
        <is>
          <t>restated</t>
        </is>
      </c>
      <c r="H114" s="2" t="inlineStr">
        <is>
          <t>https://www.sec.gov/Archives/edgar/data/1730168/000173016819000144/0001730168-19-000144-index.html</t>
        </is>
      </c>
      <c r="I114" s="2" t="inlineStr">
        <is>
          <t>{"tag": "us-gaap:SellingGeneralAndAdministrativeExpense", "form": "10-K", "accession": "0001730168-19-000144", "filed": "2019-12-20"}</t>
        </is>
      </c>
    </row>
    <row r="115" ht="42" customHeight="1">
      <c r="A115" s="2" t="inlineStr">
        <is>
          <t>Annual</t>
        </is>
      </c>
      <c r="B115" s="2" t="inlineStr">
        <is>
          <t>sga</t>
        </is>
      </c>
      <c r="C115" s="2" t="inlineStr">
        <is>
          <t>2018-11-04</t>
        </is>
      </c>
      <c r="D115" s="3" t="n">
        <v>1056000000</v>
      </c>
      <c r="E115" s="2" t="inlineStr">
        <is>
          <t>USD</t>
        </is>
      </c>
      <c r="F115" s="2" t="inlineStr">
        <is>
          <t>reported</t>
        </is>
      </c>
      <c r="G115" s="2" t="inlineStr">
        <is>
          <t>long_year</t>
        </is>
      </c>
      <c r="H115" s="2" t="inlineStr">
        <is>
          <t>https://www.sec.gov/Archives/edgar/data/1730168/000173016820000226/0001730168-20-000226-index.html</t>
        </is>
      </c>
      <c r="I115" s="2" t="inlineStr">
        <is>
          <t>{"tag": "us-gaap:SellingGeneralAndAdministrativeExpense", "form": "10-K", "accession": "0001730168-20-000226", "filed": "2020-12-18"}</t>
        </is>
      </c>
    </row>
    <row r="116" ht="42" customHeight="1">
      <c r="A116" s="2" t="inlineStr">
        <is>
          <t>Annual</t>
        </is>
      </c>
      <c r="B116" s="2" t="inlineStr">
        <is>
          <t>sga</t>
        </is>
      </c>
      <c r="C116" s="2" t="inlineStr">
        <is>
          <t>2019-11-03</t>
        </is>
      </c>
      <c r="D116" s="3" t="n">
        <v>1709000000</v>
      </c>
      <c r="E116" s="2" t="inlineStr">
        <is>
          <t>USD</t>
        </is>
      </c>
      <c r="F116" s="2" t="inlineStr">
        <is>
          <t>reported</t>
        </is>
      </c>
      <c r="G116" s="2" t="inlineStr"/>
      <c r="H116" s="2" t="inlineStr">
        <is>
          <t>https://www.sec.gov/Archives/edgar/data/1730168/000173016821000153/0001730168-21-000153-index.html</t>
        </is>
      </c>
      <c r="I116" s="2" t="inlineStr">
        <is>
          <t>{"tag": "us-gaap:SellingGeneralAndAdministrativeExpense", "form": "10-K", "accession": "0001730168-21-000153", "filed": "2021-12-17"}</t>
        </is>
      </c>
    </row>
    <row r="117" ht="42" customHeight="1">
      <c r="A117" s="2" t="inlineStr">
        <is>
          <t>Annual</t>
        </is>
      </c>
      <c r="B117" s="2" t="inlineStr">
        <is>
          <t>sga</t>
        </is>
      </c>
      <c r="C117" s="2" t="inlineStr">
        <is>
          <t>2020-11-01</t>
        </is>
      </c>
      <c r="D117" s="3" t="n">
        <v>1935000000</v>
      </c>
      <c r="E117" s="2" t="inlineStr">
        <is>
          <t>USD</t>
        </is>
      </c>
      <c r="F117" s="2" t="inlineStr">
        <is>
          <t>reported</t>
        </is>
      </c>
      <c r="G117" s="2" t="inlineStr"/>
      <c r="H117" s="2" t="inlineStr">
        <is>
          <t>https://www.sec.gov/Archives/edgar/data/1730168/000173016822000118/0001730168-22-000118-index.html</t>
        </is>
      </c>
      <c r="I117" s="2" t="inlineStr">
        <is>
          <t>{"tag": "us-gaap:SellingGeneralAndAdministrativeExpense", "form": "10-K", "accession": "0001730168-22-000118", "filed": "2022-12-16"}</t>
        </is>
      </c>
    </row>
    <row r="118" ht="42" customHeight="1">
      <c r="A118" s="2" t="inlineStr">
        <is>
          <t>Annual</t>
        </is>
      </c>
      <c r="B118" s="2" t="inlineStr">
        <is>
          <t>sga</t>
        </is>
      </c>
      <c r="C118" s="2" t="inlineStr">
        <is>
          <t>2021-10-31</t>
        </is>
      </c>
      <c r="D118" s="3" t="n">
        <v>1347000000</v>
      </c>
      <c r="E118" s="2" t="inlineStr">
        <is>
          <t>USD</t>
        </is>
      </c>
      <c r="F118" s="2" t="inlineStr">
        <is>
          <t>reported</t>
        </is>
      </c>
      <c r="G118" s="2" t="inlineStr"/>
      <c r="H118" s="2" t="inlineStr">
        <is>
          <t>https://www.sec.gov/Archives/edgar/data/1730168/000173016823000096/0001730168-23-000096-index.html</t>
        </is>
      </c>
      <c r="I118" s="2" t="inlineStr">
        <is>
          <t>{"tag": "us-gaap:SellingGeneralAndAdministrativeExpense", "form": "10-K", "accession": "0001730168-23-000096", "filed": "2023-12-14"}</t>
        </is>
      </c>
    </row>
    <row r="119" ht="42" customHeight="1">
      <c r="A119" s="2" t="inlineStr">
        <is>
          <t>Annual</t>
        </is>
      </c>
      <c r="B119" s="2" t="inlineStr">
        <is>
          <t>sga</t>
        </is>
      </c>
      <c r="C119" s="2" t="inlineStr">
        <is>
          <t>2022-10-30</t>
        </is>
      </c>
      <c r="D119" s="3" t="n">
        <v>1382000000</v>
      </c>
      <c r="E119" s="2" t="inlineStr">
        <is>
          <t>USD</t>
        </is>
      </c>
      <c r="F119" s="2" t="inlineStr">
        <is>
          <t>reported</t>
        </is>
      </c>
      <c r="G119" s="2" t="inlineStr"/>
      <c r="H119" s="2" t="inlineStr">
        <is>
          <t>https://www.sec.gov/Archives/edgar/data/1730168/000173016824000139/0001730168-24-000139-index.html</t>
        </is>
      </c>
      <c r="I119" s="2" t="inlineStr">
        <is>
          <t>{"tag": "us-gaap:SellingGeneralAndAdministrativeExpense", "form": "10-K", "accession": "0001730168-24-000139", "filed": "2024-12-20"}</t>
        </is>
      </c>
    </row>
    <row r="120" ht="42" customHeight="1">
      <c r="A120" s="2" t="inlineStr">
        <is>
          <t>Annual</t>
        </is>
      </c>
      <c r="B120" s="2" t="inlineStr">
        <is>
          <t>sga</t>
        </is>
      </c>
      <c r="C120" s="2" t="inlineStr">
        <is>
          <t>2023-10-29</t>
        </is>
      </c>
      <c r="D120" s="3" t="n">
        <v>1592000000</v>
      </c>
      <c r="E120" s="2" t="inlineStr">
        <is>
          <t>USD</t>
        </is>
      </c>
      <c r="F120" s="2" t="inlineStr">
        <is>
          <t>reported</t>
        </is>
      </c>
      <c r="G120" s="2" t="inlineStr"/>
      <c r="H120" s="2" t="inlineStr">
        <is>
          <t>https://www.sec.gov/Archives/edgar/data/1730168/000173016825000121/0001730168-25-000121-index.html</t>
        </is>
      </c>
      <c r="I120" s="2" t="inlineStr">
        <is>
          <t>{"tag": "us-gaap:SellingGeneralAndAdministrativeExpense", "form": "10-K", "accession": "0001730168-25-000121", "filed": "2025-12-18"}</t>
        </is>
      </c>
    </row>
    <row r="121" ht="42" customHeight="1">
      <c r="A121" s="2" t="inlineStr">
        <is>
          <t>Annual</t>
        </is>
      </c>
      <c r="B121" s="2" t="inlineStr">
        <is>
          <t>sga</t>
        </is>
      </c>
      <c r="C121" s="2" t="inlineStr">
        <is>
          <t>2024-11-03</t>
        </is>
      </c>
      <c r="D121" s="3" t="n">
        <v>4959000000</v>
      </c>
      <c r="E121" s="2" t="inlineStr">
        <is>
          <t>USD</t>
        </is>
      </c>
      <c r="F121" s="2" t="inlineStr">
        <is>
          <t>reported</t>
        </is>
      </c>
      <c r="G121" s="2" t="inlineStr">
        <is>
          <t>long_year</t>
        </is>
      </c>
      <c r="H121" s="2" t="inlineStr">
        <is>
          <t>https://www.sec.gov/Archives/edgar/data/1730168/000173016825000121/0001730168-25-000121-index.html</t>
        </is>
      </c>
      <c r="I121" s="2" t="inlineStr">
        <is>
          <t>{"tag": "us-gaap:SellingGeneralAndAdministrativeExpense", "form": "10-K", "accession": "0001730168-25-000121", "filed": "2025-12-18"}</t>
        </is>
      </c>
    </row>
    <row r="122" ht="42" customHeight="1">
      <c r="A122" s="2" t="inlineStr">
        <is>
          <t>Annual</t>
        </is>
      </c>
      <c r="B122" s="2" t="inlineStr">
        <is>
          <t>sga</t>
        </is>
      </c>
      <c r="C122" s="2" t="inlineStr">
        <is>
          <t>2025-11-02</t>
        </is>
      </c>
      <c r="D122" s="3" t="n">
        <v>4211000000</v>
      </c>
      <c r="E122" s="2" t="inlineStr">
        <is>
          <t>USD</t>
        </is>
      </c>
      <c r="F122" s="2" t="inlineStr">
        <is>
          <t>reported</t>
        </is>
      </c>
      <c r="G122" s="2" t="inlineStr"/>
      <c r="H122" s="2" t="inlineStr">
        <is>
          <t>https://www.sec.gov/Archives/edgar/data/1730168/000173016825000121/0001730168-25-000121-index.html</t>
        </is>
      </c>
      <c r="I122" s="2" t="inlineStr">
        <is>
          <t>{"tag": "us-gaap:SellingGeneralAndAdministrativeExpense", "form": "10-K", "accession": "0001730168-25-000121", "filed": "2025-12-18"}</t>
        </is>
      </c>
    </row>
    <row r="123" ht="42" customHeight="1">
      <c r="A123" s="2" t="inlineStr">
        <is>
          <t>Annual</t>
        </is>
      </c>
      <c r="B123" s="2" t="inlineStr">
        <is>
          <t>operating_income</t>
        </is>
      </c>
      <c r="C123" s="2" t="inlineStr">
        <is>
          <t>2016-10-30</t>
        </is>
      </c>
      <c r="D123" s="3" t="n">
        <v>-409000000</v>
      </c>
      <c r="E123" s="2" t="inlineStr">
        <is>
          <t>USD</t>
        </is>
      </c>
      <c r="F123" s="2" t="inlineStr">
        <is>
          <t>reported</t>
        </is>
      </c>
      <c r="G123" s="2" t="inlineStr"/>
      <c r="H123" s="2" t="inlineStr">
        <is>
          <t>https://www.sec.gov/Archives/edgar/data/1730168/000173016818000084/0001730168-18-000084-index.html</t>
        </is>
      </c>
      <c r="I123" s="2" t="inlineStr">
        <is>
          <t>{"tag": "us-gaap:OperatingIncomeLoss", "form": "10-K", "accession": "0001730168-18-000084", "filed": "2018-12-21"}</t>
        </is>
      </c>
    </row>
    <row r="124" ht="42" customHeight="1">
      <c r="A124" s="2" t="inlineStr">
        <is>
          <t>Annual</t>
        </is>
      </c>
      <c r="B124" s="2" t="inlineStr">
        <is>
          <t>operating_income</t>
        </is>
      </c>
      <c r="C124" s="2" t="inlineStr">
        <is>
          <t>2017-10-29</t>
        </is>
      </c>
      <c r="D124" s="3" t="n">
        <v>2371000000</v>
      </c>
      <c r="E124" s="2" t="inlineStr">
        <is>
          <t>USD</t>
        </is>
      </c>
      <c r="F124" s="2" t="inlineStr">
        <is>
          <t>reported</t>
        </is>
      </c>
      <c r="G124" s="2" t="inlineStr">
        <is>
          <t>restated</t>
        </is>
      </c>
      <c r="H124" s="2" t="inlineStr">
        <is>
          <t>https://www.sec.gov/Archives/edgar/data/1730168/000173016819000144/0001730168-19-000144-index.html</t>
        </is>
      </c>
      <c r="I124" s="2" t="inlineStr">
        <is>
          <t>{"tag": "us-gaap:OperatingIncomeLoss", "form": "10-K", "accession": "0001730168-19-000144", "filed": "2019-12-20"}</t>
        </is>
      </c>
    </row>
    <row r="125" ht="42" customHeight="1">
      <c r="A125" s="2" t="inlineStr">
        <is>
          <t>Annual</t>
        </is>
      </c>
      <c r="B125" s="2" t="inlineStr">
        <is>
          <t>operating_income</t>
        </is>
      </c>
      <c r="C125" s="2" t="inlineStr">
        <is>
          <t>2018-11-04</t>
        </is>
      </c>
      <c r="D125" s="3" t="n">
        <v>5135000000</v>
      </c>
      <c r="E125" s="2" t="inlineStr">
        <is>
          <t>USD</t>
        </is>
      </c>
      <c r="F125" s="2" t="inlineStr">
        <is>
          <t>reported</t>
        </is>
      </c>
      <c r="G125" s="2" t="inlineStr">
        <is>
          <t>long_year</t>
        </is>
      </c>
      <c r="H125" s="2" t="inlineStr">
        <is>
          <t>https://www.sec.gov/Archives/edgar/data/1730168/000173016820000226/0001730168-20-000226-index.html</t>
        </is>
      </c>
      <c r="I125" s="2" t="inlineStr">
        <is>
          <t>{"tag": "us-gaap:OperatingIncomeLoss", "form": "10-K", "accession": "0001730168-20-000226", "filed": "2020-12-18"}</t>
        </is>
      </c>
    </row>
    <row r="126" ht="42" customHeight="1">
      <c r="A126" s="2" t="inlineStr">
        <is>
          <t>Annual</t>
        </is>
      </c>
      <c r="B126" s="2" t="inlineStr">
        <is>
          <t>operating_income</t>
        </is>
      </c>
      <c r="C126" s="2" t="inlineStr">
        <is>
          <t>2019-11-03</t>
        </is>
      </c>
      <c r="D126" s="3" t="n">
        <v>3444000000</v>
      </c>
      <c r="E126" s="2" t="inlineStr">
        <is>
          <t>USD</t>
        </is>
      </c>
      <c r="F126" s="2" t="inlineStr">
        <is>
          <t>reported</t>
        </is>
      </c>
      <c r="G126" s="2" t="inlineStr"/>
      <c r="H126" s="2" t="inlineStr">
        <is>
          <t>https://www.sec.gov/Archives/edgar/data/1730168/000173016821000153/0001730168-21-000153-index.html</t>
        </is>
      </c>
      <c r="I126" s="2" t="inlineStr">
        <is>
          <t>{"tag": "us-gaap:OperatingIncomeLoss", "form": "10-K", "accession": "0001730168-21-000153", "filed": "2021-12-17"}</t>
        </is>
      </c>
    </row>
    <row r="127" ht="42" customHeight="1">
      <c r="A127" s="2" t="inlineStr">
        <is>
          <t>Annual</t>
        </is>
      </c>
      <c r="B127" s="2" t="inlineStr">
        <is>
          <t>operating_income</t>
        </is>
      </c>
      <c r="C127" s="2" t="inlineStr">
        <is>
          <t>2020-11-01</t>
        </is>
      </c>
      <c r="D127" s="3" t="n">
        <v>4014000000</v>
      </c>
      <c r="E127" s="2" t="inlineStr">
        <is>
          <t>USD</t>
        </is>
      </c>
      <c r="F127" s="2" t="inlineStr">
        <is>
          <t>reported</t>
        </is>
      </c>
      <c r="G127" s="2" t="inlineStr"/>
      <c r="H127" s="2" t="inlineStr">
        <is>
          <t>https://www.sec.gov/Archives/edgar/data/1730168/000173016822000118/0001730168-22-000118-index.html</t>
        </is>
      </c>
      <c r="I127" s="2" t="inlineStr">
        <is>
          <t>{"tag": "us-gaap:OperatingIncomeLoss", "form": "10-K", "accession": "0001730168-22-000118", "filed": "2022-12-16"}</t>
        </is>
      </c>
    </row>
    <row r="128" ht="42" customHeight="1">
      <c r="A128" s="2" t="inlineStr">
        <is>
          <t>Annual</t>
        </is>
      </c>
      <c r="B128" s="2" t="inlineStr">
        <is>
          <t>operating_income</t>
        </is>
      </c>
      <c r="C128" s="2" t="inlineStr">
        <is>
          <t>2021-10-31</t>
        </is>
      </c>
      <c r="D128" s="3" t="n">
        <v>8519000000</v>
      </c>
      <c r="E128" s="2" t="inlineStr">
        <is>
          <t>USD</t>
        </is>
      </c>
      <c r="F128" s="2" t="inlineStr">
        <is>
          <t>reported</t>
        </is>
      </c>
      <c r="G128" s="2" t="inlineStr"/>
      <c r="H128" s="2" t="inlineStr">
        <is>
          <t>https://www.sec.gov/Archives/edgar/data/1730168/000173016823000096/0001730168-23-000096-index.html</t>
        </is>
      </c>
      <c r="I128" s="2" t="inlineStr">
        <is>
          <t>{"tag": "us-gaap:OperatingIncomeLoss", "form": "10-K", "accession": "0001730168-23-000096", "filed": "2023-12-14"}</t>
        </is>
      </c>
    </row>
    <row r="129" ht="42" customHeight="1">
      <c r="A129" s="2" t="inlineStr">
        <is>
          <t>Annual</t>
        </is>
      </c>
      <c r="B129" s="2" t="inlineStr">
        <is>
          <t>operating_income</t>
        </is>
      </c>
      <c r="C129" s="2" t="inlineStr">
        <is>
          <t>2022-10-30</t>
        </is>
      </c>
      <c r="D129" s="3" t="n">
        <v>14225000000</v>
      </c>
      <c r="E129" s="2" t="inlineStr">
        <is>
          <t>USD</t>
        </is>
      </c>
      <c r="F129" s="2" t="inlineStr">
        <is>
          <t>reported</t>
        </is>
      </c>
      <c r="G129" s="2" t="inlineStr"/>
      <c r="H129" s="2" t="inlineStr">
        <is>
          <t>https://www.sec.gov/Archives/edgar/data/1730168/000173016824000139/0001730168-24-000139-index.html</t>
        </is>
      </c>
      <c r="I129" s="2" t="inlineStr">
        <is>
          <t>{"tag": "us-gaap:OperatingIncomeLoss", "form": "10-K", "accession": "0001730168-24-000139", "filed": "2024-12-20"}</t>
        </is>
      </c>
    </row>
    <row r="130" ht="42" customHeight="1">
      <c r="A130" s="2" t="inlineStr">
        <is>
          <t>Annual</t>
        </is>
      </c>
      <c r="B130" s="2" t="inlineStr">
        <is>
          <t>operating_income</t>
        </is>
      </c>
      <c r="C130" s="2" t="inlineStr">
        <is>
          <t>2023-10-29</t>
        </is>
      </c>
      <c r="D130" s="3" t="n">
        <v>16207000000</v>
      </c>
      <c r="E130" s="2" t="inlineStr">
        <is>
          <t>USD</t>
        </is>
      </c>
      <c r="F130" s="2" t="inlineStr">
        <is>
          <t>reported</t>
        </is>
      </c>
      <c r="G130" s="2" t="inlineStr"/>
      <c r="H130" s="2" t="inlineStr">
        <is>
          <t>https://www.sec.gov/Archives/edgar/data/1730168/000173016825000121/0001730168-25-000121-index.html</t>
        </is>
      </c>
      <c r="I130" s="2" t="inlineStr">
        <is>
          <t>{"tag": "us-gaap:OperatingIncomeLoss", "form": "10-K", "accession": "0001730168-25-000121", "filed": "2025-12-18"}</t>
        </is>
      </c>
    </row>
    <row r="131" ht="42" customHeight="1">
      <c r="A131" s="2" t="inlineStr">
        <is>
          <t>Annual</t>
        </is>
      </c>
      <c r="B131" s="2" t="inlineStr">
        <is>
          <t>operating_income</t>
        </is>
      </c>
      <c r="C131" s="2" t="inlineStr">
        <is>
          <t>2024-11-03</t>
        </is>
      </c>
      <c r="D131" s="3" t="n">
        <v>13463000000</v>
      </c>
      <c r="E131" s="2" t="inlineStr">
        <is>
          <t>USD</t>
        </is>
      </c>
      <c r="F131" s="2" t="inlineStr">
        <is>
          <t>reported</t>
        </is>
      </c>
      <c r="G131" s="2" t="inlineStr">
        <is>
          <t>long_year</t>
        </is>
      </c>
      <c r="H131" s="2" t="inlineStr">
        <is>
          <t>https://www.sec.gov/Archives/edgar/data/1730168/000173016825000121/0001730168-25-000121-index.html</t>
        </is>
      </c>
      <c r="I131" s="2" t="inlineStr">
        <is>
          <t>{"tag": "us-gaap:OperatingIncomeLoss", "form": "10-K", "accession": "0001730168-25-000121", "filed": "2025-12-18"}</t>
        </is>
      </c>
    </row>
    <row r="132" ht="42" customHeight="1">
      <c r="A132" s="2" t="inlineStr">
        <is>
          <t>Annual</t>
        </is>
      </c>
      <c r="B132" s="2" t="inlineStr">
        <is>
          <t>operating_income</t>
        </is>
      </c>
      <c r="C132" s="2" t="inlineStr">
        <is>
          <t>2025-11-02</t>
        </is>
      </c>
      <c r="D132" s="3" t="n">
        <v>25484000000</v>
      </c>
      <c r="E132" s="2" t="inlineStr">
        <is>
          <t>USD</t>
        </is>
      </c>
      <c r="F132" s="2" t="inlineStr">
        <is>
          <t>reported</t>
        </is>
      </c>
      <c r="G132" s="2" t="inlineStr"/>
      <c r="H132" s="2" t="inlineStr">
        <is>
          <t>https://www.sec.gov/Archives/edgar/data/1730168/000173016825000121/0001730168-25-000121-index.html</t>
        </is>
      </c>
      <c r="I132" s="2" t="inlineStr">
        <is>
          <t>{"tag": "us-gaap:OperatingIncomeLoss", "form": "10-K", "accession": "0001730168-25-000121", "filed": "2025-12-18"}</t>
        </is>
      </c>
    </row>
    <row r="133" ht="42" customHeight="1">
      <c r="A133" s="2" t="inlineStr">
        <is>
          <t>Annual</t>
        </is>
      </c>
      <c r="B133" s="2" t="inlineStr">
        <is>
          <t>interest_expense</t>
        </is>
      </c>
      <c r="C133" s="2" t="inlineStr">
        <is>
          <t>2016-10-30</t>
        </is>
      </c>
      <c r="D133" s="3" t="n">
        <v>585000000</v>
      </c>
      <c r="E133" s="2" t="inlineStr">
        <is>
          <t>USD</t>
        </is>
      </c>
      <c r="F133" s="2" t="inlineStr">
        <is>
          <t>reported</t>
        </is>
      </c>
      <c r="G133" s="2" t="inlineStr"/>
      <c r="H133" s="2" t="inlineStr">
        <is>
          <t>https://www.sec.gov/Archives/edgar/data/1730168/000173016818000084/0001730168-18-000084-index.html</t>
        </is>
      </c>
      <c r="I133" s="2" t="inlineStr">
        <is>
          <t>{"tag": "us-gaap:InterestExpense", "form": "10-K", "accession": "0001730168-18-000084", "filed": "2018-12-21"}</t>
        </is>
      </c>
    </row>
    <row r="134" ht="42" customHeight="1">
      <c r="A134" s="2" t="inlineStr">
        <is>
          <t>Annual</t>
        </is>
      </c>
      <c r="B134" s="2" t="inlineStr">
        <is>
          <t>interest_expense</t>
        </is>
      </c>
      <c r="C134" s="2" t="inlineStr">
        <is>
          <t>2017-10-29</t>
        </is>
      </c>
      <c r="D134" s="3" t="n">
        <v>454000000</v>
      </c>
      <c r="E134" s="2" t="inlineStr">
        <is>
          <t>USD</t>
        </is>
      </c>
      <c r="F134" s="2" t="inlineStr">
        <is>
          <t>reported</t>
        </is>
      </c>
      <c r="G134" s="2" t="inlineStr"/>
      <c r="H134" s="2" t="inlineStr">
        <is>
          <t>https://www.sec.gov/Archives/edgar/data/1730168/000173016819000144/0001730168-19-000144-index.html</t>
        </is>
      </c>
      <c r="I134" s="2" t="inlineStr">
        <is>
          <t>{"tag": "us-gaap:InterestExpense", "form": "10-K", "accession": "0001730168-19-000144", "filed": "2019-12-20"}</t>
        </is>
      </c>
    </row>
    <row r="135" ht="42" customHeight="1">
      <c r="A135" s="2" t="inlineStr">
        <is>
          <t>Annual</t>
        </is>
      </c>
      <c r="B135" s="2" t="inlineStr">
        <is>
          <t>interest_expense</t>
        </is>
      </c>
      <c r="C135" s="2" t="inlineStr">
        <is>
          <t>2018-11-04</t>
        </is>
      </c>
      <c r="D135" s="3" t="n">
        <v>628000000</v>
      </c>
      <c r="E135" s="2" t="inlineStr">
        <is>
          <t>USD</t>
        </is>
      </c>
      <c r="F135" s="2" t="inlineStr">
        <is>
          <t>reported</t>
        </is>
      </c>
      <c r="G135" s="2" t="inlineStr">
        <is>
          <t>long_year</t>
        </is>
      </c>
      <c r="H135" s="2" t="inlineStr">
        <is>
          <t>https://www.sec.gov/Archives/edgar/data/1730168/000173016820000226/0001730168-20-000226-index.html</t>
        </is>
      </c>
      <c r="I135" s="2" t="inlineStr">
        <is>
          <t>{"tag": "us-gaap:InterestExpense", "form": "10-K", "accession": "0001730168-20-000226", "filed": "2020-12-18"}</t>
        </is>
      </c>
    </row>
    <row r="136" ht="42" customHeight="1">
      <c r="A136" s="2" t="inlineStr">
        <is>
          <t>Annual</t>
        </is>
      </c>
      <c r="B136" s="2" t="inlineStr">
        <is>
          <t>interest_expense</t>
        </is>
      </c>
      <c r="C136" s="2" t="inlineStr">
        <is>
          <t>2019-11-03</t>
        </is>
      </c>
      <c r="D136" s="3" t="n">
        <v>1444000000</v>
      </c>
      <c r="E136" s="2" t="inlineStr">
        <is>
          <t>USD</t>
        </is>
      </c>
      <c r="F136" s="2" t="inlineStr">
        <is>
          <t>reported</t>
        </is>
      </c>
      <c r="G136" s="2" t="inlineStr"/>
      <c r="H136" s="2" t="inlineStr">
        <is>
          <t>https://www.sec.gov/Archives/edgar/data/1730168/000173016821000153/0001730168-21-000153-index.html</t>
        </is>
      </c>
      <c r="I136" s="2" t="inlineStr">
        <is>
          <t>{"tag": "us-gaap:InterestExpense", "form": "10-K", "accession": "0001730168-21-000153", "filed": "2021-12-17"}</t>
        </is>
      </c>
    </row>
    <row r="137" ht="42" customHeight="1">
      <c r="A137" s="2" t="inlineStr">
        <is>
          <t>Annual</t>
        </is>
      </c>
      <c r="B137" s="2" t="inlineStr">
        <is>
          <t>interest_expense</t>
        </is>
      </c>
      <c r="C137" s="2" t="inlineStr">
        <is>
          <t>2020-11-01</t>
        </is>
      </c>
      <c r="D137" s="3" t="n">
        <v>1777000000</v>
      </c>
      <c r="E137" s="2" t="inlineStr">
        <is>
          <t>USD</t>
        </is>
      </c>
      <c r="F137" s="2" t="inlineStr">
        <is>
          <t>reported</t>
        </is>
      </c>
      <c r="G137" s="2" t="inlineStr"/>
      <c r="H137" s="2" t="inlineStr">
        <is>
          <t>https://www.sec.gov/Archives/edgar/data/1730168/000173016822000118/0001730168-22-000118-index.html</t>
        </is>
      </c>
      <c r="I137" s="2" t="inlineStr">
        <is>
          <t>{"tag": "us-gaap:InterestExpense", "form": "10-K", "accession": "0001730168-22-000118", "filed": "2022-12-16"}</t>
        </is>
      </c>
    </row>
    <row r="138" ht="42" customHeight="1">
      <c r="A138" s="2" t="inlineStr">
        <is>
          <t>Annual</t>
        </is>
      </c>
      <c r="B138" s="2" t="inlineStr">
        <is>
          <t>interest_expense</t>
        </is>
      </c>
      <c r="C138" s="2" t="inlineStr">
        <is>
          <t>2021-10-31</t>
        </is>
      </c>
      <c r="D138" s="3" t="n">
        <v>1885000000</v>
      </c>
      <c r="E138" s="2" t="inlineStr">
        <is>
          <t>USD</t>
        </is>
      </c>
      <c r="F138" s="2" t="inlineStr">
        <is>
          <t>reported</t>
        </is>
      </c>
      <c r="G138" s="2" t="inlineStr"/>
      <c r="H138" s="2" t="inlineStr">
        <is>
          <t>https://www.sec.gov/Archives/edgar/data/1730168/000173016823000096/0001730168-23-000096-index.html</t>
        </is>
      </c>
      <c r="I138" s="2" t="inlineStr">
        <is>
          <t>{"tag": "us-gaap:InterestExpense", "form": "10-K", "accession": "0001730168-23-000096", "filed": "2023-12-14"}</t>
        </is>
      </c>
    </row>
    <row r="139" ht="42" customHeight="1">
      <c r="A139" s="2" t="inlineStr">
        <is>
          <t>Annual</t>
        </is>
      </c>
      <c r="B139" s="2" t="inlineStr">
        <is>
          <t>interest_expense</t>
        </is>
      </c>
      <c r="C139" s="2" t="inlineStr">
        <is>
          <t>2022-10-30</t>
        </is>
      </c>
      <c r="D139" s="3" t="n">
        <v>1737000000</v>
      </c>
      <c r="E139" s="2" t="inlineStr">
        <is>
          <t>USD</t>
        </is>
      </c>
      <c r="F139" s="2" t="inlineStr">
        <is>
          <t>reported</t>
        </is>
      </c>
      <c r="G139" s="2" t="inlineStr"/>
      <c r="H139" s="2" t="inlineStr">
        <is>
          <t>https://www.sec.gov/Archives/edgar/data/1730168/000173016824000139/0001730168-24-000139-index.html</t>
        </is>
      </c>
      <c r="I139" s="2" t="inlineStr">
        <is>
          <t>{"tag": "us-gaap:InterestExpense", "form": "10-K", "accession": "0001730168-24-000139", "filed": "2024-12-20"}</t>
        </is>
      </c>
    </row>
    <row r="140" ht="42" customHeight="1">
      <c r="A140" s="2" t="inlineStr">
        <is>
          <t>Annual</t>
        </is>
      </c>
      <c r="B140" s="2" t="inlineStr">
        <is>
          <t>interest_expense</t>
        </is>
      </c>
      <c r="C140" s="2" t="inlineStr">
        <is>
          <t>2023-10-29</t>
        </is>
      </c>
      <c r="D140" s="3" t="n">
        <v>1622000000</v>
      </c>
      <c r="E140" s="2" t="inlineStr">
        <is>
          <t>USD</t>
        </is>
      </c>
      <c r="F140" s="2" t="inlineStr">
        <is>
          <t>reported</t>
        </is>
      </c>
      <c r="G140" s="2" t="inlineStr"/>
      <c r="H140" s="2" t="inlineStr">
        <is>
          <t>https://www.sec.gov/Archives/edgar/data/1730168/000173016824000139/0001730168-24-000139-index.html</t>
        </is>
      </c>
      <c r="I140" s="2" t="inlineStr">
        <is>
          <t>{"tag": "us-gaap:InterestExpense", "form": "10-K", "accession": "0001730168-24-000139", "filed": "2024-12-20"}</t>
        </is>
      </c>
    </row>
    <row r="141" ht="42" customHeight="1">
      <c r="A141" s="2" t="inlineStr">
        <is>
          <t>Annual</t>
        </is>
      </c>
      <c r="B141" s="2" t="inlineStr">
        <is>
          <t>interest_expense</t>
        </is>
      </c>
      <c r="C141" s="2" t="inlineStr">
        <is>
          <t>2024-11-03</t>
        </is>
      </c>
      <c r="D141" s="3" t="n">
        <v>3953000000</v>
      </c>
      <c r="E141" s="2" t="inlineStr">
        <is>
          <t>USD</t>
        </is>
      </c>
      <c r="F141" s="2" t="inlineStr">
        <is>
          <t>reported</t>
        </is>
      </c>
      <c r="G141" s="2" t="inlineStr">
        <is>
          <t>long_year</t>
        </is>
      </c>
      <c r="H141" s="2" t="inlineStr">
        <is>
          <t>https://www.sec.gov/Archives/edgar/data/1730168/000173016824000139/0001730168-24-000139-index.html</t>
        </is>
      </c>
      <c r="I141" s="2" t="inlineStr">
        <is>
          <t>{"tag": "us-gaap:InterestExpense", "form": "10-K", "accession": "0001730168-24-000139", "filed": "2024-12-20"}</t>
        </is>
      </c>
    </row>
    <row r="142" ht="42" customHeight="1">
      <c r="A142" s="2" t="inlineStr">
        <is>
          <t>Annual</t>
        </is>
      </c>
      <c r="B142" s="2" t="inlineStr">
        <is>
          <t>interest_expense</t>
        </is>
      </c>
      <c r="C142" s="2" t="inlineStr">
        <is>
          <t>2025-11-02</t>
        </is>
      </c>
      <c r="D142" s="3" t="n">
        <v>3210000000</v>
      </c>
      <c r="E142" s="2" t="inlineStr">
        <is>
          <t>USD</t>
        </is>
      </c>
      <c r="F142" s="2" t="inlineStr">
        <is>
          <t>reported</t>
        </is>
      </c>
      <c r="G142" s="2" t="inlineStr"/>
      <c r="H142" s="2" t="inlineStr">
        <is>
          <t>https://www.sec.gov/Archives/edgar/data/1730168/000173016825000121/0001730168-25-000121-index.html</t>
        </is>
      </c>
      <c r="I142" s="2" t="inlineStr">
        <is>
          <t>{"tag": "us-gaap:InterestExpenseNonoperating", "form": "10-K", "accession": "0001730168-25-000121", "filed": "2025-12-18"}</t>
        </is>
      </c>
    </row>
    <row r="143" ht="42" customHeight="1">
      <c r="A143" s="2" t="inlineStr">
        <is>
          <t>Annual</t>
        </is>
      </c>
      <c r="B143" s="2" t="inlineStr">
        <is>
          <t>pretax_income</t>
        </is>
      </c>
      <c r="C143" s="2" t="inlineStr">
        <is>
          <t>2016-10-30</t>
        </is>
      </c>
      <c r="D143" s="3" t="n">
        <v>-1107000000</v>
      </c>
      <c r="E143" s="2" t="inlineStr">
        <is>
          <t>USD</t>
        </is>
      </c>
      <c r="F143" s="2" t="inlineStr">
        <is>
          <t>reported</t>
        </is>
      </c>
      <c r="G143" s="2" t="inlineStr"/>
      <c r="H143" s="2" t="inlineStr">
        <is>
          <t>https://www.sec.gov/Archives/edgar/data/1730168/000173016818000084/0001730168-18-000084-index.html</t>
        </is>
      </c>
      <c r="I143" s="2" t="inlineStr">
        <is>
          <t>{"tag": "us-gaap:IncomeLossFromContinuingOperationsBeforeIncomeTaxesExtraordinaryItemsNoncontrollingInterest", "form": "10-K", "accession": "0001730168-18-000084", "filed": "2018-12-21"}</t>
        </is>
      </c>
    </row>
    <row r="144" ht="42" customHeight="1">
      <c r="A144" s="2" t="inlineStr">
        <is>
          <t>Annual</t>
        </is>
      </c>
      <c r="B144" s="2" t="inlineStr">
        <is>
          <t>pretax_income</t>
        </is>
      </c>
      <c r="C144" s="2" t="inlineStr">
        <is>
          <t>2017-10-29</t>
        </is>
      </c>
      <c r="D144" s="3" t="n">
        <v>1825000000</v>
      </c>
      <c r="E144" s="2" t="inlineStr">
        <is>
          <t>USD</t>
        </is>
      </c>
      <c r="F144" s="2" t="inlineStr">
        <is>
          <t>reported</t>
        </is>
      </c>
      <c r="G144" s="2" t="inlineStr"/>
      <c r="H144" s="2" t="inlineStr">
        <is>
          <t>https://www.sec.gov/Archives/edgar/data/1730168/000173016819000144/0001730168-19-000144-index.html</t>
        </is>
      </c>
      <c r="I144" s="2" t="inlineStr">
        <is>
          <t>{"tag": "us-gaap:IncomeLossFromContinuingOperationsBeforeIncomeTaxesExtraordinaryItemsNoncontrollingInterest", "form": "10-K", "accession": "0001730168-19-000144", "filed": "2019-12-20"}</t>
        </is>
      </c>
    </row>
    <row r="145" ht="42" customHeight="1">
      <c r="A145" s="2" t="inlineStr">
        <is>
          <t>Annual</t>
        </is>
      </c>
      <c r="B145" s="2" t="inlineStr">
        <is>
          <t>pretax_income</t>
        </is>
      </c>
      <c r="C145" s="2" t="inlineStr">
        <is>
          <t>2018-11-04</t>
        </is>
      </c>
      <c r="D145" s="3" t="n">
        <v>4545000000</v>
      </c>
      <c r="E145" s="2" t="inlineStr">
        <is>
          <t>USD</t>
        </is>
      </c>
      <c r="F145" s="2" t="inlineStr">
        <is>
          <t>reported</t>
        </is>
      </c>
      <c r="G145" s="2" t="inlineStr">
        <is>
          <t>long_year</t>
        </is>
      </c>
      <c r="H145" s="2" t="inlineStr">
        <is>
          <t>https://www.sec.gov/Archives/edgar/data/1730168/000173016820000226/0001730168-20-000226-index.html</t>
        </is>
      </c>
      <c r="I145" s="2" t="inlineStr">
        <is>
          <t>{"tag": "us-gaap:IncomeLossFromContinuingOperationsBeforeIncomeTaxesExtraordinaryItemsNoncontrollingInterest", "form": "10-K", "accession": "0001730168-20-000226", "filed": "2020-12-18"}</t>
        </is>
      </c>
    </row>
    <row r="146" ht="42" customHeight="1">
      <c r="A146" s="2" t="inlineStr">
        <is>
          <t>Annual</t>
        </is>
      </c>
      <c r="B146" s="2" t="inlineStr">
        <is>
          <t>pretax_income</t>
        </is>
      </c>
      <c r="C146" s="2" t="inlineStr">
        <is>
          <t>2019-11-03</t>
        </is>
      </c>
      <c r="D146" s="3" t="n">
        <v>2226000000</v>
      </c>
      <c r="E146" s="2" t="inlineStr">
        <is>
          <t>USD</t>
        </is>
      </c>
      <c r="F146" s="2" t="inlineStr">
        <is>
          <t>reported</t>
        </is>
      </c>
      <c r="G146" s="2" t="inlineStr"/>
      <c r="H146" s="2" t="inlineStr">
        <is>
          <t>https://www.sec.gov/Archives/edgar/data/1730168/000173016821000153/0001730168-21-000153-index.html</t>
        </is>
      </c>
      <c r="I146" s="2" t="inlineStr">
        <is>
          <t>{"tag": "us-gaap:IncomeLossFromContinuingOperationsBeforeIncomeTaxesExtraordinaryItemsNoncontrollingInterest", "form": "10-K", "accession": "0001730168-21-000153", "filed": "2021-12-17"}</t>
        </is>
      </c>
    </row>
    <row r="147" ht="42" customHeight="1">
      <c r="A147" s="2" t="inlineStr">
        <is>
          <t>Annual</t>
        </is>
      </c>
      <c r="B147" s="2" t="inlineStr">
        <is>
          <t>pretax_income</t>
        </is>
      </c>
      <c r="C147" s="2" t="inlineStr">
        <is>
          <t>2020-11-01</t>
        </is>
      </c>
      <c r="D147" s="3" t="n">
        <v>2443000000</v>
      </c>
      <c r="E147" s="2" t="inlineStr">
        <is>
          <t>USD</t>
        </is>
      </c>
      <c r="F147" s="2" t="inlineStr">
        <is>
          <t>reported</t>
        </is>
      </c>
      <c r="G147" s="2" t="inlineStr"/>
      <c r="H147" s="2" t="inlineStr">
        <is>
          <t>https://www.sec.gov/Archives/edgar/data/1730168/000173016822000118/0001730168-22-000118-index.html</t>
        </is>
      </c>
      <c r="I147" s="2" t="inlineStr">
        <is>
          <t>{"tag": "us-gaap:IncomeLossFromContinuingOperationsBeforeIncomeTaxesExtraordinaryItemsNoncontrollingInterest", "form": "10-K", "accession": "0001730168-22-000118", "filed": "2022-12-16"}</t>
        </is>
      </c>
    </row>
    <row r="148" ht="42" customHeight="1">
      <c r="A148" s="2" t="inlineStr">
        <is>
          <t>Annual</t>
        </is>
      </c>
      <c r="B148" s="2" t="inlineStr">
        <is>
          <t>pretax_income</t>
        </is>
      </c>
      <c r="C148" s="2" t="inlineStr">
        <is>
          <t>2021-10-31</t>
        </is>
      </c>
      <c r="D148" s="3" t="n">
        <v>6765000000</v>
      </c>
      <c r="E148" s="2" t="inlineStr">
        <is>
          <t>USD</t>
        </is>
      </c>
      <c r="F148" s="2" t="inlineStr">
        <is>
          <t>reported</t>
        </is>
      </c>
      <c r="G148" s="2" t="inlineStr"/>
      <c r="H148" s="2" t="inlineStr">
        <is>
          <t>https://www.sec.gov/Archives/edgar/data/1730168/000173016823000096/0001730168-23-000096-index.html</t>
        </is>
      </c>
      <c r="I148" s="2" t="inlineStr">
        <is>
          <t>{"tag": "us-gaap:IncomeLossFromContinuingOperationsBeforeIncomeTaxesExtraordinaryItemsNoncontrollingInterest", "form": "10-K", "accession": "0001730168-23-000096", "filed": "2023-12-14"}</t>
        </is>
      </c>
    </row>
    <row r="149" ht="42" customHeight="1">
      <c r="A149" s="2" t="inlineStr">
        <is>
          <t>Annual</t>
        </is>
      </c>
      <c r="B149" s="2" t="inlineStr">
        <is>
          <t>pretax_income</t>
        </is>
      </c>
      <c r="C149" s="2" t="inlineStr">
        <is>
          <t>2022-10-30</t>
        </is>
      </c>
      <c r="D149" s="3" t="n">
        <v>12434000000</v>
      </c>
      <c r="E149" s="2" t="inlineStr">
        <is>
          <t>USD</t>
        </is>
      </c>
      <c r="F149" s="2" t="inlineStr">
        <is>
          <t>reported</t>
        </is>
      </c>
      <c r="G149" s="2" t="inlineStr"/>
      <c r="H149" s="2" t="inlineStr">
        <is>
          <t>https://www.sec.gov/Archives/edgar/data/1730168/000173016824000139/0001730168-24-000139-index.html</t>
        </is>
      </c>
      <c r="I149" s="2" t="inlineStr">
        <is>
          <t>{"tag": "us-gaap:IncomeLossFromContinuingOperationsBeforeIncomeTaxesExtraordinaryItemsNoncontrollingInterest", "form": "10-K", "accession": "0001730168-24-000139", "filed": "2024-12-20"}</t>
        </is>
      </c>
    </row>
    <row r="150" ht="42" customHeight="1">
      <c r="A150" s="2" t="inlineStr">
        <is>
          <t>Annual</t>
        </is>
      </c>
      <c r="B150" s="2" t="inlineStr">
        <is>
          <t>pretax_income</t>
        </is>
      </c>
      <c r="C150" s="2" t="inlineStr">
        <is>
          <t>2023-10-29</t>
        </is>
      </c>
      <c r="D150" s="3" t="n">
        <v>15097000000</v>
      </c>
      <c r="E150" s="2" t="inlineStr">
        <is>
          <t>USD</t>
        </is>
      </c>
      <c r="F150" s="2" t="inlineStr">
        <is>
          <t>reported</t>
        </is>
      </c>
      <c r="G150" s="2" t="inlineStr"/>
      <c r="H150" s="2" t="inlineStr">
        <is>
          <t>https://www.sec.gov/Archives/edgar/data/1730168/000173016825000121/0001730168-25-000121-index.html</t>
        </is>
      </c>
      <c r="I150" s="2" t="inlineStr">
        <is>
          <t>{"tag": "us-gaap:IncomeLossFromContinuingOperationsBeforeIncomeTaxesExtraordinaryItemsNoncontrollingInterest", "form": "10-K", "accession": "0001730168-25-000121", "filed": "2025-12-18"}</t>
        </is>
      </c>
    </row>
    <row r="151" ht="42" customHeight="1">
      <c r="A151" s="2" t="inlineStr">
        <is>
          <t>Annual</t>
        </is>
      </c>
      <c r="B151" s="2" t="inlineStr">
        <is>
          <t>pretax_income</t>
        </is>
      </c>
      <c r="C151" s="2" t="inlineStr">
        <is>
          <t>2024-11-03</t>
        </is>
      </c>
      <c r="D151" s="3" t="n">
        <v>9916000000</v>
      </c>
      <c r="E151" s="2" t="inlineStr">
        <is>
          <t>USD</t>
        </is>
      </c>
      <c r="F151" s="2" t="inlineStr">
        <is>
          <t>reported</t>
        </is>
      </c>
      <c r="G151" s="2" t="inlineStr">
        <is>
          <t>long_year</t>
        </is>
      </c>
      <c r="H151" s="2" t="inlineStr">
        <is>
          <t>https://www.sec.gov/Archives/edgar/data/1730168/000173016825000121/0001730168-25-000121-index.html</t>
        </is>
      </c>
      <c r="I151" s="2" t="inlineStr">
        <is>
          <t>{"tag": "us-gaap:IncomeLossFromContinuingOperationsBeforeIncomeTaxesExtraordinaryItemsNoncontrollingInterest", "form": "10-K", "accession": "0001730168-25-000121", "filed": "2025-12-18"}</t>
        </is>
      </c>
    </row>
    <row r="152" ht="42" customHeight="1">
      <c r="A152" s="2" t="inlineStr">
        <is>
          <t>Annual</t>
        </is>
      </c>
      <c r="B152" s="2" t="inlineStr">
        <is>
          <t>pretax_income</t>
        </is>
      </c>
      <c r="C152" s="2" t="inlineStr">
        <is>
          <t>2025-11-02</t>
        </is>
      </c>
      <c r="D152" s="3" t="n">
        <v>22729000000</v>
      </c>
      <c r="E152" s="2" t="inlineStr">
        <is>
          <t>USD</t>
        </is>
      </c>
      <c r="F152" s="2" t="inlineStr">
        <is>
          <t>reported</t>
        </is>
      </c>
      <c r="G152" s="2" t="inlineStr"/>
      <c r="H152" s="2" t="inlineStr">
        <is>
          <t>https://www.sec.gov/Archives/edgar/data/1730168/000173016825000121/0001730168-25-000121-index.html</t>
        </is>
      </c>
      <c r="I152" s="2" t="inlineStr">
        <is>
          <t>{"tag": "us-gaap:IncomeLossFromContinuingOperationsBeforeIncomeTaxesExtraordinaryItemsNoncontrollingInterest", "form": "10-K", "accession": "0001730168-25-000121", "filed": "2025-12-18"}</t>
        </is>
      </c>
    </row>
    <row r="153" ht="42" customHeight="1">
      <c r="A153" s="2" t="inlineStr">
        <is>
          <t>Annual</t>
        </is>
      </c>
      <c r="B153" s="2" t="inlineStr">
        <is>
          <t>income_tax</t>
        </is>
      </c>
      <c r="C153" s="2" t="inlineStr">
        <is>
          <t>2016-10-30</t>
        </is>
      </c>
      <c r="D153" s="3" t="n">
        <v>642000000</v>
      </c>
      <c r="E153" s="2" t="inlineStr">
        <is>
          <t>USD</t>
        </is>
      </c>
      <c r="F153" s="2" t="inlineStr">
        <is>
          <t>reported</t>
        </is>
      </c>
      <c r="G153" s="2" t="inlineStr"/>
      <c r="H153" s="2" t="inlineStr">
        <is>
          <t>https://www.sec.gov/Archives/edgar/data/1730168/000173016818000084/0001730168-18-000084-index.html</t>
        </is>
      </c>
      <c r="I153" s="2" t="inlineStr">
        <is>
          <t>{"tag": "us-gaap:IncomeTaxExpenseBenefit", "form": "10-K", "accession": "0001730168-18-000084", "filed": "2018-12-21"}</t>
        </is>
      </c>
    </row>
    <row r="154" ht="42" customHeight="1">
      <c r="A154" s="2" t="inlineStr">
        <is>
          <t>Annual</t>
        </is>
      </c>
      <c r="B154" s="2" t="inlineStr">
        <is>
          <t>income_tax</t>
        </is>
      </c>
      <c r="C154" s="2" t="inlineStr">
        <is>
          <t>2017-10-29</t>
        </is>
      </c>
      <c r="D154" s="3" t="n">
        <v>35000000</v>
      </c>
      <c r="E154" s="2" t="inlineStr">
        <is>
          <t>USD</t>
        </is>
      </c>
      <c r="F154" s="2" t="inlineStr">
        <is>
          <t>reported</t>
        </is>
      </c>
      <c r="G154" s="2" t="inlineStr"/>
      <c r="H154" s="2" t="inlineStr">
        <is>
          <t>https://www.sec.gov/Archives/edgar/data/1730168/000173016819000144/0001730168-19-000144-index.html</t>
        </is>
      </c>
      <c r="I154" s="2" t="inlineStr">
        <is>
          <t>{"tag": "us-gaap:IncomeTaxExpenseBenefit", "form": "10-K", "accession": "0001730168-19-000144", "filed": "2019-12-20"}</t>
        </is>
      </c>
    </row>
    <row r="155" ht="42" customHeight="1">
      <c r="A155" s="2" t="inlineStr">
        <is>
          <t>Annual</t>
        </is>
      </c>
      <c r="B155" s="2" t="inlineStr">
        <is>
          <t>income_tax</t>
        </is>
      </c>
      <c r="C155" s="2" t="inlineStr">
        <is>
          <t>2018-11-04</t>
        </is>
      </c>
      <c r="D155" s="3" t="n">
        <v>-8084000000</v>
      </c>
      <c r="E155" s="2" t="inlineStr">
        <is>
          <t>USD</t>
        </is>
      </c>
      <c r="F155" s="2" t="inlineStr">
        <is>
          <t>reported</t>
        </is>
      </c>
      <c r="G155" s="2" t="inlineStr">
        <is>
          <t>long_year</t>
        </is>
      </c>
      <c r="H155" s="2" t="inlineStr">
        <is>
          <t>https://www.sec.gov/Archives/edgar/data/1730168/000173016820000226/0001730168-20-000226-index.html</t>
        </is>
      </c>
      <c r="I155" s="2" t="inlineStr">
        <is>
          <t>{"tag": "us-gaap:IncomeTaxExpenseBenefit", "form": "10-K", "accession": "0001730168-20-000226", "filed": "2020-12-18"}</t>
        </is>
      </c>
    </row>
    <row r="156" ht="42" customHeight="1">
      <c r="A156" s="2" t="inlineStr">
        <is>
          <t>Annual</t>
        </is>
      </c>
      <c r="B156" s="2" t="inlineStr">
        <is>
          <t>income_tax</t>
        </is>
      </c>
      <c r="C156" s="2" t="inlineStr">
        <is>
          <t>2019-11-03</t>
        </is>
      </c>
      <c r="D156" s="3" t="n">
        <v>-510000000</v>
      </c>
      <c r="E156" s="2" t="inlineStr">
        <is>
          <t>USD</t>
        </is>
      </c>
      <c r="F156" s="2" t="inlineStr">
        <is>
          <t>reported</t>
        </is>
      </c>
      <c r="G156" s="2" t="inlineStr"/>
      <c r="H156" s="2" t="inlineStr">
        <is>
          <t>https://www.sec.gov/Archives/edgar/data/1730168/000173016821000153/0001730168-21-000153-index.html</t>
        </is>
      </c>
      <c r="I156" s="2" t="inlineStr">
        <is>
          <t>{"tag": "us-gaap:IncomeTaxExpenseBenefit", "form": "10-K", "accession": "0001730168-21-000153", "filed": "2021-12-17"}</t>
        </is>
      </c>
    </row>
    <row r="157" ht="42" customHeight="1">
      <c r="A157" s="2" t="inlineStr">
        <is>
          <t>Annual</t>
        </is>
      </c>
      <c r="B157" s="2" t="inlineStr">
        <is>
          <t>income_tax</t>
        </is>
      </c>
      <c r="C157" s="2" t="inlineStr">
        <is>
          <t>2020-11-01</t>
        </is>
      </c>
      <c r="D157" s="3" t="n">
        <v>-518000000</v>
      </c>
      <c r="E157" s="2" t="inlineStr">
        <is>
          <t>USD</t>
        </is>
      </c>
      <c r="F157" s="2" t="inlineStr">
        <is>
          <t>reported</t>
        </is>
      </c>
      <c r="G157" s="2" t="inlineStr"/>
      <c r="H157" s="2" t="inlineStr">
        <is>
          <t>https://www.sec.gov/Archives/edgar/data/1730168/000173016822000118/0001730168-22-000118-index.html</t>
        </is>
      </c>
      <c r="I157" s="2" t="inlineStr">
        <is>
          <t>{"tag": "us-gaap:IncomeTaxExpenseBenefit", "form": "10-K", "accession": "0001730168-22-000118", "filed": "2022-12-16"}</t>
        </is>
      </c>
    </row>
    <row r="158" ht="42" customHeight="1">
      <c r="A158" s="2" t="inlineStr">
        <is>
          <t>Annual</t>
        </is>
      </c>
      <c r="B158" s="2" t="inlineStr">
        <is>
          <t>income_tax</t>
        </is>
      </c>
      <c r="C158" s="2" t="inlineStr">
        <is>
          <t>2021-10-31</t>
        </is>
      </c>
      <c r="D158" s="3" t="n">
        <v>29000000</v>
      </c>
      <c r="E158" s="2" t="inlineStr">
        <is>
          <t>USD</t>
        </is>
      </c>
      <c r="F158" s="2" t="inlineStr">
        <is>
          <t>reported</t>
        </is>
      </c>
      <c r="G158" s="2" t="inlineStr"/>
      <c r="H158" s="2" t="inlineStr">
        <is>
          <t>https://www.sec.gov/Archives/edgar/data/1730168/000173016823000096/0001730168-23-000096-index.html</t>
        </is>
      </c>
      <c r="I158" s="2" t="inlineStr">
        <is>
          <t>{"tag": "us-gaap:IncomeTaxExpenseBenefit", "form": "10-K", "accession": "0001730168-23-000096", "filed": "2023-12-14"}</t>
        </is>
      </c>
    </row>
    <row r="159" ht="42" customHeight="1">
      <c r="A159" s="2" t="inlineStr">
        <is>
          <t>Annual</t>
        </is>
      </c>
      <c r="B159" s="2" t="inlineStr">
        <is>
          <t>income_tax</t>
        </is>
      </c>
      <c r="C159" s="2" t="inlineStr">
        <is>
          <t>2022-10-30</t>
        </is>
      </c>
      <c r="D159" s="3" t="n">
        <v>939000000</v>
      </c>
      <c r="E159" s="2" t="inlineStr">
        <is>
          <t>USD</t>
        </is>
      </c>
      <c r="F159" s="2" t="inlineStr">
        <is>
          <t>reported</t>
        </is>
      </c>
      <c r="G159" s="2" t="inlineStr"/>
      <c r="H159" s="2" t="inlineStr">
        <is>
          <t>https://www.sec.gov/Archives/edgar/data/1730168/000173016824000139/0001730168-24-000139-index.html</t>
        </is>
      </c>
      <c r="I159" s="2" t="inlineStr">
        <is>
          <t>{"tag": "us-gaap:IncomeTaxExpenseBenefit", "form": "10-K", "accession": "0001730168-24-000139", "filed": "2024-12-20"}</t>
        </is>
      </c>
    </row>
    <row r="160" ht="42" customHeight="1">
      <c r="A160" s="2" t="inlineStr">
        <is>
          <t>Annual</t>
        </is>
      </c>
      <c r="B160" s="2" t="inlineStr">
        <is>
          <t>income_tax</t>
        </is>
      </c>
      <c r="C160" s="2" t="inlineStr">
        <is>
          <t>2023-10-29</t>
        </is>
      </c>
      <c r="D160" s="3" t="n">
        <v>1015000000</v>
      </c>
      <c r="E160" s="2" t="inlineStr">
        <is>
          <t>USD</t>
        </is>
      </c>
      <c r="F160" s="2" t="inlineStr">
        <is>
          <t>reported</t>
        </is>
      </c>
      <c r="G160" s="2" t="inlineStr"/>
      <c r="H160" s="2" t="inlineStr">
        <is>
          <t>https://www.sec.gov/Archives/edgar/data/1730168/000173016825000121/0001730168-25-000121-index.html</t>
        </is>
      </c>
      <c r="I160" s="2" t="inlineStr">
        <is>
          <t>{"tag": "us-gaap:IncomeTaxExpenseBenefit", "form": "10-K", "accession": "0001730168-25-000121", "filed": "2025-12-18"}</t>
        </is>
      </c>
    </row>
    <row r="161" ht="42" customHeight="1">
      <c r="A161" s="2" t="inlineStr">
        <is>
          <t>Annual</t>
        </is>
      </c>
      <c r="B161" s="2" t="inlineStr">
        <is>
          <t>income_tax</t>
        </is>
      </c>
      <c r="C161" s="2" t="inlineStr">
        <is>
          <t>2024-11-03</t>
        </is>
      </c>
      <c r="D161" s="3" t="n">
        <v>3748000000</v>
      </c>
      <c r="E161" s="2" t="inlineStr">
        <is>
          <t>USD</t>
        </is>
      </c>
      <c r="F161" s="2" t="inlineStr">
        <is>
          <t>reported</t>
        </is>
      </c>
      <c r="G161" s="2" t="inlineStr">
        <is>
          <t>long_year</t>
        </is>
      </c>
      <c r="H161" s="2" t="inlineStr">
        <is>
          <t>https://www.sec.gov/Archives/edgar/data/1730168/000173016825000121/0001730168-25-000121-index.html</t>
        </is>
      </c>
      <c r="I161" s="2" t="inlineStr">
        <is>
          <t>{"tag": "us-gaap:IncomeTaxExpenseBenefit", "form": "10-K", "accession": "0001730168-25-000121", "filed": "2025-12-18"}</t>
        </is>
      </c>
    </row>
    <row r="162" ht="42" customHeight="1">
      <c r="A162" s="2" t="inlineStr">
        <is>
          <t>Annual</t>
        </is>
      </c>
      <c r="B162" s="2" t="inlineStr">
        <is>
          <t>income_tax</t>
        </is>
      </c>
      <c r="C162" s="2" t="inlineStr">
        <is>
          <t>2025-11-02</t>
        </is>
      </c>
      <c r="D162" s="3" t="n">
        <v>-397000000</v>
      </c>
      <c r="E162" s="2" t="inlineStr">
        <is>
          <t>USD</t>
        </is>
      </c>
      <c r="F162" s="2" t="inlineStr">
        <is>
          <t>reported</t>
        </is>
      </c>
      <c r="G162" s="2" t="inlineStr"/>
      <c r="H162" s="2" t="inlineStr">
        <is>
          <t>https://www.sec.gov/Archives/edgar/data/1730168/000173016825000121/0001730168-25-000121-index.html</t>
        </is>
      </c>
      <c r="I162" s="2" t="inlineStr">
        <is>
          <t>{"tag": "us-gaap:IncomeTaxExpenseBenefit", "form": "10-K", "accession": "0001730168-25-000121", "filed": "2025-12-18"}</t>
        </is>
      </c>
    </row>
    <row r="163" ht="42" customHeight="1">
      <c r="A163" s="2" t="inlineStr">
        <is>
          <t>Annual</t>
        </is>
      </c>
      <c r="B163" s="2" t="inlineStr">
        <is>
          <t>net_income</t>
        </is>
      </c>
      <c r="C163" s="2" t="inlineStr">
        <is>
          <t>2016-10-30</t>
        </is>
      </c>
      <c r="D163" s="3" t="n">
        <v>-1739000000</v>
      </c>
      <c r="E163" s="2" t="inlineStr">
        <is>
          <t>USD</t>
        </is>
      </c>
      <c r="F163" s="2" t="inlineStr">
        <is>
          <t>reported</t>
        </is>
      </c>
      <c r="G163" s="2" t="inlineStr">
        <is>
          <t>tag_conflict</t>
        </is>
      </c>
      <c r="H163" s="2" t="inlineStr">
        <is>
          <t>https://www.sec.gov/Archives/edgar/data/1730168/000173016818000084/0001730168-18-000084-index.html</t>
        </is>
      </c>
      <c r="I163" s="2" t="inlineStr">
        <is>
          <t>{"tag": "us-gaap:NetIncomeLoss", "form": "10-K", "accession": "0001730168-18-000084", "filed": "2018-12-21"}</t>
        </is>
      </c>
    </row>
    <row r="164" ht="42" customHeight="1">
      <c r="A164" s="2" t="inlineStr">
        <is>
          <t>Annual</t>
        </is>
      </c>
      <c r="B164" s="2" t="inlineStr">
        <is>
          <t>net_income</t>
        </is>
      </c>
      <c r="C164" s="2" t="inlineStr">
        <is>
          <t>2017-10-29</t>
        </is>
      </c>
      <c r="D164" s="3" t="n">
        <v>1692000000</v>
      </c>
      <c r="E164" s="2" t="inlineStr">
        <is>
          <t>USD</t>
        </is>
      </c>
      <c r="F164" s="2" t="inlineStr">
        <is>
          <t>reported</t>
        </is>
      </c>
      <c r="G164" s="2" t="inlineStr">
        <is>
          <t>tag_conflict</t>
        </is>
      </c>
      <c r="H164" s="2" t="inlineStr">
        <is>
          <t>https://www.sec.gov/Archives/edgar/data/1730168/000173016818000084/0001730168-18-000084-index.html</t>
        </is>
      </c>
      <c r="I164" s="2" t="inlineStr">
        <is>
          <t>{"tag": "us-gaap:NetIncomeLoss", "form": "10-K", "accession": "0001730168-18-000084", "filed": "2018-12-21"}</t>
        </is>
      </c>
    </row>
    <row r="165" ht="42" customHeight="1">
      <c r="A165" s="2" t="inlineStr">
        <is>
          <t>Annual</t>
        </is>
      </c>
      <c r="B165" s="2" t="inlineStr">
        <is>
          <t>net_income</t>
        </is>
      </c>
      <c r="C165" s="2" t="inlineStr">
        <is>
          <t>2018-11-04</t>
        </is>
      </c>
      <c r="D165" s="3" t="n">
        <v>12259000000</v>
      </c>
      <c r="E165" s="2" t="inlineStr">
        <is>
          <t>USD</t>
        </is>
      </c>
      <c r="F165" s="2" t="inlineStr">
        <is>
          <t>reported</t>
        </is>
      </c>
      <c r="G165" s="2" t="inlineStr">
        <is>
          <t>long_year, tag_conflict</t>
        </is>
      </c>
      <c r="H165" s="2" t="inlineStr">
        <is>
          <t>https://www.sec.gov/Archives/edgar/data/1730168/000173016818000084/0001730168-18-000084-index.html</t>
        </is>
      </c>
      <c r="I165" s="2" t="inlineStr">
        <is>
          <t>{"tag": "us-gaap:NetIncomeLoss", "form": "10-K", "accession": "0001730168-18-000084", "filed": "2018-12-21"}</t>
        </is>
      </c>
    </row>
    <row r="166" ht="42" customHeight="1">
      <c r="A166" s="2" t="inlineStr">
        <is>
          <t>Annual</t>
        </is>
      </c>
      <c r="B166" s="2" t="inlineStr">
        <is>
          <t>net_income</t>
        </is>
      </c>
      <c r="C166" s="2" t="inlineStr">
        <is>
          <t>2019-11-03</t>
        </is>
      </c>
      <c r="D166" s="3" t="n">
        <v>2724000000</v>
      </c>
      <c r="E166" s="2" t="inlineStr">
        <is>
          <t>USD</t>
        </is>
      </c>
      <c r="F166" s="2" t="inlineStr">
        <is>
          <t>reported</t>
        </is>
      </c>
      <c r="G166" s="2" t="inlineStr">
        <is>
          <t>tag_conflict</t>
        </is>
      </c>
      <c r="H166" s="2" t="inlineStr">
        <is>
          <t>https://www.sec.gov/Archives/edgar/data/1730168/000173016821000153/0001730168-21-000153-index.html</t>
        </is>
      </c>
      <c r="I166" s="2" t="inlineStr">
        <is>
          <t>{"tag": "us-gaap:ProfitLoss", "form": "10-K", "accession": "0001730168-21-000153", "filed": "2021-12-17"}</t>
        </is>
      </c>
    </row>
    <row r="167" ht="42" customHeight="1">
      <c r="A167" s="2" t="inlineStr">
        <is>
          <t>Annual</t>
        </is>
      </c>
      <c r="B167" s="2" t="inlineStr">
        <is>
          <t>net_income</t>
        </is>
      </c>
      <c r="C167" s="2" t="inlineStr">
        <is>
          <t>2020-11-01</t>
        </is>
      </c>
      <c r="D167" s="3" t="n">
        <v>2960000000</v>
      </c>
      <c r="E167" s="2" t="inlineStr">
        <is>
          <t>USD</t>
        </is>
      </c>
      <c r="F167" s="2" t="inlineStr">
        <is>
          <t>reported</t>
        </is>
      </c>
      <c r="G167" s="2" t="inlineStr">
        <is>
          <t>tag_conflict</t>
        </is>
      </c>
      <c r="H167" s="2" t="inlineStr">
        <is>
          <t>https://www.sec.gov/Archives/edgar/data/1730168/000173016822000118/0001730168-22-000118-index.html</t>
        </is>
      </c>
      <c r="I167" s="2" t="inlineStr">
        <is>
          <t>{"tag": "us-gaap:ProfitLoss", "form": "10-K", "accession": "0001730168-22-000118", "filed": "2022-12-16"}</t>
        </is>
      </c>
    </row>
    <row r="168" ht="42" customHeight="1">
      <c r="A168" s="2" t="inlineStr">
        <is>
          <t>Annual</t>
        </is>
      </c>
      <c r="B168" s="2" t="inlineStr">
        <is>
          <t>net_income</t>
        </is>
      </c>
      <c r="C168" s="2" t="inlineStr">
        <is>
          <t>2021-10-31</t>
        </is>
      </c>
      <c r="D168" s="3" t="n">
        <v>6736000000</v>
      </c>
      <c r="E168" s="2" t="inlineStr">
        <is>
          <t>USD</t>
        </is>
      </c>
      <c r="F168" s="2" t="inlineStr">
        <is>
          <t>reported</t>
        </is>
      </c>
      <c r="G168" s="2" t="inlineStr">
        <is>
          <t>tag_conflict</t>
        </is>
      </c>
      <c r="H168" s="2" t="inlineStr">
        <is>
          <t>https://www.sec.gov/Archives/edgar/data/1730168/000173016823000096/0001730168-23-000096-index.html</t>
        </is>
      </c>
      <c r="I168" s="2" t="inlineStr">
        <is>
          <t>{"tag": "us-gaap:ProfitLoss", "form": "10-K", "accession": "0001730168-23-000096", "filed": "2023-12-14"}</t>
        </is>
      </c>
    </row>
    <row r="169" ht="42" customHeight="1">
      <c r="A169" s="2" t="inlineStr">
        <is>
          <t>Annual</t>
        </is>
      </c>
      <c r="B169" s="2" t="inlineStr">
        <is>
          <t>net_income</t>
        </is>
      </c>
      <c r="C169" s="2" t="inlineStr">
        <is>
          <t>2022-10-30</t>
        </is>
      </c>
      <c r="D169" s="3" t="n">
        <v>11495000000</v>
      </c>
      <c r="E169" s="2" t="inlineStr">
        <is>
          <t>USD</t>
        </is>
      </c>
      <c r="F169" s="2" t="inlineStr">
        <is>
          <t>reported</t>
        </is>
      </c>
      <c r="G169" s="2" t="inlineStr"/>
      <c r="H169" s="2" t="inlineStr">
        <is>
          <t>https://www.sec.gov/Archives/edgar/data/1730168/000173016824000139/0001730168-24-000139-index.html</t>
        </is>
      </c>
      <c r="I169" s="2" t="inlineStr">
        <is>
          <t>{"tag": "us-gaap:NetIncomeLoss", "form": "10-K", "accession": "0001730168-24-000139", "filed": "2024-12-20"}</t>
        </is>
      </c>
    </row>
    <row r="170" ht="42" customHeight="1">
      <c r="A170" s="2" t="inlineStr">
        <is>
          <t>Annual</t>
        </is>
      </c>
      <c r="B170" s="2" t="inlineStr">
        <is>
          <t>net_income</t>
        </is>
      </c>
      <c r="C170" s="2" t="inlineStr">
        <is>
          <t>2023-10-29</t>
        </is>
      </c>
      <c r="D170" s="3" t="n">
        <v>14082000000</v>
      </c>
      <c r="E170" s="2" t="inlineStr">
        <is>
          <t>USD</t>
        </is>
      </c>
      <c r="F170" s="2" t="inlineStr">
        <is>
          <t>reported</t>
        </is>
      </c>
      <c r="G170" s="2" t="inlineStr"/>
      <c r="H170" s="2" t="inlineStr">
        <is>
          <t>https://www.sec.gov/Archives/edgar/data/1730168/000173016824000139/0001730168-24-000139-index.html</t>
        </is>
      </c>
      <c r="I170" s="2" t="inlineStr">
        <is>
          <t>{"tag": "us-gaap:NetIncomeLoss", "form": "10-K", "accession": "0001730168-24-000139", "filed": "2024-12-20"}</t>
        </is>
      </c>
    </row>
    <row r="171" ht="42" customHeight="1">
      <c r="A171" s="2" t="inlineStr">
        <is>
          <t>Annual</t>
        </is>
      </c>
      <c r="B171" s="2" t="inlineStr">
        <is>
          <t>net_income</t>
        </is>
      </c>
      <c r="C171" s="2" t="inlineStr">
        <is>
          <t>2024-11-03</t>
        </is>
      </c>
      <c r="D171" s="3" t="n">
        <v>5895000000</v>
      </c>
      <c r="E171" s="2" t="inlineStr">
        <is>
          <t>USD</t>
        </is>
      </c>
      <c r="F171" s="2" t="inlineStr">
        <is>
          <t>reported</t>
        </is>
      </c>
      <c r="G171" s="2" t="inlineStr">
        <is>
          <t>long_year</t>
        </is>
      </c>
      <c r="H171" s="2" t="inlineStr">
        <is>
          <t>https://www.sec.gov/Archives/edgar/data/1730168/000173016824000139/0001730168-24-000139-index.html</t>
        </is>
      </c>
      <c r="I171" s="2" t="inlineStr">
        <is>
          <t>{"tag": "us-gaap:NetIncomeLoss", "form": "10-K", "accession": "0001730168-24-000139", "filed": "2024-12-20"}</t>
        </is>
      </c>
    </row>
    <row r="172" ht="42" customHeight="1">
      <c r="A172" s="2" t="inlineStr">
        <is>
          <t>Annual</t>
        </is>
      </c>
      <c r="B172" s="2" t="inlineStr">
        <is>
          <t>net_income</t>
        </is>
      </c>
      <c r="C172" s="2" t="inlineStr">
        <is>
          <t>2025-11-02</t>
        </is>
      </c>
      <c r="D172" s="3" t="n">
        <v>23126000000</v>
      </c>
      <c r="E172" s="2" t="inlineStr">
        <is>
          <t>USD</t>
        </is>
      </c>
      <c r="F172" s="2" t="inlineStr">
        <is>
          <t>reported</t>
        </is>
      </c>
      <c r="G172" s="2" t="inlineStr"/>
      <c r="H172" s="2" t="inlineStr">
        <is>
          <t>https://www.sec.gov/Archives/edgar/data/1730168/000173016825000121/0001730168-25-000121-index.html</t>
        </is>
      </c>
      <c r="I172" s="2" t="inlineStr">
        <is>
          <t>{"tag": "us-gaap:ProfitLoss", "form": "10-K", "accession": "0001730168-25-000121", "filed": "2025-12-18"}</t>
        </is>
      </c>
    </row>
    <row r="173" ht="42" customHeight="1">
      <c r="A173" s="2" t="inlineStr">
        <is>
          <t>Annual</t>
        </is>
      </c>
      <c r="B173" s="2" t="inlineStr">
        <is>
          <t>d_and_a</t>
        </is>
      </c>
      <c r="C173" s="2" t="inlineStr">
        <is>
          <t>2016-10-30</t>
        </is>
      </c>
      <c r="D173" s="3" t="n">
        <v>3042000000</v>
      </c>
      <c r="E173" s="2" t="inlineStr">
        <is>
          <t>USD</t>
        </is>
      </c>
      <c r="F173" s="2" t="inlineStr">
        <is>
          <t>constructed</t>
        </is>
      </c>
      <c r="G173" s="2" t="inlineStr">
        <is>
          <t>constructed</t>
        </is>
      </c>
      <c r="H173" s="2" t="inlineStr">
        <is>
          <t>https://www.sec.gov/Archives/edgar/data/1730168/000173016818000084/0001730168-18-000084-index.html</t>
        </is>
      </c>
      <c r="I173" s="2" t="inlineStr">
        <is>
          <t>{"parts": [{"tag": "us-gaap:Depreciation", "value": 402000000.0, "sign": 1, "accession": "0001730168-18-000084"}, {"tag": "us-gaap:AmortizationOfIntangibleAssets", "value": 2640000000.0, "sign": 1, "accession": "0001730168-18-000084"}]}</t>
        </is>
      </c>
    </row>
    <row r="174" ht="42" customHeight="1">
      <c r="A174" s="2" t="inlineStr">
        <is>
          <t>Annual</t>
        </is>
      </c>
      <c r="B174" s="2" t="inlineStr">
        <is>
          <t>d_and_a</t>
        </is>
      </c>
      <c r="C174" s="2" t="inlineStr">
        <is>
          <t>2017-10-29</t>
        </is>
      </c>
      <c r="D174" s="3" t="n">
        <v>4737000000</v>
      </c>
      <c r="E174" s="2" t="inlineStr">
        <is>
          <t>USD</t>
        </is>
      </c>
      <c r="F174" s="2" t="inlineStr">
        <is>
          <t>constructed</t>
        </is>
      </c>
      <c r="G174" s="2" t="inlineStr">
        <is>
          <t>constructed</t>
        </is>
      </c>
      <c r="H174" s="2" t="inlineStr">
        <is>
          <t>https://www.sec.gov/Archives/edgar/data/1730168/000173016819000144/0001730168-19-000144-index.html</t>
        </is>
      </c>
      <c r="I174" s="2" t="inlineStr">
        <is>
          <t>{"parts": [{"tag": "us-gaap:Depreciation", "value": 451000000.0, "sign": 1, "accession": "0001730168-19-000144"}, {"tag": "us-gaap:AmortizationOfIntangibleAssets", "value": 4286000000.0, "sign": 1, "accession": "0001730168-19-000144"}]}</t>
        </is>
      </c>
    </row>
    <row r="175" ht="42" customHeight="1">
      <c r="A175" s="2" t="inlineStr">
        <is>
          <t>Annual</t>
        </is>
      </c>
      <c r="B175" s="2" t="inlineStr">
        <is>
          <t>d_and_a</t>
        </is>
      </c>
      <c r="C175" s="2" t="inlineStr">
        <is>
          <t>2018-11-04</t>
        </is>
      </c>
      <c r="D175" s="3" t="n">
        <v>4081000000</v>
      </c>
      <c r="E175" s="2" t="inlineStr">
        <is>
          <t>USD</t>
        </is>
      </c>
      <c r="F175" s="2" t="inlineStr">
        <is>
          <t>constructed</t>
        </is>
      </c>
      <c r="G175" s="2" t="inlineStr">
        <is>
          <t>constructed, long_year</t>
        </is>
      </c>
      <c r="H175" s="2" t="inlineStr">
        <is>
          <t>https://www.sec.gov/Archives/edgar/data/1730168/000173016820000226/0001730168-20-000226-index.html
https://www.sec.gov/Archives/edgar/data/1730168/000173016819000144/0001730168-19-000144-index.html</t>
        </is>
      </c>
      <c r="I175" s="2" t="inlineStr">
        <is>
          <t>{"parts": [{"tag": "us-gaap:Depreciation", "value": 515000000.0, "sign": 1, "accession": "0001730168-20-000226"}, {"tag": "us-gaap:AmortizationOfIntangibleAssets", "value": 3566000000.0, "sign": 1, "accession": "0001730168-19-000144"}]}</t>
        </is>
      </c>
    </row>
    <row r="176" ht="42" customHeight="1">
      <c r="A176" s="2" t="inlineStr">
        <is>
          <t>Annual</t>
        </is>
      </c>
      <c r="B176" s="2" t="inlineStr">
        <is>
          <t>d_and_a</t>
        </is>
      </c>
      <c r="C176" s="2" t="inlineStr">
        <is>
          <t>2019-11-03</t>
        </is>
      </c>
      <c r="D176" s="3" t="n">
        <v>5808000000</v>
      </c>
      <c r="E176" s="2" t="inlineStr">
        <is>
          <t>USD</t>
        </is>
      </c>
      <c r="F176" s="2" t="inlineStr">
        <is>
          <t>constructed</t>
        </is>
      </c>
      <c r="G176" s="2" t="inlineStr">
        <is>
          <t>constructed</t>
        </is>
      </c>
      <c r="H176" s="2" t="inlineStr">
        <is>
          <t>https://www.sec.gov/Archives/edgar/data/1730168/000173016821000153/0001730168-21-000153-index.html
https://www.sec.gov/Archives/edgar/data/1730168/000173016819000144/0001730168-19-000144-index.html</t>
        </is>
      </c>
      <c r="I176" s="2" t="inlineStr">
        <is>
          <t>{"parts": [{"tag": "us-gaap:Depreciation", "value": 569000000.0, "sign": 1, "accession": "0001730168-21-000153"}, {"tag": "us-gaap:AmortizationOfIntangibleAssets", "value": 5239000000.0, "sign": 1, "accession": "0001730168-19-000144"}]}</t>
        </is>
      </c>
    </row>
    <row r="177" ht="42" customHeight="1">
      <c r="A177" s="2" t="inlineStr">
        <is>
          <t>Annual</t>
        </is>
      </c>
      <c r="B177" s="2" t="inlineStr">
        <is>
          <t>d_and_a</t>
        </is>
      </c>
      <c r="C177" s="2" t="inlineStr">
        <is>
          <t>2020-11-01</t>
        </is>
      </c>
      <c r="D177" s="2" t="n"/>
      <c r="E177" s="2" t="inlineStr">
        <is>
          <t>USD</t>
        </is>
      </c>
      <c r="F177" s="2" t="inlineStr">
        <is>
          <t>not_available</t>
        </is>
      </c>
      <c r="G177" s="2" t="inlineStr"/>
      <c r="H177" s="2" t="inlineStr"/>
      <c r="I177" s="2" t="inlineStr">
        <is>
          <t>null</t>
        </is>
      </c>
    </row>
    <row r="178" ht="42" customHeight="1">
      <c r="A178" s="2" t="inlineStr">
        <is>
          <t>Annual</t>
        </is>
      </c>
      <c r="B178" s="2" t="inlineStr">
        <is>
          <t>d_and_a</t>
        </is>
      </c>
      <c r="C178" s="2" t="inlineStr">
        <is>
          <t>2021-10-31</t>
        </is>
      </c>
      <c r="D178" s="2" t="n"/>
      <c r="E178" s="2" t="inlineStr">
        <is>
          <t>USD</t>
        </is>
      </c>
      <c r="F178" s="2" t="inlineStr">
        <is>
          <t>not_available</t>
        </is>
      </c>
      <c r="G178" s="2" t="inlineStr"/>
      <c r="H178" s="2" t="inlineStr"/>
      <c r="I178" s="2" t="inlineStr">
        <is>
          <t>null</t>
        </is>
      </c>
    </row>
    <row r="179" ht="42" customHeight="1">
      <c r="A179" s="2" t="inlineStr">
        <is>
          <t>Annual</t>
        </is>
      </c>
      <c r="B179" s="2" t="inlineStr">
        <is>
          <t>d_and_a</t>
        </is>
      </c>
      <c r="C179" s="2" t="inlineStr">
        <is>
          <t>2022-10-30</t>
        </is>
      </c>
      <c r="D179" s="2" t="n"/>
      <c r="E179" s="2" t="inlineStr">
        <is>
          <t>USD</t>
        </is>
      </c>
      <c r="F179" s="2" t="inlineStr">
        <is>
          <t>not_available</t>
        </is>
      </c>
      <c r="G179" s="2" t="inlineStr"/>
      <c r="H179" s="2" t="inlineStr"/>
      <c r="I179" s="2" t="inlineStr">
        <is>
          <t>null</t>
        </is>
      </c>
    </row>
    <row r="180" ht="42" customHeight="1">
      <c r="A180" s="2" t="inlineStr">
        <is>
          <t>Annual</t>
        </is>
      </c>
      <c r="B180" s="2" t="inlineStr">
        <is>
          <t>d_and_a</t>
        </is>
      </c>
      <c r="C180" s="2" t="inlineStr">
        <is>
          <t>2023-10-29</t>
        </is>
      </c>
      <c r="D180" s="3" t="n">
        <v>3749000000</v>
      </c>
      <c r="E180" s="2" t="inlineStr">
        <is>
          <t>USD</t>
        </is>
      </c>
      <c r="F180" s="2" t="inlineStr">
        <is>
          <t>constructed</t>
        </is>
      </c>
      <c r="G180" s="2" t="inlineStr">
        <is>
          <t>constructed</t>
        </is>
      </c>
      <c r="H180" s="2" t="inlineStr">
        <is>
          <t>https://www.sec.gov/Archives/edgar/data/1730168/000173016825000121/0001730168-25-000121-index.html</t>
        </is>
      </c>
      <c r="I180" s="2" t="inlineStr">
        <is>
          <t>{"parts": [{"tag": "us-gaap:Depreciation", "value": 502000000.0, "sign": 1, "accession": "0001730168-25-000121"}, {"tag": "us-gaap:AmortizationOfIntangibleAssets", "value": 3247000000.0, "sign": 1, "accession": "0001730168-25-000121"}]}</t>
        </is>
      </c>
    </row>
    <row r="181" ht="42" customHeight="1">
      <c r="A181" s="2" t="inlineStr">
        <is>
          <t>Annual</t>
        </is>
      </c>
      <c r="B181" s="2" t="inlineStr">
        <is>
          <t>d_and_a</t>
        </is>
      </c>
      <c r="C181" s="2" t="inlineStr">
        <is>
          <t>2024-11-03</t>
        </is>
      </c>
      <c r="D181" s="3" t="n">
        <v>9860000000</v>
      </c>
      <c r="E181" s="2" t="inlineStr">
        <is>
          <t>USD</t>
        </is>
      </c>
      <c r="F181" s="2" t="inlineStr">
        <is>
          <t>constructed</t>
        </is>
      </c>
      <c r="G181" s="2" t="inlineStr">
        <is>
          <t>constructed, long_year</t>
        </is>
      </c>
      <c r="H181" s="2" t="inlineStr">
        <is>
          <t>https://www.sec.gov/Archives/edgar/data/1730168/000173016825000121/0001730168-25-000121-index.html</t>
        </is>
      </c>
      <c r="I181" s="2" t="inlineStr">
        <is>
          <t>{"parts": [{"tag": "us-gaap:Depreciation", "value": 593000000.0, "sign": 1, "accession": "0001730168-25-000121"}, {"tag": "us-gaap:AmortizationOfIntangibleAssets", "value": 9267000000.0, "sign": 1, "accession": "0001730168-25-000121"}]}</t>
        </is>
      </c>
    </row>
    <row r="182" ht="42" customHeight="1">
      <c r="A182" s="2" t="inlineStr">
        <is>
          <t>Annual</t>
        </is>
      </c>
      <c r="B182" s="2" t="inlineStr">
        <is>
          <t>d_and_a</t>
        </is>
      </c>
      <c r="C182" s="2" t="inlineStr">
        <is>
          <t>2025-11-02</t>
        </is>
      </c>
      <c r="D182" s="3" t="n">
        <v>8636000000</v>
      </c>
      <c r="E182" s="2" t="inlineStr">
        <is>
          <t>USD</t>
        </is>
      </c>
      <c r="F182" s="2" t="inlineStr">
        <is>
          <t>constructed</t>
        </is>
      </c>
      <c r="G182" s="2" t="inlineStr">
        <is>
          <t>constructed</t>
        </is>
      </c>
      <c r="H182" s="2" t="inlineStr">
        <is>
          <t>https://www.sec.gov/Archives/edgar/data/1730168/000173016825000121/0001730168-25-000121-index.html</t>
        </is>
      </c>
      <c r="I182" s="2" t="inlineStr">
        <is>
          <t>{"parts": [{"tag": "us-gaap:Depreciation", "value": 574000000.0, "sign": 1, "accession": "0001730168-25-000121"}, {"tag": "us-gaap:AmortizationOfIntangibleAssets", "value": 8062000000.0, "sign": 1, "accession": "0001730168-25-000121"}]}</t>
        </is>
      </c>
    </row>
    <row r="183" ht="42" customHeight="1">
      <c r="A183" s="2" t="inlineStr">
        <is>
          <t>Annual</t>
        </is>
      </c>
      <c r="B183" s="2" t="inlineStr">
        <is>
          <t>depreciation</t>
        </is>
      </c>
      <c r="C183" s="2" t="inlineStr">
        <is>
          <t>2016-10-30</t>
        </is>
      </c>
      <c r="D183" s="3" t="n">
        <v>402000000</v>
      </c>
      <c r="E183" s="2" t="inlineStr">
        <is>
          <t>USD</t>
        </is>
      </c>
      <c r="F183" s="2" t="inlineStr">
        <is>
          <t>reported</t>
        </is>
      </c>
      <c r="G183" s="2" t="inlineStr"/>
      <c r="H183" s="2" t="inlineStr">
        <is>
          <t>https://www.sec.gov/Archives/edgar/data/1730168/000173016818000084/0001730168-18-000084-index.html</t>
        </is>
      </c>
      <c r="I183" s="2" t="inlineStr">
        <is>
          <t>{"tag": "us-gaap:Depreciation", "form": "10-K", "accession": "0001730168-18-000084", "filed": "2018-12-21"}</t>
        </is>
      </c>
    </row>
    <row r="184" ht="42" customHeight="1">
      <c r="A184" s="2" t="inlineStr">
        <is>
          <t>Annual</t>
        </is>
      </c>
      <c r="B184" s="2" t="inlineStr">
        <is>
          <t>depreciation</t>
        </is>
      </c>
      <c r="C184" s="2" t="inlineStr">
        <is>
          <t>2017-10-29</t>
        </is>
      </c>
      <c r="D184" s="3" t="n">
        <v>451000000</v>
      </c>
      <c r="E184" s="2" t="inlineStr">
        <is>
          <t>USD</t>
        </is>
      </c>
      <c r="F184" s="2" t="inlineStr">
        <is>
          <t>reported</t>
        </is>
      </c>
      <c r="G184" s="2" t="inlineStr"/>
      <c r="H184" s="2" t="inlineStr">
        <is>
          <t>https://www.sec.gov/Archives/edgar/data/1730168/000173016819000144/0001730168-19-000144-index.html</t>
        </is>
      </c>
      <c r="I184" s="2" t="inlineStr">
        <is>
          <t>{"tag": "us-gaap:Depreciation", "form": "10-K", "accession": "0001730168-19-000144", "filed": "2019-12-20"}</t>
        </is>
      </c>
    </row>
    <row r="185" ht="42" customHeight="1">
      <c r="A185" s="2" t="inlineStr">
        <is>
          <t>Annual</t>
        </is>
      </c>
      <c r="B185" s="2" t="inlineStr">
        <is>
          <t>depreciation</t>
        </is>
      </c>
      <c r="C185" s="2" t="inlineStr">
        <is>
          <t>2018-11-04</t>
        </is>
      </c>
      <c r="D185" s="3" t="n">
        <v>515000000</v>
      </c>
      <c r="E185" s="2" t="inlineStr">
        <is>
          <t>USD</t>
        </is>
      </c>
      <c r="F185" s="2" t="inlineStr">
        <is>
          <t>reported</t>
        </is>
      </c>
      <c r="G185" s="2" t="inlineStr">
        <is>
          <t>long_year</t>
        </is>
      </c>
      <c r="H185" s="2" t="inlineStr">
        <is>
          <t>https://www.sec.gov/Archives/edgar/data/1730168/000173016820000226/0001730168-20-000226-index.html</t>
        </is>
      </c>
      <c r="I185" s="2" t="inlineStr">
        <is>
          <t>{"tag": "us-gaap:Depreciation", "form": "10-K", "accession": "0001730168-20-000226", "filed": "2020-12-18"}</t>
        </is>
      </c>
    </row>
    <row r="186" ht="42" customHeight="1">
      <c r="A186" s="2" t="inlineStr">
        <is>
          <t>Annual</t>
        </is>
      </c>
      <c r="B186" s="2" t="inlineStr">
        <is>
          <t>depreciation</t>
        </is>
      </c>
      <c r="C186" s="2" t="inlineStr">
        <is>
          <t>2019-11-03</t>
        </is>
      </c>
      <c r="D186" s="3" t="n">
        <v>569000000</v>
      </c>
      <c r="E186" s="2" t="inlineStr">
        <is>
          <t>USD</t>
        </is>
      </c>
      <c r="F186" s="2" t="inlineStr">
        <is>
          <t>reported</t>
        </is>
      </c>
      <c r="G186" s="2" t="inlineStr"/>
      <c r="H186" s="2" t="inlineStr">
        <is>
          <t>https://www.sec.gov/Archives/edgar/data/1730168/000173016821000153/0001730168-21-000153-index.html</t>
        </is>
      </c>
      <c r="I186" s="2" t="inlineStr">
        <is>
          <t>{"tag": "us-gaap:Depreciation", "form": "10-K", "accession": "0001730168-21-000153", "filed": "2021-12-17"}</t>
        </is>
      </c>
    </row>
    <row r="187" ht="42" customHeight="1">
      <c r="A187" s="2" t="inlineStr">
        <is>
          <t>Annual</t>
        </is>
      </c>
      <c r="B187" s="2" t="inlineStr">
        <is>
          <t>depreciation</t>
        </is>
      </c>
      <c r="C187" s="2" t="inlineStr">
        <is>
          <t>2020-11-01</t>
        </is>
      </c>
      <c r="D187" s="3" t="n">
        <v>570000000</v>
      </c>
      <c r="E187" s="2" t="inlineStr">
        <is>
          <t>USD</t>
        </is>
      </c>
      <c r="F187" s="2" t="inlineStr">
        <is>
          <t>reported</t>
        </is>
      </c>
      <c r="G187" s="2" t="inlineStr"/>
      <c r="H187" s="2" t="inlineStr">
        <is>
          <t>https://www.sec.gov/Archives/edgar/data/1730168/000173016822000118/0001730168-22-000118-index.html</t>
        </is>
      </c>
      <c r="I187" s="2" t="inlineStr">
        <is>
          <t>{"tag": "us-gaap:Depreciation", "form": "10-K", "accession": "0001730168-22-000118", "filed": "2022-12-16"}</t>
        </is>
      </c>
    </row>
    <row r="188" ht="42" customHeight="1">
      <c r="A188" s="2" t="inlineStr">
        <is>
          <t>Annual</t>
        </is>
      </c>
      <c r="B188" s="2" t="inlineStr">
        <is>
          <t>depreciation</t>
        </is>
      </c>
      <c r="C188" s="2" t="inlineStr">
        <is>
          <t>2021-10-31</t>
        </is>
      </c>
      <c r="D188" s="3" t="n">
        <v>539000000</v>
      </c>
      <c r="E188" s="2" t="inlineStr">
        <is>
          <t>USD</t>
        </is>
      </c>
      <c r="F188" s="2" t="inlineStr">
        <is>
          <t>reported</t>
        </is>
      </c>
      <c r="G188" s="2" t="inlineStr"/>
      <c r="H188" s="2" t="inlineStr">
        <is>
          <t>https://www.sec.gov/Archives/edgar/data/1730168/000173016823000096/0001730168-23-000096-index.html</t>
        </is>
      </c>
      <c r="I188" s="2" t="inlineStr">
        <is>
          <t>{"tag": "us-gaap:Depreciation", "form": "10-K", "accession": "0001730168-23-000096", "filed": "2023-12-14"}</t>
        </is>
      </c>
    </row>
    <row r="189" ht="42" customHeight="1">
      <c r="A189" s="2" t="inlineStr">
        <is>
          <t>Annual</t>
        </is>
      </c>
      <c r="B189" s="2" t="inlineStr">
        <is>
          <t>depreciation</t>
        </is>
      </c>
      <c r="C189" s="2" t="inlineStr">
        <is>
          <t>2022-10-30</t>
        </is>
      </c>
      <c r="D189" s="3" t="n">
        <v>529000000</v>
      </c>
      <c r="E189" s="2" t="inlineStr">
        <is>
          <t>USD</t>
        </is>
      </c>
      <c r="F189" s="2" t="inlineStr">
        <is>
          <t>reported</t>
        </is>
      </c>
      <c r="G189" s="2" t="inlineStr"/>
      <c r="H189" s="2" t="inlineStr">
        <is>
          <t>https://www.sec.gov/Archives/edgar/data/1730168/000173016824000139/0001730168-24-000139-index.html</t>
        </is>
      </c>
      <c r="I189" s="2" t="inlineStr">
        <is>
          <t>{"tag": "us-gaap:Depreciation", "form": "10-K", "accession": "0001730168-24-000139", "filed": "2024-12-20"}</t>
        </is>
      </c>
    </row>
    <row r="190" ht="42" customHeight="1">
      <c r="A190" s="2" t="inlineStr">
        <is>
          <t>Annual</t>
        </is>
      </c>
      <c r="B190" s="2" t="inlineStr">
        <is>
          <t>depreciation</t>
        </is>
      </c>
      <c r="C190" s="2" t="inlineStr">
        <is>
          <t>2023-10-29</t>
        </is>
      </c>
      <c r="D190" s="3" t="n">
        <v>502000000</v>
      </c>
      <c r="E190" s="2" t="inlineStr">
        <is>
          <t>USD</t>
        </is>
      </c>
      <c r="F190" s="2" t="inlineStr">
        <is>
          <t>reported</t>
        </is>
      </c>
      <c r="G190" s="2" t="inlineStr"/>
      <c r="H190" s="2" t="inlineStr">
        <is>
          <t>https://www.sec.gov/Archives/edgar/data/1730168/000173016825000121/0001730168-25-000121-index.html</t>
        </is>
      </c>
      <c r="I190" s="2" t="inlineStr">
        <is>
          <t>{"tag": "us-gaap:Depreciation", "form": "10-K", "accession": "0001730168-25-000121", "filed": "2025-12-18"}</t>
        </is>
      </c>
    </row>
    <row r="191" ht="42" customHeight="1">
      <c r="A191" s="2" t="inlineStr">
        <is>
          <t>Annual</t>
        </is>
      </c>
      <c r="B191" s="2" t="inlineStr">
        <is>
          <t>depreciation</t>
        </is>
      </c>
      <c r="C191" s="2" t="inlineStr">
        <is>
          <t>2024-11-03</t>
        </is>
      </c>
      <c r="D191" s="3" t="n">
        <v>593000000</v>
      </c>
      <c r="E191" s="2" t="inlineStr">
        <is>
          <t>USD</t>
        </is>
      </c>
      <c r="F191" s="2" t="inlineStr">
        <is>
          <t>reported</t>
        </is>
      </c>
      <c r="G191" s="2" t="inlineStr">
        <is>
          <t>long_year</t>
        </is>
      </c>
      <c r="H191" s="2" t="inlineStr">
        <is>
          <t>https://www.sec.gov/Archives/edgar/data/1730168/000173016825000121/0001730168-25-000121-index.html</t>
        </is>
      </c>
      <c r="I191" s="2" t="inlineStr">
        <is>
          <t>{"tag": "us-gaap:Depreciation", "form": "10-K", "accession": "0001730168-25-000121", "filed": "2025-12-18"}</t>
        </is>
      </c>
    </row>
    <row r="192" ht="42" customHeight="1">
      <c r="A192" s="2" t="inlineStr">
        <is>
          <t>Annual</t>
        </is>
      </c>
      <c r="B192" s="2" t="inlineStr">
        <is>
          <t>depreciation</t>
        </is>
      </c>
      <c r="C192" s="2" t="inlineStr">
        <is>
          <t>2025-11-02</t>
        </is>
      </c>
      <c r="D192" s="3" t="n">
        <v>574000000</v>
      </c>
      <c r="E192" s="2" t="inlineStr">
        <is>
          <t>USD</t>
        </is>
      </c>
      <c r="F192" s="2" t="inlineStr">
        <is>
          <t>reported</t>
        </is>
      </c>
      <c r="G192" s="2" t="inlineStr"/>
      <c r="H192" s="2" t="inlineStr">
        <is>
          <t>https://www.sec.gov/Archives/edgar/data/1730168/000173016825000121/0001730168-25-000121-index.html</t>
        </is>
      </c>
      <c r="I192" s="2" t="inlineStr">
        <is>
          <t>{"tag": "us-gaap:Depreciation", "form": "10-K", "accession": "0001730168-25-000121", "filed": "2025-12-18"}</t>
        </is>
      </c>
    </row>
    <row r="193" ht="42" customHeight="1">
      <c r="A193" s="2" t="inlineStr">
        <is>
          <t>Annual</t>
        </is>
      </c>
      <c r="B193" s="2" t="inlineStr">
        <is>
          <t>amortization</t>
        </is>
      </c>
      <c r="C193" s="2" t="inlineStr">
        <is>
          <t>2016-10-30</t>
        </is>
      </c>
      <c r="D193" s="3" t="n">
        <v>2640000000</v>
      </c>
      <c r="E193" s="2" t="inlineStr">
        <is>
          <t>USD</t>
        </is>
      </c>
      <c r="F193" s="2" t="inlineStr">
        <is>
          <t>reported</t>
        </is>
      </c>
      <c r="G193" s="2" t="inlineStr"/>
      <c r="H193" s="2" t="inlineStr">
        <is>
          <t>https://www.sec.gov/Archives/edgar/data/1730168/000173016818000084/0001730168-18-000084-index.html</t>
        </is>
      </c>
      <c r="I193" s="2" t="inlineStr">
        <is>
          <t>{"tag": "us-gaap:AmortizationOfIntangibleAssets", "form": "10-K", "accession": "0001730168-18-000084", "filed": "2018-12-21"}</t>
        </is>
      </c>
    </row>
    <row r="194" ht="42" customHeight="1">
      <c r="A194" s="2" t="inlineStr">
        <is>
          <t>Annual</t>
        </is>
      </c>
      <c r="B194" s="2" t="inlineStr">
        <is>
          <t>amortization</t>
        </is>
      </c>
      <c r="C194" s="2" t="inlineStr">
        <is>
          <t>2017-10-29</t>
        </is>
      </c>
      <c r="D194" s="3" t="n">
        <v>4286000000</v>
      </c>
      <c r="E194" s="2" t="inlineStr">
        <is>
          <t>USD</t>
        </is>
      </c>
      <c r="F194" s="2" t="inlineStr">
        <is>
          <t>reported</t>
        </is>
      </c>
      <c r="G194" s="2" t="inlineStr"/>
      <c r="H194" s="2" t="inlineStr">
        <is>
          <t>https://www.sec.gov/Archives/edgar/data/1730168/000173016819000144/0001730168-19-000144-index.html</t>
        </is>
      </c>
      <c r="I194" s="2" t="inlineStr">
        <is>
          <t>{"tag": "us-gaap:AmortizationOfIntangibleAssets", "form": "10-K", "accession": "0001730168-19-000144", "filed": "2019-12-20"}</t>
        </is>
      </c>
    </row>
    <row r="195" ht="42" customHeight="1">
      <c r="A195" s="2" t="inlineStr">
        <is>
          <t>Annual</t>
        </is>
      </c>
      <c r="B195" s="2" t="inlineStr">
        <is>
          <t>amortization</t>
        </is>
      </c>
      <c r="C195" s="2" t="inlineStr">
        <is>
          <t>2018-11-04</t>
        </is>
      </c>
      <c r="D195" s="3" t="n">
        <v>3566000000</v>
      </c>
      <c r="E195" s="2" t="inlineStr">
        <is>
          <t>USD</t>
        </is>
      </c>
      <c r="F195" s="2" t="inlineStr">
        <is>
          <t>reported</t>
        </is>
      </c>
      <c r="G195" s="2" t="inlineStr">
        <is>
          <t>long_year</t>
        </is>
      </c>
      <c r="H195" s="2" t="inlineStr">
        <is>
          <t>https://www.sec.gov/Archives/edgar/data/1730168/000173016819000144/0001730168-19-000144-index.html</t>
        </is>
      </c>
      <c r="I195" s="2" t="inlineStr">
        <is>
          <t>{"tag": "us-gaap:AmortizationOfIntangibleAssets", "form": "10-K", "accession": "0001730168-19-000144", "filed": "2019-12-20"}</t>
        </is>
      </c>
    </row>
    <row r="196" ht="42" customHeight="1">
      <c r="A196" s="2" t="inlineStr">
        <is>
          <t>Annual</t>
        </is>
      </c>
      <c r="B196" s="2" t="inlineStr">
        <is>
          <t>amortization</t>
        </is>
      </c>
      <c r="C196" s="2" t="inlineStr">
        <is>
          <t>2019-11-03</t>
        </is>
      </c>
      <c r="D196" s="3" t="n">
        <v>5239000000</v>
      </c>
      <c r="E196" s="2" t="inlineStr">
        <is>
          <t>USD</t>
        </is>
      </c>
      <c r="F196" s="2" t="inlineStr">
        <is>
          <t>reported</t>
        </is>
      </c>
      <c r="G196" s="2" t="inlineStr"/>
      <c r="H196" s="2" t="inlineStr">
        <is>
          <t>https://www.sec.gov/Archives/edgar/data/1730168/000173016819000144/0001730168-19-000144-index.html</t>
        </is>
      </c>
      <c r="I196" s="2" t="inlineStr">
        <is>
          <t>{"tag": "us-gaap:AmortizationOfIntangibleAssets", "form": "10-K", "accession": "0001730168-19-000144", "filed": "2019-12-20"}</t>
        </is>
      </c>
    </row>
    <row r="197" ht="42" customHeight="1">
      <c r="A197" s="2" t="inlineStr">
        <is>
          <t>Annual</t>
        </is>
      </c>
      <c r="B197" s="2" t="inlineStr">
        <is>
          <t>amortization</t>
        </is>
      </c>
      <c r="C197" s="2" t="inlineStr">
        <is>
          <t>2020-11-01</t>
        </is>
      </c>
      <c r="D197" s="2" t="n"/>
      <c r="E197" s="2" t="inlineStr">
        <is>
          <t>USD</t>
        </is>
      </c>
      <c r="F197" s="2" t="inlineStr">
        <is>
          <t>not_available</t>
        </is>
      </c>
      <c r="G197" s="2" t="inlineStr"/>
      <c r="H197" s="2" t="inlineStr"/>
      <c r="I197" s="2" t="inlineStr">
        <is>
          <t>null</t>
        </is>
      </c>
    </row>
    <row r="198" ht="42" customHeight="1">
      <c r="A198" s="2" t="inlineStr">
        <is>
          <t>Annual</t>
        </is>
      </c>
      <c r="B198" s="2" t="inlineStr">
        <is>
          <t>amortization</t>
        </is>
      </c>
      <c r="C198" s="2" t="inlineStr">
        <is>
          <t>2021-10-31</t>
        </is>
      </c>
      <c r="D198" s="2" t="n"/>
      <c r="E198" s="2" t="inlineStr">
        <is>
          <t>USD</t>
        </is>
      </c>
      <c r="F198" s="2" t="inlineStr">
        <is>
          <t>not_available</t>
        </is>
      </c>
      <c r="G198" s="2" t="inlineStr"/>
      <c r="H198" s="2" t="inlineStr"/>
      <c r="I198" s="2" t="inlineStr">
        <is>
          <t>null</t>
        </is>
      </c>
    </row>
    <row r="199" ht="42" customHeight="1">
      <c r="A199" s="2" t="inlineStr">
        <is>
          <t>Annual</t>
        </is>
      </c>
      <c r="B199" s="2" t="inlineStr">
        <is>
          <t>amortization</t>
        </is>
      </c>
      <c r="C199" s="2" t="inlineStr">
        <is>
          <t>2022-10-30</t>
        </is>
      </c>
      <c r="D199" s="2" t="n"/>
      <c r="E199" s="2" t="inlineStr">
        <is>
          <t>USD</t>
        </is>
      </c>
      <c r="F199" s="2" t="inlineStr">
        <is>
          <t>not_available</t>
        </is>
      </c>
      <c r="G199" s="2" t="inlineStr"/>
      <c r="H199" s="2" t="inlineStr"/>
      <c r="I199" s="2" t="inlineStr">
        <is>
          <t>null</t>
        </is>
      </c>
    </row>
    <row r="200" ht="42" customHeight="1">
      <c r="A200" s="2" t="inlineStr">
        <is>
          <t>Annual</t>
        </is>
      </c>
      <c r="B200" s="2" t="inlineStr">
        <is>
          <t>amortization</t>
        </is>
      </c>
      <c r="C200" s="2" t="inlineStr">
        <is>
          <t>2023-10-29</t>
        </is>
      </c>
      <c r="D200" s="3" t="n">
        <v>3247000000</v>
      </c>
      <c r="E200" s="2" t="inlineStr">
        <is>
          <t>USD</t>
        </is>
      </c>
      <c r="F200" s="2" t="inlineStr">
        <is>
          <t>reported</t>
        </is>
      </c>
      <c r="G200" s="2" t="inlineStr"/>
      <c r="H200" s="2" t="inlineStr">
        <is>
          <t>https://www.sec.gov/Archives/edgar/data/1730168/000173016825000121/0001730168-25-000121-index.html</t>
        </is>
      </c>
      <c r="I200" s="2" t="inlineStr">
        <is>
          <t>{"tag": "us-gaap:AmortizationOfIntangibleAssets", "form": "10-K", "accession": "0001730168-25-000121", "filed": "2025-12-18"}</t>
        </is>
      </c>
    </row>
    <row r="201" ht="42" customHeight="1">
      <c r="A201" s="2" t="inlineStr">
        <is>
          <t>Annual</t>
        </is>
      </c>
      <c r="B201" s="2" t="inlineStr">
        <is>
          <t>amortization</t>
        </is>
      </c>
      <c r="C201" s="2" t="inlineStr">
        <is>
          <t>2024-11-03</t>
        </is>
      </c>
      <c r="D201" s="3" t="n">
        <v>9267000000</v>
      </c>
      <c r="E201" s="2" t="inlineStr">
        <is>
          <t>USD</t>
        </is>
      </c>
      <c r="F201" s="2" t="inlineStr">
        <is>
          <t>reported</t>
        </is>
      </c>
      <c r="G201" s="2" t="inlineStr">
        <is>
          <t>long_year</t>
        </is>
      </c>
      <c r="H201" s="2" t="inlineStr">
        <is>
          <t>https://www.sec.gov/Archives/edgar/data/1730168/000173016825000121/0001730168-25-000121-index.html</t>
        </is>
      </c>
      <c r="I201" s="2" t="inlineStr">
        <is>
          <t>{"tag": "us-gaap:AmortizationOfIntangibleAssets", "form": "10-K", "accession": "0001730168-25-000121", "filed": "2025-12-18"}</t>
        </is>
      </c>
    </row>
    <row r="202" ht="42" customHeight="1">
      <c r="A202" s="2" t="inlineStr">
        <is>
          <t>Annual</t>
        </is>
      </c>
      <c r="B202" s="2" t="inlineStr">
        <is>
          <t>amortization</t>
        </is>
      </c>
      <c r="C202" s="2" t="inlineStr">
        <is>
          <t>2025-11-02</t>
        </is>
      </c>
      <c r="D202" s="3" t="n">
        <v>8062000000</v>
      </c>
      <c r="E202" s="2" t="inlineStr">
        <is>
          <t>USD</t>
        </is>
      </c>
      <c r="F202" s="2" t="inlineStr">
        <is>
          <t>reported</t>
        </is>
      </c>
      <c r="G202" s="2" t="inlineStr"/>
      <c r="H202" s="2" t="inlineStr">
        <is>
          <t>https://www.sec.gov/Archives/edgar/data/1730168/000173016825000121/0001730168-25-000121-index.html</t>
        </is>
      </c>
      <c r="I202" s="2" t="inlineStr">
        <is>
          <t>{"tag": "us-gaap:AmortizationOfIntangibleAssets", "form": "10-K", "accession": "0001730168-25-000121", "filed": "2025-12-18"}</t>
        </is>
      </c>
    </row>
    <row r="203" ht="42" customHeight="1">
      <c r="A203" s="2" t="inlineStr">
        <is>
          <t>Annual</t>
        </is>
      </c>
      <c r="B203" s="2" t="inlineStr">
        <is>
          <t>eps_diluted</t>
        </is>
      </c>
      <c r="C203" s="2" t="inlineStr">
        <is>
          <t>2016-10-30</t>
        </is>
      </c>
      <c r="D203" s="3" t="n">
        <v>-0.486</v>
      </c>
      <c r="E203" s="2" t="inlineStr">
        <is>
          <t>USD per share</t>
        </is>
      </c>
      <c r="F203" s="2" t="inlineStr">
        <is>
          <t>reported</t>
        </is>
      </c>
      <c r="G203" s="2" t="inlineStr">
        <is>
          <t>split_adjusted</t>
        </is>
      </c>
      <c r="H203" s="2" t="inlineStr">
        <is>
          <t>https://www.sec.gov/Archives/edgar/data/1730168/000173016818000084/0001730168-18-000084-index.html</t>
        </is>
      </c>
      <c r="I203" s="2" t="inlineStr">
        <is>
          <t>{"tag": "us-gaap:EarningsPerShareDiluted", "form": "10-K", "accession": "0001730168-18-000084", "filed": "2018-12-21"}</t>
        </is>
      </c>
    </row>
    <row r="204" ht="42" customHeight="1">
      <c r="A204" s="2" t="inlineStr">
        <is>
          <t>Annual</t>
        </is>
      </c>
      <c r="B204" s="2" t="inlineStr">
        <is>
          <t>eps_diluted</t>
        </is>
      </c>
      <c r="C204" s="2" t="inlineStr">
        <is>
          <t>2017-10-29</t>
        </is>
      </c>
      <c r="D204" s="3" t="n">
        <v>0.402</v>
      </c>
      <c r="E204" s="2" t="inlineStr">
        <is>
          <t>USD per share</t>
        </is>
      </c>
      <c r="F204" s="2" t="inlineStr">
        <is>
          <t>reported</t>
        </is>
      </c>
      <c r="G204" s="2" t="inlineStr">
        <is>
          <t>split_adjusted</t>
        </is>
      </c>
      <c r="H204" s="2" t="inlineStr">
        <is>
          <t>https://www.sec.gov/Archives/edgar/data/1730168/000173016819000144/0001730168-19-000144-index.html</t>
        </is>
      </c>
      <c r="I204" s="2" t="inlineStr">
        <is>
          <t>{"tag": "us-gaap:EarningsPerShareDiluted", "form": "10-K", "accession": "0001730168-19-000144", "filed": "2019-12-20"}</t>
        </is>
      </c>
    </row>
    <row r="205" ht="42" customHeight="1">
      <c r="A205" s="2" t="inlineStr">
        <is>
          <t>Annual</t>
        </is>
      </c>
      <c r="B205" s="2" t="inlineStr">
        <is>
          <t>eps_diluted</t>
        </is>
      </c>
      <c r="C205" s="2" t="inlineStr">
        <is>
          <t>2018-11-04</t>
        </is>
      </c>
      <c r="D205" s="3" t="n">
        <v>2.844</v>
      </c>
      <c r="E205" s="2" t="inlineStr">
        <is>
          <t>USD per share</t>
        </is>
      </c>
      <c r="F205" s="2" t="inlineStr">
        <is>
          <t>reported</t>
        </is>
      </c>
      <c r="G205" s="2" t="inlineStr">
        <is>
          <t>long_year, split_adjusted</t>
        </is>
      </c>
      <c r="H205" s="2" t="inlineStr">
        <is>
          <t>https://www.sec.gov/Archives/edgar/data/1730168/000173016820000226/0001730168-20-000226-index.html</t>
        </is>
      </c>
      <c r="I205" s="2" t="inlineStr">
        <is>
          <t>{"tag": "us-gaap:EarningsPerShareDiluted", "form": "10-K", "accession": "0001730168-20-000226", "filed": "2020-12-18"}</t>
        </is>
      </c>
    </row>
    <row r="206" ht="42" customHeight="1">
      <c r="A206" s="2" t="inlineStr">
        <is>
          <t>Annual</t>
        </is>
      </c>
      <c r="B206" s="2" t="inlineStr">
        <is>
          <t>eps_diluted</t>
        </is>
      </c>
      <c r="C206" s="2" t="inlineStr">
        <is>
          <t>2019-11-03</t>
        </is>
      </c>
      <c r="D206" s="3" t="n">
        <v>0.643</v>
      </c>
      <c r="E206" s="2" t="inlineStr">
        <is>
          <t>USD per share</t>
        </is>
      </c>
      <c r="F206" s="2" t="inlineStr">
        <is>
          <t>reported</t>
        </is>
      </c>
      <c r="G206" s="2" t="inlineStr">
        <is>
          <t>split_adjusted</t>
        </is>
      </c>
      <c r="H206" s="2" t="inlineStr">
        <is>
          <t>https://www.sec.gov/Archives/edgar/data/1730168/000173016821000153/0001730168-21-000153-index.html</t>
        </is>
      </c>
      <c r="I206" s="2" t="inlineStr">
        <is>
          <t>{"tag": "us-gaap:EarningsPerShareDiluted", "form": "10-K", "accession": "0001730168-21-000153", "filed": "2021-12-17"}</t>
        </is>
      </c>
    </row>
    <row r="207" ht="42" customHeight="1">
      <c r="A207" s="2" t="inlineStr">
        <is>
          <t>Annual</t>
        </is>
      </c>
      <c r="B207" s="2" t="inlineStr">
        <is>
          <t>eps_diluted</t>
        </is>
      </c>
      <c r="C207" s="2" t="inlineStr">
        <is>
          <t>2020-11-01</t>
        </is>
      </c>
      <c r="D207" s="3" t="n">
        <v>0.633</v>
      </c>
      <c r="E207" s="2" t="inlineStr">
        <is>
          <t>USD per share</t>
        </is>
      </c>
      <c r="F207" s="2" t="inlineStr">
        <is>
          <t>reported</t>
        </is>
      </c>
      <c r="G207" s="2" t="inlineStr">
        <is>
          <t>split_adjusted</t>
        </is>
      </c>
      <c r="H207" s="2" t="inlineStr">
        <is>
          <t>https://www.sec.gov/Archives/edgar/data/1730168/000173016822000118/0001730168-22-000118-index.html</t>
        </is>
      </c>
      <c r="I207" s="2" t="inlineStr">
        <is>
          <t>{"tag": "us-gaap:EarningsPerShareDiluted", "form": "10-K", "accession": "0001730168-22-000118", "filed": "2022-12-16"}</t>
        </is>
      </c>
    </row>
    <row r="208" ht="42" customHeight="1">
      <c r="A208" s="2" t="inlineStr">
        <is>
          <t>Annual</t>
        </is>
      </c>
      <c r="B208" s="2" t="inlineStr">
        <is>
          <t>eps_diluted</t>
        </is>
      </c>
      <c r="C208" s="2" t="inlineStr">
        <is>
          <t>2021-10-31</t>
        </is>
      </c>
      <c r="D208" s="3" t="n">
        <v>1.5</v>
      </c>
      <c r="E208" s="2" t="inlineStr">
        <is>
          <t>USD per share</t>
        </is>
      </c>
      <c r="F208" s="2" t="inlineStr">
        <is>
          <t>reported</t>
        </is>
      </c>
      <c r="G208" s="2" t="inlineStr">
        <is>
          <t>split_adjusted</t>
        </is>
      </c>
      <c r="H208" s="2" t="inlineStr">
        <is>
          <t>https://www.sec.gov/Archives/edgar/data/1730168/000173016823000096/0001730168-23-000096-index.html</t>
        </is>
      </c>
      <c r="I208" s="2" t="inlineStr">
        <is>
          <t>{"tag": "us-gaap:EarningsPerShareDiluted", "form": "10-K", "accession": "0001730168-23-000096", "filed": "2023-12-14"}</t>
        </is>
      </c>
    </row>
    <row r="209" ht="42" customHeight="1">
      <c r="A209" s="2" t="inlineStr">
        <is>
          <t>Annual</t>
        </is>
      </c>
      <c r="B209" s="2" t="inlineStr">
        <is>
          <t>eps_diluted</t>
        </is>
      </c>
      <c r="C209" s="2" t="inlineStr">
        <is>
          <t>2022-10-30</t>
        </is>
      </c>
      <c r="D209" s="3" t="n">
        <v>2.65</v>
      </c>
      <c r="E209" s="2" t="inlineStr">
        <is>
          <t>USD per share</t>
        </is>
      </c>
      <c r="F209" s="2" t="inlineStr">
        <is>
          <t>reported</t>
        </is>
      </c>
      <c r="G209" s="2" t="inlineStr">
        <is>
          <t>split_adjusted</t>
        </is>
      </c>
      <c r="H209" s="2" t="inlineStr">
        <is>
          <t>https://www.sec.gov/Archives/edgar/data/1730168/000173016824000139/0001730168-24-000139-index.html</t>
        </is>
      </c>
      <c r="I209" s="2" t="inlineStr">
        <is>
          <t>{"tag": "us-gaap:EarningsPerShareDiluted", "form": "10-K", "accession": "0001730168-24-000139", "filed": "2024-12-20"}</t>
        </is>
      </c>
    </row>
    <row r="210" ht="42" customHeight="1">
      <c r="A210" s="2" t="inlineStr">
        <is>
          <t>Annual</t>
        </is>
      </c>
      <c r="B210" s="2" t="inlineStr">
        <is>
          <t>eps_diluted</t>
        </is>
      </c>
      <c r="C210" s="2" t="inlineStr">
        <is>
          <t>2023-10-29</t>
        </is>
      </c>
      <c r="D210" s="3" t="n">
        <v>3.3</v>
      </c>
      <c r="E210" s="2" t="inlineStr">
        <is>
          <t>USD per share</t>
        </is>
      </c>
      <c r="F210" s="2" t="inlineStr">
        <is>
          <t>reported</t>
        </is>
      </c>
      <c r="G210" s="2" t="inlineStr">
        <is>
          <t>restated</t>
        </is>
      </c>
      <c r="H210" s="2" t="inlineStr">
        <is>
          <t>https://www.sec.gov/Archives/edgar/data/1730168/000173016825000121/0001730168-25-000121-index.html</t>
        </is>
      </c>
      <c r="I210" s="2" t="inlineStr">
        <is>
          <t>{"tag": "us-gaap:EarningsPerShareDiluted", "form": "10-K", "accession": "0001730168-25-000121", "filed": "2025-12-18"}</t>
        </is>
      </c>
    </row>
    <row r="211" ht="42" customHeight="1">
      <c r="A211" s="2" t="inlineStr">
        <is>
          <t>Annual</t>
        </is>
      </c>
      <c r="B211" s="2" t="inlineStr">
        <is>
          <t>eps_diluted</t>
        </is>
      </c>
      <c r="C211" s="2" t="inlineStr">
        <is>
          <t>2024-11-03</t>
        </is>
      </c>
      <c r="D211" s="3" t="n">
        <v>1.23</v>
      </c>
      <c r="E211" s="2" t="inlineStr">
        <is>
          <t>USD per share</t>
        </is>
      </c>
      <c r="F211" s="2" t="inlineStr">
        <is>
          <t>reported</t>
        </is>
      </c>
      <c r="G211" s="2" t="inlineStr">
        <is>
          <t>long_year</t>
        </is>
      </c>
      <c r="H211" s="2" t="inlineStr">
        <is>
          <t>https://www.sec.gov/Archives/edgar/data/1730168/000173016825000121/0001730168-25-000121-index.html</t>
        </is>
      </c>
      <c r="I211" s="2" t="inlineStr">
        <is>
          <t>{"tag": "us-gaap:EarningsPerShareDiluted", "form": "10-K", "accession": "0001730168-25-000121", "filed": "2025-12-18"}</t>
        </is>
      </c>
    </row>
    <row r="212" ht="42" customHeight="1">
      <c r="A212" s="2" t="inlineStr">
        <is>
          <t>Annual</t>
        </is>
      </c>
      <c r="B212" s="2" t="inlineStr">
        <is>
          <t>eps_diluted</t>
        </is>
      </c>
      <c r="C212" s="2" t="inlineStr">
        <is>
          <t>2025-11-02</t>
        </is>
      </c>
      <c r="D212" s="3" t="n">
        <v>4.77</v>
      </c>
      <c r="E212" s="2" t="inlineStr">
        <is>
          <t>USD per share</t>
        </is>
      </c>
      <c r="F212" s="2" t="inlineStr">
        <is>
          <t>reported</t>
        </is>
      </c>
      <c r="G212" s="2" t="inlineStr"/>
      <c r="H212" s="2" t="inlineStr">
        <is>
          <t>https://www.sec.gov/Archives/edgar/data/1730168/000173016825000121/0001730168-25-000121-index.html</t>
        </is>
      </c>
      <c r="I212" s="2" t="inlineStr">
        <is>
          <t>{"tag": "us-gaap:EarningsPerShareDiluted", "form": "10-K", "accession": "0001730168-25-000121", "filed": "2025-12-18"}</t>
        </is>
      </c>
    </row>
    <row r="213" ht="42" customHeight="1">
      <c r="A213" s="2" t="inlineStr">
        <is>
          <t>Annual</t>
        </is>
      </c>
      <c r="B213" s="2" t="inlineStr">
        <is>
          <t>ocf</t>
        </is>
      </c>
      <c r="C213" s="2" t="inlineStr">
        <is>
          <t>2016-10-30</t>
        </is>
      </c>
      <c r="D213" s="3" t="n">
        <v>3411000000</v>
      </c>
      <c r="E213" s="2" t="inlineStr">
        <is>
          <t>USD</t>
        </is>
      </c>
      <c r="F213" s="2" t="inlineStr">
        <is>
          <t>reported</t>
        </is>
      </c>
      <c r="G213" s="2" t="inlineStr"/>
      <c r="H213" s="2" t="inlineStr">
        <is>
          <t>https://www.sec.gov/Archives/edgar/data/1730168/000173016818000084/0001730168-18-000084-index.html</t>
        </is>
      </c>
      <c r="I213" s="2" t="inlineStr">
        <is>
          <t>{"tag": "us-gaap:NetCashProvidedByUsedInOperatingActivities", "form": "10-K", "accession": "0001730168-18-000084", "filed": "2018-12-21"}</t>
        </is>
      </c>
    </row>
    <row r="214" ht="42" customHeight="1">
      <c r="A214" s="2" t="inlineStr">
        <is>
          <t>Annual</t>
        </is>
      </c>
      <c r="B214" s="2" t="inlineStr">
        <is>
          <t>ocf</t>
        </is>
      </c>
      <c r="C214" s="2" t="inlineStr">
        <is>
          <t>2017-10-29</t>
        </is>
      </c>
      <c r="D214" s="3" t="n">
        <v>6551000000</v>
      </c>
      <c r="E214" s="2" t="inlineStr">
        <is>
          <t>USD</t>
        </is>
      </c>
      <c r="F214" s="2" t="inlineStr">
        <is>
          <t>reported</t>
        </is>
      </c>
      <c r="G214" s="2" t="inlineStr"/>
      <c r="H214" s="2" t="inlineStr">
        <is>
          <t>https://www.sec.gov/Archives/edgar/data/1730168/000173016819000144/0001730168-19-000144-index.html</t>
        </is>
      </c>
      <c r="I214" s="2" t="inlineStr">
        <is>
          <t>{"tag": "us-gaap:NetCashProvidedByUsedInOperatingActivities", "form": "10-K", "accession": "0001730168-19-000144", "filed": "2019-12-20"}</t>
        </is>
      </c>
    </row>
    <row r="215" ht="42" customHeight="1">
      <c r="A215" s="2" t="inlineStr">
        <is>
          <t>Annual</t>
        </is>
      </c>
      <c r="B215" s="2" t="inlineStr">
        <is>
          <t>ocf</t>
        </is>
      </c>
      <c r="C215" s="2" t="inlineStr">
        <is>
          <t>2018-11-04</t>
        </is>
      </c>
      <c r="D215" s="3" t="n">
        <v>8880000000</v>
      </c>
      <c r="E215" s="2" t="inlineStr">
        <is>
          <t>USD</t>
        </is>
      </c>
      <c r="F215" s="2" t="inlineStr">
        <is>
          <t>reported</t>
        </is>
      </c>
      <c r="G215" s="2" t="inlineStr">
        <is>
          <t>long_year</t>
        </is>
      </c>
      <c r="H215" s="2" t="inlineStr">
        <is>
          <t>https://www.sec.gov/Archives/edgar/data/1730168/000173016820000226/0001730168-20-000226-index.html</t>
        </is>
      </c>
      <c r="I215" s="2" t="inlineStr">
        <is>
          <t>{"tag": "us-gaap:NetCashProvidedByUsedInOperatingActivities", "form": "10-K", "accession": "0001730168-20-000226", "filed": "2020-12-18"}</t>
        </is>
      </c>
    </row>
    <row r="216" ht="42" customHeight="1">
      <c r="A216" s="2" t="inlineStr">
        <is>
          <t>Annual</t>
        </is>
      </c>
      <c r="B216" s="2" t="inlineStr">
        <is>
          <t>ocf</t>
        </is>
      </c>
      <c r="C216" s="2" t="inlineStr">
        <is>
          <t>2019-11-03</t>
        </is>
      </c>
      <c r="D216" s="3" t="n">
        <v>9697000000</v>
      </c>
      <c r="E216" s="2" t="inlineStr">
        <is>
          <t>USD</t>
        </is>
      </c>
      <c r="F216" s="2" t="inlineStr">
        <is>
          <t>reported</t>
        </is>
      </c>
      <c r="G216" s="2" t="inlineStr"/>
      <c r="H216" s="2" t="inlineStr">
        <is>
          <t>https://www.sec.gov/Archives/edgar/data/1730168/000173016821000153/0001730168-21-000153-index.html</t>
        </is>
      </c>
      <c r="I216" s="2" t="inlineStr">
        <is>
          <t>{"tag": "us-gaap:NetCashProvidedByUsedInOperatingActivities", "form": "10-K", "accession": "0001730168-21-000153", "filed": "2021-12-17"}</t>
        </is>
      </c>
    </row>
    <row r="217" ht="42" customHeight="1">
      <c r="A217" s="2" t="inlineStr">
        <is>
          <t>Annual</t>
        </is>
      </c>
      <c r="B217" s="2" t="inlineStr">
        <is>
          <t>ocf</t>
        </is>
      </c>
      <c r="C217" s="2" t="inlineStr">
        <is>
          <t>2020-11-01</t>
        </is>
      </c>
      <c r="D217" s="3" t="n">
        <v>12061000000</v>
      </c>
      <c r="E217" s="2" t="inlineStr">
        <is>
          <t>USD</t>
        </is>
      </c>
      <c r="F217" s="2" t="inlineStr">
        <is>
          <t>reported</t>
        </is>
      </c>
      <c r="G217" s="2" t="inlineStr"/>
      <c r="H217" s="2" t="inlineStr">
        <is>
          <t>https://www.sec.gov/Archives/edgar/data/1730168/000173016822000118/0001730168-22-000118-index.html</t>
        </is>
      </c>
      <c r="I217" s="2" t="inlineStr">
        <is>
          <t>{"tag": "us-gaap:NetCashProvidedByUsedInOperatingActivities", "form": "10-K", "accession": "0001730168-22-000118", "filed": "2022-12-16"}</t>
        </is>
      </c>
    </row>
    <row r="218" ht="42" customHeight="1">
      <c r="A218" s="2" t="inlineStr">
        <is>
          <t>Annual</t>
        </is>
      </c>
      <c r="B218" s="2" t="inlineStr">
        <is>
          <t>ocf</t>
        </is>
      </c>
      <c r="C218" s="2" t="inlineStr">
        <is>
          <t>2021-10-31</t>
        </is>
      </c>
      <c r="D218" s="3" t="n">
        <v>13764000000</v>
      </c>
      <c r="E218" s="2" t="inlineStr">
        <is>
          <t>USD</t>
        </is>
      </c>
      <c r="F218" s="2" t="inlineStr">
        <is>
          <t>reported</t>
        </is>
      </c>
      <c r="G218" s="2" t="inlineStr"/>
      <c r="H218" s="2" t="inlineStr">
        <is>
          <t>https://www.sec.gov/Archives/edgar/data/1730168/000173016823000096/0001730168-23-000096-index.html</t>
        </is>
      </c>
      <c r="I218" s="2" t="inlineStr">
        <is>
          <t>{"tag": "us-gaap:NetCashProvidedByUsedInOperatingActivities", "form": "10-K", "accession": "0001730168-23-000096", "filed": "2023-12-14"}</t>
        </is>
      </c>
    </row>
    <row r="219" ht="42" customHeight="1">
      <c r="A219" s="2" t="inlineStr">
        <is>
          <t>Annual</t>
        </is>
      </c>
      <c r="B219" s="2" t="inlineStr">
        <is>
          <t>ocf</t>
        </is>
      </c>
      <c r="C219" s="2" t="inlineStr">
        <is>
          <t>2022-10-30</t>
        </is>
      </c>
      <c r="D219" s="3" t="n">
        <v>16736000000</v>
      </c>
      <c r="E219" s="2" t="inlineStr">
        <is>
          <t>USD</t>
        </is>
      </c>
      <c r="F219" s="2" t="inlineStr">
        <is>
          <t>reported</t>
        </is>
      </c>
      <c r="G219" s="2" t="inlineStr"/>
      <c r="H219" s="2" t="inlineStr">
        <is>
          <t>https://www.sec.gov/Archives/edgar/data/1730168/000173016824000139/0001730168-24-000139-index.html</t>
        </is>
      </c>
      <c r="I219" s="2" t="inlineStr">
        <is>
          <t>{"tag": "us-gaap:NetCashProvidedByUsedInOperatingActivities", "form": "10-K", "accession": "0001730168-24-000139", "filed": "2024-12-20"}</t>
        </is>
      </c>
    </row>
    <row r="220" ht="42" customHeight="1">
      <c r="A220" s="2" t="inlineStr">
        <is>
          <t>Annual</t>
        </is>
      </c>
      <c r="B220" s="2" t="inlineStr">
        <is>
          <t>ocf</t>
        </is>
      </c>
      <c r="C220" s="2" t="inlineStr">
        <is>
          <t>2023-10-29</t>
        </is>
      </c>
      <c r="D220" s="3" t="n">
        <v>18085000000</v>
      </c>
      <c r="E220" s="2" t="inlineStr">
        <is>
          <t>USD</t>
        </is>
      </c>
      <c r="F220" s="2" t="inlineStr">
        <is>
          <t>reported</t>
        </is>
      </c>
      <c r="G220" s="2" t="inlineStr"/>
      <c r="H220" s="2" t="inlineStr">
        <is>
          <t>https://www.sec.gov/Archives/edgar/data/1730168/000173016825000121/0001730168-25-000121-index.html</t>
        </is>
      </c>
      <c r="I220" s="2" t="inlineStr">
        <is>
          <t>{"tag": "us-gaap:NetCashProvidedByUsedInOperatingActivities", "form": "10-K", "accession": "0001730168-25-000121", "filed": "2025-12-18"}</t>
        </is>
      </c>
    </row>
    <row r="221" ht="42" customHeight="1">
      <c r="A221" s="2" t="inlineStr">
        <is>
          <t>Annual</t>
        </is>
      </c>
      <c r="B221" s="2" t="inlineStr">
        <is>
          <t>ocf</t>
        </is>
      </c>
      <c r="C221" s="2" t="inlineStr">
        <is>
          <t>2024-11-03</t>
        </is>
      </c>
      <c r="D221" s="3" t="n">
        <v>19962000000</v>
      </c>
      <c r="E221" s="2" t="inlineStr">
        <is>
          <t>USD</t>
        </is>
      </c>
      <c r="F221" s="2" t="inlineStr">
        <is>
          <t>reported</t>
        </is>
      </c>
      <c r="G221" s="2" t="inlineStr">
        <is>
          <t>long_year</t>
        </is>
      </c>
      <c r="H221" s="2" t="inlineStr">
        <is>
          <t>https://www.sec.gov/Archives/edgar/data/1730168/000173016825000121/0001730168-25-000121-index.html</t>
        </is>
      </c>
      <c r="I221" s="2" t="inlineStr">
        <is>
          <t>{"tag": "us-gaap:NetCashProvidedByUsedInOperatingActivities", "form": "10-K", "accession": "0001730168-25-000121", "filed": "2025-12-18"}</t>
        </is>
      </c>
    </row>
    <row r="222" ht="42" customHeight="1">
      <c r="A222" s="2" t="inlineStr">
        <is>
          <t>Annual</t>
        </is>
      </c>
      <c r="B222" s="2" t="inlineStr">
        <is>
          <t>ocf</t>
        </is>
      </c>
      <c r="C222" s="2" t="inlineStr">
        <is>
          <t>2025-11-02</t>
        </is>
      </c>
      <c r="D222" s="3" t="n">
        <v>27537000000</v>
      </c>
      <c r="E222" s="2" t="inlineStr">
        <is>
          <t>USD</t>
        </is>
      </c>
      <c r="F222" s="2" t="inlineStr">
        <is>
          <t>reported</t>
        </is>
      </c>
      <c r="G222" s="2" t="inlineStr"/>
      <c r="H222" s="2" t="inlineStr">
        <is>
          <t>https://www.sec.gov/Archives/edgar/data/1730168/000173016825000121/0001730168-25-000121-index.html</t>
        </is>
      </c>
      <c r="I222" s="2" t="inlineStr">
        <is>
          <t>{"tag": "us-gaap:NetCashProvidedByUsedInOperatingActivities", "form": "10-K", "accession": "0001730168-25-000121", "filed": "2025-12-18"}</t>
        </is>
      </c>
    </row>
    <row r="223" ht="42" customHeight="1">
      <c r="A223" s="2" t="inlineStr">
        <is>
          <t>Annual</t>
        </is>
      </c>
      <c r="B223" s="2" t="inlineStr">
        <is>
          <t>capex</t>
        </is>
      </c>
      <c r="C223" s="2" t="inlineStr">
        <is>
          <t>2016-10-30</t>
        </is>
      </c>
      <c r="D223" s="3" t="n">
        <v>723000000</v>
      </c>
      <c r="E223" s="2" t="inlineStr">
        <is>
          <t>USD</t>
        </is>
      </c>
      <c r="F223" s="2" t="inlineStr">
        <is>
          <t>reported</t>
        </is>
      </c>
      <c r="G223" s="2" t="inlineStr"/>
      <c r="H223" s="2" t="inlineStr">
        <is>
          <t>https://www.sec.gov/Archives/edgar/data/1730168/000173016818000084/0001730168-18-000084-index.html</t>
        </is>
      </c>
      <c r="I223" s="2" t="inlineStr">
        <is>
          <t>{"tag": "us-gaap:PaymentsToAcquirePropertyPlantAndEquipment", "form": "10-K", "accession": "0001730168-18-000084", "filed": "2018-12-21"}</t>
        </is>
      </c>
    </row>
    <row r="224" ht="42" customHeight="1">
      <c r="A224" s="2" t="inlineStr">
        <is>
          <t>Annual</t>
        </is>
      </c>
      <c r="B224" s="2" t="inlineStr">
        <is>
          <t>capex</t>
        </is>
      </c>
      <c r="C224" s="2" t="inlineStr">
        <is>
          <t>2017-10-29</t>
        </is>
      </c>
      <c r="D224" s="3" t="n">
        <v>1069000000</v>
      </c>
      <c r="E224" s="2" t="inlineStr">
        <is>
          <t>USD</t>
        </is>
      </c>
      <c r="F224" s="2" t="inlineStr">
        <is>
          <t>reported</t>
        </is>
      </c>
      <c r="G224" s="2" t="inlineStr"/>
      <c r="H224" s="2" t="inlineStr">
        <is>
          <t>https://www.sec.gov/Archives/edgar/data/1730168/000173016819000144/0001730168-19-000144-index.html</t>
        </is>
      </c>
      <c r="I224" s="2" t="inlineStr">
        <is>
          <t>{"tag": "us-gaap:PaymentsToAcquirePropertyPlantAndEquipment", "form": "10-K", "accession": "0001730168-19-000144", "filed": "2019-12-20"}</t>
        </is>
      </c>
    </row>
    <row r="225" ht="42" customHeight="1">
      <c r="A225" s="2" t="inlineStr">
        <is>
          <t>Annual</t>
        </is>
      </c>
      <c r="B225" s="2" t="inlineStr">
        <is>
          <t>capex</t>
        </is>
      </c>
      <c r="C225" s="2" t="inlineStr">
        <is>
          <t>2018-11-04</t>
        </is>
      </c>
      <c r="D225" s="3" t="n">
        <v>635000000</v>
      </c>
      <c r="E225" s="2" t="inlineStr">
        <is>
          <t>USD</t>
        </is>
      </c>
      <c r="F225" s="2" t="inlineStr">
        <is>
          <t>reported</t>
        </is>
      </c>
      <c r="G225" s="2" t="inlineStr">
        <is>
          <t>long_year</t>
        </is>
      </c>
      <c r="H225" s="2" t="inlineStr">
        <is>
          <t>https://www.sec.gov/Archives/edgar/data/1730168/000173016820000226/0001730168-20-000226-index.html</t>
        </is>
      </c>
      <c r="I225" s="2" t="inlineStr">
        <is>
          <t>{"tag": "us-gaap:PaymentsToAcquirePropertyPlantAndEquipment", "form": "10-K", "accession": "0001730168-20-000226", "filed": "2020-12-18"}</t>
        </is>
      </c>
    </row>
    <row r="226" ht="42" customHeight="1">
      <c r="A226" s="2" t="inlineStr">
        <is>
          <t>Annual</t>
        </is>
      </c>
      <c r="B226" s="2" t="inlineStr">
        <is>
          <t>capex</t>
        </is>
      </c>
      <c r="C226" s="2" t="inlineStr">
        <is>
          <t>2019-11-03</t>
        </is>
      </c>
      <c r="D226" s="3" t="n">
        <v>432000000</v>
      </c>
      <c r="E226" s="2" t="inlineStr">
        <is>
          <t>USD</t>
        </is>
      </c>
      <c r="F226" s="2" t="inlineStr">
        <is>
          <t>reported</t>
        </is>
      </c>
      <c r="G226" s="2" t="inlineStr"/>
      <c r="H226" s="2" t="inlineStr">
        <is>
          <t>https://www.sec.gov/Archives/edgar/data/1730168/000173016821000153/0001730168-21-000153-index.html</t>
        </is>
      </c>
      <c r="I226" s="2" t="inlineStr">
        <is>
          <t>{"tag": "us-gaap:PaymentsToAcquirePropertyPlantAndEquipment", "form": "10-K", "accession": "0001730168-21-000153", "filed": "2021-12-17"}</t>
        </is>
      </c>
    </row>
    <row r="227" ht="42" customHeight="1">
      <c r="A227" s="2" t="inlineStr">
        <is>
          <t>Annual</t>
        </is>
      </c>
      <c r="B227" s="2" t="inlineStr">
        <is>
          <t>capex</t>
        </is>
      </c>
      <c r="C227" s="2" t="inlineStr">
        <is>
          <t>2020-11-01</t>
        </is>
      </c>
      <c r="D227" s="3" t="n">
        <v>463000000</v>
      </c>
      <c r="E227" s="2" t="inlineStr">
        <is>
          <t>USD</t>
        </is>
      </c>
      <c r="F227" s="2" t="inlineStr">
        <is>
          <t>reported</t>
        </is>
      </c>
      <c r="G227" s="2" t="inlineStr"/>
      <c r="H227" s="2" t="inlineStr">
        <is>
          <t>https://www.sec.gov/Archives/edgar/data/1730168/000173016822000118/0001730168-22-000118-index.html</t>
        </is>
      </c>
      <c r="I227" s="2" t="inlineStr">
        <is>
          <t>{"tag": "us-gaap:PaymentsToAcquirePropertyPlantAndEquipment", "form": "10-K", "accession": "0001730168-22-000118", "filed": "2022-12-16"}</t>
        </is>
      </c>
    </row>
    <row r="228" ht="42" customHeight="1">
      <c r="A228" s="2" t="inlineStr">
        <is>
          <t>Annual</t>
        </is>
      </c>
      <c r="B228" s="2" t="inlineStr">
        <is>
          <t>capex</t>
        </is>
      </c>
      <c r="C228" s="2" t="inlineStr">
        <is>
          <t>2021-10-31</t>
        </is>
      </c>
      <c r="D228" s="3" t="n">
        <v>443000000</v>
      </c>
      <c r="E228" s="2" t="inlineStr">
        <is>
          <t>USD</t>
        </is>
      </c>
      <c r="F228" s="2" t="inlineStr">
        <is>
          <t>reported</t>
        </is>
      </c>
      <c r="G228" s="2" t="inlineStr"/>
      <c r="H228" s="2" t="inlineStr">
        <is>
          <t>https://www.sec.gov/Archives/edgar/data/1730168/000173016823000096/0001730168-23-000096-index.html</t>
        </is>
      </c>
      <c r="I228" s="2" t="inlineStr">
        <is>
          <t>{"tag": "us-gaap:PaymentsToAcquirePropertyPlantAndEquipment", "form": "10-K", "accession": "0001730168-23-000096", "filed": "2023-12-14"}</t>
        </is>
      </c>
    </row>
    <row r="229" ht="42" customHeight="1">
      <c r="A229" s="2" t="inlineStr">
        <is>
          <t>Annual</t>
        </is>
      </c>
      <c r="B229" s="2" t="inlineStr">
        <is>
          <t>capex</t>
        </is>
      </c>
      <c r="C229" s="2" t="inlineStr">
        <is>
          <t>2022-10-30</t>
        </is>
      </c>
      <c r="D229" s="3" t="n">
        <v>424000000</v>
      </c>
      <c r="E229" s="2" t="inlineStr">
        <is>
          <t>USD</t>
        </is>
      </c>
      <c r="F229" s="2" t="inlineStr">
        <is>
          <t>reported</t>
        </is>
      </c>
      <c r="G229" s="2" t="inlineStr"/>
      <c r="H229" s="2" t="inlineStr">
        <is>
          <t>https://www.sec.gov/Archives/edgar/data/1730168/000173016824000139/0001730168-24-000139-index.html</t>
        </is>
      </c>
      <c r="I229" s="2" t="inlineStr">
        <is>
          <t>{"tag": "us-gaap:PaymentsToAcquirePropertyPlantAndEquipment", "form": "10-K", "accession": "0001730168-24-000139", "filed": "2024-12-20"}</t>
        </is>
      </c>
    </row>
    <row r="230" ht="42" customHeight="1">
      <c r="A230" s="2" t="inlineStr">
        <is>
          <t>Annual</t>
        </is>
      </c>
      <c r="B230" s="2" t="inlineStr">
        <is>
          <t>capex</t>
        </is>
      </c>
      <c r="C230" s="2" t="inlineStr">
        <is>
          <t>2023-10-29</t>
        </is>
      </c>
      <c r="D230" s="3" t="n">
        <v>452000000</v>
      </c>
      <c r="E230" s="2" t="inlineStr">
        <is>
          <t>USD</t>
        </is>
      </c>
      <c r="F230" s="2" t="inlineStr">
        <is>
          <t>reported</t>
        </is>
      </c>
      <c r="G230" s="2" t="inlineStr"/>
      <c r="H230" s="2" t="inlineStr">
        <is>
          <t>https://www.sec.gov/Archives/edgar/data/1730168/000173016825000121/0001730168-25-000121-index.html</t>
        </is>
      </c>
      <c r="I230" s="2" t="inlineStr">
        <is>
          <t>{"tag": "us-gaap:PaymentsToAcquirePropertyPlantAndEquipment", "form": "10-K", "accession": "0001730168-25-000121", "filed": "2025-12-18"}</t>
        </is>
      </c>
    </row>
    <row r="231" ht="42" customHeight="1">
      <c r="A231" s="2" t="inlineStr">
        <is>
          <t>Annual</t>
        </is>
      </c>
      <c r="B231" s="2" t="inlineStr">
        <is>
          <t>capex</t>
        </is>
      </c>
      <c r="C231" s="2" t="inlineStr">
        <is>
          <t>2024-11-03</t>
        </is>
      </c>
      <c r="D231" s="3" t="n">
        <v>548000000</v>
      </c>
      <c r="E231" s="2" t="inlineStr">
        <is>
          <t>USD</t>
        </is>
      </c>
      <c r="F231" s="2" t="inlineStr">
        <is>
          <t>reported</t>
        </is>
      </c>
      <c r="G231" s="2" t="inlineStr">
        <is>
          <t>long_year</t>
        </is>
      </c>
      <c r="H231" s="2" t="inlineStr">
        <is>
          <t>https://www.sec.gov/Archives/edgar/data/1730168/000173016825000121/0001730168-25-000121-index.html</t>
        </is>
      </c>
      <c r="I231" s="2" t="inlineStr">
        <is>
          <t>{"tag": "us-gaap:PaymentsToAcquirePropertyPlantAndEquipment", "form": "10-K", "accession": "0001730168-25-000121", "filed": "2025-12-18"}</t>
        </is>
      </c>
    </row>
    <row r="232" ht="42" customHeight="1">
      <c r="A232" s="2" t="inlineStr">
        <is>
          <t>Annual</t>
        </is>
      </c>
      <c r="B232" s="2" t="inlineStr">
        <is>
          <t>capex</t>
        </is>
      </c>
      <c r="C232" s="2" t="inlineStr">
        <is>
          <t>2025-11-02</t>
        </is>
      </c>
      <c r="D232" s="3" t="n">
        <v>623000000</v>
      </c>
      <c r="E232" s="2" t="inlineStr">
        <is>
          <t>USD</t>
        </is>
      </c>
      <c r="F232" s="2" t="inlineStr">
        <is>
          <t>reported</t>
        </is>
      </c>
      <c r="G232" s="2" t="inlineStr"/>
      <c r="H232" s="2" t="inlineStr">
        <is>
          <t>https://www.sec.gov/Archives/edgar/data/1730168/000173016825000121/0001730168-25-000121-index.html</t>
        </is>
      </c>
      <c r="I232" s="2" t="inlineStr">
        <is>
          <t>{"tag": "us-gaap:PaymentsToAcquirePropertyPlantAndEquipment", "form": "10-K", "accession": "0001730168-25-000121", "filed": "2025-12-18"}</t>
        </is>
      </c>
    </row>
    <row r="233" ht="42" customHeight="1">
      <c r="A233" s="2" t="inlineStr">
        <is>
          <t>Annual</t>
        </is>
      </c>
      <c r="B233" s="2" t="inlineStr">
        <is>
          <t>sbc</t>
        </is>
      </c>
      <c r="C233" s="2" t="inlineStr">
        <is>
          <t>2016-10-30</t>
        </is>
      </c>
      <c r="D233" s="3" t="n">
        <v>679000000</v>
      </c>
      <c r="E233" s="2" t="inlineStr">
        <is>
          <t>USD</t>
        </is>
      </c>
      <c r="F233" s="2" t="inlineStr">
        <is>
          <t>reported</t>
        </is>
      </c>
      <c r="G233" s="2" t="inlineStr">
        <is>
          <t>tag_conflict</t>
        </is>
      </c>
      <c r="H233" s="2" t="inlineStr">
        <is>
          <t>https://www.sec.gov/Archives/edgar/data/1730168/000173016818000084/0001730168-18-000084-index.html</t>
        </is>
      </c>
      <c r="I233" s="2" t="inlineStr">
        <is>
          <t>{"tag": "us-gaap:ShareBasedCompensation", "form": "10-K", "accession": "0001730168-18-000084", "filed": "2018-12-21"}</t>
        </is>
      </c>
    </row>
    <row r="234" ht="42" customHeight="1">
      <c r="A234" s="2" t="inlineStr">
        <is>
          <t>Annual</t>
        </is>
      </c>
      <c r="B234" s="2" t="inlineStr">
        <is>
          <t>sbc</t>
        </is>
      </c>
      <c r="C234" s="2" t="inlineStr">
        <is>
          <t>2017-10-29</t>
        </is>
      </c>
      <c r="D234" s="3" t="n">
        <v>921000000</v>
      </c>
      <c r="E234" s="2" t="inlineStr">
        <is>
          <t>USD</t>
        </is>
      </c>
      <c r="F234" s="2" t="inlineStr">
        <is>
          <t>reported</t>
        </is>
      </c>
      <c r="G234" s="2" t="inlineStr"/>
      <c r="H234" s="2" t="inlineStr">
        <is>
          <t>https://www.sec.gov/Archives/edgar/data/1730168/000173016819000144/0001730168-19-000144-index.html</t>
        </is>
      </c>
      <c r="I234" s="2" t="inlineStr">
        <is>
          <t>{"tag": "us-gaap:ShareBasedCompensation", "form": "10-K", "accession": "0001730168-19-000144", "filed": "2019-12-20"}</t>
        </is>
      </c>
    </row>
    <row r="235" ht="42" customHeight="1">
      <c r="A235" s="2" t="inlineStr">
        <is>
          <t>Annual</t>
        </is>
      </c>
      <c r="B235" s="2" t="inlineStr">
        <is>
          <t>sbc</t>
        </is>
      </c>
      <c r="C235" s="2" t="inlineStr">
        <is>
          <t>2018-11-04</t>
        </is>
      </c>
      <c r="D235" s="3" t="n">
        <v>1227000000</v>
      </c>
      <c r="E235" s="2" t="inlineStr">
        <is>
          <t>USD</t>
        </is>
      </c>
      <c r="F235" s="2" t="inlineStr">
        <is>
          <t>reported</t>
        </is>
      </c>
      <c r="G235" s="2" t="inlineStr">
        <is>
          <t>long_year</t>
        </is>
      </c>
      <c r="H235" s="2" t="inlineStr">
        <is>
          <t>https://www.sec.gov/Archives/edgar/data/1730168/000173016820000226/0001730168-20-000226-index.html</t>
        </is>
      </c>
      <c r="I235" s="2" t="inlineStr">
        <is>
          <t>{"tag": "us-gaap:ShareBasedCompensation", "form": "10-K", "accession": "0001730168-20-000226", "filed": "2020-12-18"}</t>
        </is>
      </c>
    </row>
    <row r="236" ht="42" customHeight="1">
      <c r="A236" s="2" t="inlineStr">
        <is>
          <t>Annual</t>
        </is>
      </c>
      <c r="B236" s="2" t="inlineStr">
        <is>
          <t>sbc</t>
        </is>
      </c>
      <c r="C236" s="2" t="inlineStr">
        <is>
          <t>2019-11-03</t>
        </is>
      </c>
      <c r="D236" s="3" t="n">
        <v>2185000000</v>
      </c>
      <c r="E236" s="2" t="inlineStr">
        <is>
          <t>USD</t>
        </is>
      </c>
      <c r="F236" s="2" t="inlineStr">
        <is>
          <t>reported</t>
        </is>
      </c>
      <c r="G236" s="2" t="inlineStr"/>
      <c r="H236" s="2" t="inlineStr">
        <is>
          <t>https://www.sec.gov/Archives/edgar/data/1730168/000173016821000153/0001730168-21-000153-index.html</t>
        </is>
      </c>
      <c r="I236" s="2" t="inlineStr">
        <is>
          <t>{"tag": "us-gaap:ShareBasedCompensation", "form": "10-K", "accession": "0001730168-21-000153", "filed": "2021-12-17"}</t>
        </is>
      </c>
    </row>
    <row r="237" ht="42" customHeight="1">
      <c r="A237" s="2" t="inlineStr">
        <is>
          <t>Annual</t>
        </is>
      </c>
      <c r="B237" s="2" t="inlineStr">
        <is>
          <t>sbc</t>
        </is>
      </c>
      <c r="C237" s="2" t="inlineStr">
        <is>
          <t>2020-11-01</t>
        </is>
      </c>
      <c r="D237" s="3" t="n">
        <v>1976000000</v>
      </c>
      <c r="E237" s="2" t="inlineStr">
        <is>
          <t>USD</t>
        </is>
      </c>
      <c r="F237" s="2" t="inlineStr">
        <is>
          <t>reported</t>
        </is>
      </c>
      <c r="G237" s="2" t="inlineStr"/>
      <c r="H237" s="2" t="inlineStr">
        <is>
          <t>https://www.sec.gov/Archives/edgar/data/1730168/000173016822000118/0001730168-22-000118-index.html</t>
        </is>
      </c>
      <c r="I237" s="2" t="inlineStr">
        <is>
          <t>{"tag": "us-gaap:ShareBasedCompensation", "form": "10-K", "accession": "0001730168-22-000118", "filed": "2022-12-16"}</t>
        </is>
      </c>
    </row>
    <row r="238" ht="42" customHeight="1">
      <c r="A238" s="2" t="inlineStr">
        <is>
          <t>Annual</t>
        </is>
      </c>
      <c r="B238" s="2" t="inlineStr">
        <is>
          <t>sbc</t>
        </is>
      </c>
      <c r="C238" s="2" t="inlineStr">
        <is>
          <t>2021-10-31</t>
        </is>
      </c>
      <c r="D238" s="3" t="n">
        <v>1704000000</v>
      </c>
      <c r="E238" s="2" t="inlineStr">
        <is>
          <t>USD</t>
        </is>
      </c>
      <c r="F238" s="2" t="inlineStr">
        <is>
          <t>reported</t>
        </is>
      </c>
      <c r="G238" s="2" t="inlineStr"/>
      <c r="H238" s="2" t="inlineStr">
        <is>
          <t>https://www.sec.gov/Archives/edgar/data/1730168/000173016823000096/0001730168-23-000096-index.html</t>
        </is>
      </c>
      <c r="I238" s="2" t="inlineStr">
        <is>
          <t>{"tag": "us-gaap:ShareBasedCompensation", "form": "10-K", "accession": "0001730168-23-000096", "filed": "2023-12-14"}</t>
        </is>
      </c>
    </row>
    <row r="239" ht="42" customHeight="1">
      <c r="A239" s="2" t="inlineStr">
        <is>
          <t>Annual</t>
        </is>
      </c>
      <c r="B239" s="2" t="inlineStr">
        <is>
          <t>sbc</t>
        </is>
      </c>
      <c r="C239" s="2" t="inlineStr">
        <is>
          <t>2022-10-30</t>
        </is>
      </c>
      <c r="D239" s="3" t="n">
        <v>1533000000</v>
      </c>
      <c r="E239" s="2" t="inlineStr">
        <is>
          <t>USD</t>
        </is>
      </c>
      <c r="F239" s="2" t="inlineStr">
        <is>
          <t>reported</t>
        </is>
      </c>
      <c r="G239" s="2" t="inlineStr"/>
      <c r="H239" s="2" t="inlineStr">
        <is>
          <t>https://www.sec.gov/Archives/edgar/data/1730168/000173016824000139/0001730168-24-000139-index.html</t>
        </is>
      </c>
      <c r="I239" s="2" t="inlineStr">
        <is>
          <t>{"tag": "us-gaap:ShareBasedCompensation", "form": "10-K", "accession": "0001730168-24-000139", "filed": "2024-12-20"}</t>
        </is>
      </c>
    </row>
    <row r="240" ht="42" customHeight="1">
      <c r="A240" s="2" t="inlineStr">
        <is>
          <t>Annual</t>
        </is>
      </c>
      <c r="B240" s="2" t="inlineStr">
        <is>
          <t>sbc</t>
        </is>
      </c>
      <c r="C240" s="2" t="inlineStr">
        <is>
          <t>2023-10-29</t>
        </is>
      </c>
      <c r="D240" s="3" t="n">
        <v>2171000000</v>
      </c>
      <c r="E240" s="2" t="inlineStr">
        <is>
          <t>USD</t>
        </is>
      </c>
      <c r="F240" s="2" t="inlineStr">
        <is>
          <t>reported</t>
        </is>
      </c>
      <c r="G240" s="2" t="inlineStr"/>
      <c r="H240" s="2" t="inlineStr">
        <is>
          <t>https://www.sec.gov/Archives/edgar/data/1730168/000173016825000121/0001730168-25-000121-index.html</t>
        </is>
      </c>
      <c r="I240" s="2" t="inlineStr">
        <is>
          <t>{"tag": "us-gaap:ShareBasedCompensation", "form": "10-K", "accession": "0001730168-25-000121", "filed": "2025-12-18"}</t>
        </is>
      </c>
    </row>
    <row r="241" ht="42" customHeight="1">
      <c r="A241" s="2" t="inlineStr">
        <is>
          <t>Annual</t>
        </is>
      </c>
      <c r="B241" s="2" t="inlineStr">
        <is>
          <t>sbc</t>
        </is>
      </c>
      <c r="C241" s="2" t="inlineStr">
        <is>
          <t>2024-11-03</t>
        </is>
      </c>
      <c r="D241" s="3" t="n">
        <v>5741000000</v>
      </c>
      <c r="E241" s="2" t="inlineStr">
        <is>
          <t>USD</t>
        </is>
      </c>
      <c r="F241" s="2" t="inlineStr">
        <is>
          <t>reported</t>
        </is>
      </c>
      <c r="G241" s="2" t="inlineStr">
        <is>
          <t>long_year, tag_conflict</t>
        </is>
      </c>
      <c r="H241" s="2" t="inlineStr">
        <is>
          <t>https://www.sec.gov/Archives/edgar/data/1730168/000173016825000121/0001730168-25-000121-index.html</t>
        </is>
      </c>
      <c r="I241" s="2" t="inlineStr">
        <is>
          <t>{"tag": "us-gaap:ShareBasedCompensation", "form": "10-K", "accession": "0001730168-25-000121", "filed": "2025-12-18"}</t>
        </is>
      </c>
    </row>
    <row r="242" ht="42" customHeight="1">
      <c r="A242" s="2" t="inlineStr">
        <is>
          <t>Annual</t>
        </is>
      </c>
      <c r="B242" s="2" t="inlineStr">
        <is>
          <t>sbc</t>
        </is>
      </c>
      <c r="C242" s="2" t="inlineStr">
        <is>
          <t>2025-11-02</t>
        </is>
      </c>
      <c r="D242" s="3" t="n">
        <v>7568000000</v>
      </c>
      <c r="E242" s="2" t="inlineStr">
        <is>
          <t>USD</t>
        </is>
      </c>
      <c r="F242" s="2" t="inlineStr">
        <is>
          <t>reported</t>
        </is>
      </c>
      <c r="G242" s="2" t="inlineStr"/>
      <c r="H242" s="2" t="inlineStr">
        <is>
          <t>https://www.sec.gov/Archives/edgar/data/1730168/000173016825000121/0001730168-25-000121-index.html</t>
        </is>
      </c>
      <c r="I242" s="2" t="inlineStr">
        <is>
          <t>{"tag": "us-gaap:ShareBasedCompensation", "form": "10-K", "accession": "0001730168-25-000121", "filed": "2025-12-18"}</t>
        </is>
      </c>
    </row>
    <row r="243" ht="42" customHeight="1">
      <c r="A243" s="2" t="inlineStr">
        <is>
          <t>Annual</t>
        </is>
      </c>
      <c r="B243" s="2" t="inlineStr">
        <is>
          <t>acquisitions</t>
        </is>
      </c>
      <c r="C243" s="2" t="inlineStr">
        <is>
          <t>2016-10-30</t>
        </is>
      </c>
      <c r="D243" s="3" t="n">
        <v>10055000000</v>
      </c>
      <c r="E243" s="2" t="inlineStr">
        <is>
          <t>USD</t>
        </is>
      </c>
      <c r="F243" s="2" t="inlineStr">
        <is>
          <t>reported</t>
        </is>
      </c>
      <c r="G243" s="2" t="inlineStr"/>
      <c r="H243" s="2" t="inlineStr">
        <is>
          <t>https://www.sec.gov/Archives/edgar/data/1730168/000173016818000084/0001730168-18-000084-index.html</t>
        </is>
      </c>
      <c r="I243" s="2" t="inlineStr">
        <is>
          <t>{"tag": "us-gaap:PaymentsToAcquireBusinessesNetOfCashAcquired", "form": "10-K", "accession": "0001730168-18-000084", "filed": "2018-12-21"}</t>
        </is>
      </c>
    </row>
    <row r="244" ht="42" customHeight="1">
      <c r="A244" s="2" t="inlineStr">
        <is>
          <t>Annual</t>
        </is>
      </c>
      <c r="B244" s="2" t="inlineStr">
        <is>
          <t>acquisitions</t>
        </is>
      </c>
      <c r="C244" s="2" t="inlineStr">
        <is>
          <t>2017-10-29</t>
        </is>
      </c>
      <c r="D244" s="3" t="n">
        <v>40000000</v>
      </c>
      <c r="E244" s="2" t="inlineStr">
        <is>
          <t>USD</t>
        </is>
      </c>
      <c r="F244" s="2" t="inlineStr">
        <is>
          <t>reported</t>
        </is>
      </c>
      <c r="G244" s="2" t="inlineStr"/>
      <c r="H244" s="2" t="inlineStr">
        <is>
          <t>https://www.sec.gov/Archives/edgar/data/1730168/000173016819000144/0001730168-19-000144-index.html</t>
        </is>
      </c>
      <c r="I244" s="2" t="inlineStr">
        <is>
          <t>{"tag": "us-gaap:PaymentsToAcquireBusinessesNetOfCashAcquired", "form": "10-K", "accession": "0001730168-19-000144", "filed": "2019-12-20"}</t>
        </is>
      </c>
    </row>
    <row r="245" ht="42" customHeight="1">
      <c r="A245" s="2" t="inlineStr">
        <is>
          <t>Annual</t>
        </is>
      </c>
      <c r="B245" s="2" t="inlineStr">
        <is>
          <t>acquisitions</t>
        </is>
      </c>
      <c r="C245" s="2" t="inlineStr">
        <is>
          <t>2018-11-04</t>
        </is>
      </c>
      <c r="D245" s="3" t="n">
        <v>4800000000</v>
      </c>
      <c r="E245" s="2" t="inlineStr">
        <is>
          <t>USD</t>
        </is>
      </c>
      <c r="F245" s="2" t="inlineStr">
        <is>
          <t>reported</t>
        </is>
      </c>
      <c r="G245" s="2" t="inlineStr">
        <is>
          <t>long_year</t>
        </is>
      </c>
      <c r="H245" s="2" t="inlineStr">
        <is>
          <t>https://www.sec.gov/Archives/edgar/data/1730168/000173016820000226/0001730168-20-000226-index.html</t>
        </is>
      </c>
      <c r="I245" s="2" t="inlineStr">
        <is>
          <t>{"tag": "us-gaap:PaymentsToAcquireBusinessesNetOfCashAcquired", "form": "10-K", "accession": "0001730168-20-000226", "filed": "2020-12-18"}</t>
        </is>
      </c>
    </row>
    <row r="246" ht="42" customHeight="1">
      <c r="A246" s="2" t="inlineStr">
        <is>
          <t>Annual</t>
        </is>
      </c>
      <c r="B246" s="2" t="inlineStr">
        <is>
          <t>acquisitions</t>
        </is>
      </c>
      <c r="C246" s="2" t="inlineStr">
        <is>
          <t>2019-11-03</t>
        </is>
      </c>
      <c r="D246" s="3" t="n">
        <v>16033000000</v>
      </c>
      <c r="E246" s="2" t="inlineStr">
        <is>
          <t>USD</t>
        </is>
      </c>
      <c r="F246" s="2" t="inlineStr">
        <is>
          <t>reported</t>
        </is>
      </c>
      <c r="G246" s="2" t="inlineStr"/>
      <c r="H246" s="2" t="inlineStr">
        <is>
          <t>https://www.sec.gov/Archives/edgar/data/1730168/000173016821000153/0001730168-21-000153-index.html</t>
        </is>
      </c>
      <c r="I246" s="2" t="inlineStr">
        <is>
          <t>{"tag": "us-gaap:PaymentsToAcquireBusinessesNetOfCashAcquired", "form": "10-K", "accession": "0001730168-21-000153", "filed": "2021-12-17"}</t>
        </is>
      </c>
    </row>
    <row r="247" ht="42" customHeight="1">
      <c r="A247" s="2" t="inlineStr">
        <is>
          <t>Annual</t>
        </is>
      </c>
      <c r="B247" s="2" t="inlineStr">
        <is>
          <t>acquisitions</t>
        </is>
      </c>
      <c r="C247" s="2" t="inlineStr">
        <is>
          <t>2020-11-01</t>
        </is>
      </c>
      <c r="D247" s="3" t="n">
        <v>10872000000</v>
      </c>
      <c r="E247" s="2" t="inlineStr">
        <is>
          <t>USD</t>
        </is>
      </c>
      <c r="F247" s="2" t="inlineStr">
        <is>
          <t>reported</t>
        </is>
      </c>
      <c r="G247" s="2" t="inlineStr"/>
      <c r="H247" s="2" t="inlineStr">
        <is>
          <t>https://www.sec.gov/Archives/edgar/data/1730168/000173016822000118/0001730168-22-000118-index.html</t>
        </is>
      </c>
      <c r="I247" s="2" t="inlineStr">
        <is>
          <t>{"tag": "us-gaap:PaymentsToAcquireBusinessesNetOfCashAcquired", "form": "10-K", "accession": "0001730168-22-000118", "filed": "2022-12-16"}</t>
        </is>
      </c>
    </row>
    <row r="248" ht="42" customHeight="1">
      <c r="A248" s="2" t="inlineStr">
        <is>
          <t>Annual</t>
        </is>
      </c>
      <c r="B248" s="2" t="inlineStr">
        <is>
          <t>acquisitions</t>
        </is>
      </c>
      <c r="C248" s="2" t="inlineStr">
        <is>
          <t>2021-10-31</t>
        </is>
      </c>
      <c r="D248" s="3" t="n">
        <v>8000000</v>
      </c>
      <c r="E248" s="2" t="inlineStr">
        <is>
          <t>USD</t>
        </is>
      </c>
      <c r="F248" s="2" t="inlineStr">
        <is>
          <t>reported</t>
        </is>
      </c>
      <c r="G248" s="2" t="inlineStr"/>
      <c r="H248" s="2" t="inlineStr">
        <is>
          <t>https://www.sec.gov/Archives/edgar/data/1730168/000173016823000096/0001730168-23-000096-index.html</t>
        </is>
      </c>
      <c r="I248" s="2" t="inlineStr">
        <is>
          <t>{"tag": "us-gaap:PaymentsToAcquireBusinessesNetOfCashAcquired", "form": "10-K", "accession": "0001730168-23-000096", "filed": "2023-12-14"}</t>
        </is>
      </c>
    </row>
    <row r="249" ht="42" customHeight="1">
      <c r="A249" s="2" t="inlineStr">
        <is>
          <t>Annual</t>
        </is>
      </c>
      <c r="B249" s="2" t="inlineStr">
        <is>
          <t>acquisitions</t>
        </is>
      </c>
      <c r="C249" s="2" t="inlineStr">
        <is>
          <t>2022-10-30</t>
        </is>
      </c>
      <c r="D249" s="3" t="n">
        <v>246000000</v>
      </c>
      <c r="E249" s="2" t="inlineStr">
        <is>
          <t>USD</t>
        </is>
      </c>
      <c r="F249" s="2" t="inlineStr">
        <is>
          <t>reported</t>
        </is>
      </c>
      <c r="G249" s="2" t="inlineStr"/>
      <c r="H249" s="2" t="inlineStr">
        <is>
          <t>https://www.sec.gov/Archives/edgar/data/1730168/000173016824000139/0001730168-24-000139-index.html</t>
        </is>
      </c>
      <c r="I249" s="2" t="inlineStr">
        <is>
          <t>{"tag": "us-gaap:PaymentsToAcquireBusinessesNetOfCashAcquired", "form": "10-K", "accession": "0001730168-24-000139", "filed": "2024-12-20"}</t>
        </is>
      </c>
    </row>
    <row r="250" ht="42" customHeight="1">
      <c r="A250" s="2" t="inlineStr">
        <is>
          <t>Annual</t>
        </is>
      </c>
      <c r="B250" s="2" t="inlineStr">
        <is>
          <t>acquisitions</t>
        </is>
      </c>
      <c r="C250" s="2" t="inlineStr">
        <is>
          <t>2023-10-29</t>
        </is>
      </c>
      <c r="D250" s="3" t="n">
        <v>53000000</v>
      </c>
      <c r="E250" s="2" t="inlineStr">
        <is>
          <t>USD</t>
        </is>
      </c>
      <c r="F250" s="2" t="inlineStr">
        <is>
          <t>reported</t>
        </is>
      </c>
      <c r="G250" s="2" t="inlineStr"/>
      <c r="H250" s="2" t="inlineStr">
        <is>
          <t>https://www.sec.gov/Archives/edgar/data/1730168/000173016825000121/0001730168-25-000121-index.html</t>
        </is>
      </c>
      <c r="I250" s="2" t="inlineStr">
        <is>
          <t>{"tag": "us-gaap:PaymentsToAcquireBusinessesNetOfCashAcquired", "form": "10-K", "accession": "0001730168-25-000121", "filed": "2025-12-18"}</t>
        </is>
      </c>
    </row>
    <row r="251" ht="42" customHeight="1">
      <c r="A251" s="2" t="inlineStr">
        <is>
          <t>Annual</t>
        </is>
      </c>
      <c r="B251" s="2" t="inlineStr">
        <is>
          <t>acquisitions</t>
        </is>
      </c>
      <c r="C251" s="2" t="inlineStr">
        <is>
          <t>2024-11-03</t>
        </is>
      </c>
      <c r="D251" s="3" t="n">
        <v>25978000000</v>
      </c>
      <c r="E251" s="2" t="inlineStr">
        <is>
          <t>USD</t>
        </is>
      </c>
      <c r="F251" s="2" t="inlineStr">
        <is>
          <t>reported</t>
        </is>
      </c>
      <c r="G251" s="2" t="inlineStr">
        <is>
          <t>long_year</t>
        </is>
      </c>
      <c r="H251" s="2" t="inlineStr">
        <is>
          <t>https://www.sec.gov/Archives/edgar/data/1730168/000173016825000121/0001730168-25-000121-index.html</t>
        </is>
      </c>
      <c r="I251" s="2" t="inlineStr">
        <is>
          <t>{"tag": "us-gaap:PaymentsToAcquireBusinessesNetOfCashAcquired", "form": "10-K", "accession": "0001730168-25-000121", "filed": "2025-12-18"}</t>
        </is>
      </c>
    </row>
    <row r="252" ht="42" customHeight="1">
      <c r="A252" s="2" t="inlineStr">
        <is>
          <t>Annual</t>
        </is>
      </c>
      <c r="B252" s="2" t="inlineStr">
        <is>
          <t>acquisitions</t>
        </is>
      </c>
      <c r="C252" s="2" t="inlineStr">
        <is>
          <t>2025-11-02</t>
        </is>
      </c>
      <c r="D252" s="3" t="n">
        <v>0</v>
      </c>
      <c r="E252" s="2" t="inlineStr">
        <is>
          <t>USD</t>
        </is>
      </c>
      <c r="F252" s="2" t="inlineStr">
        <is>
          <t>reported</t>
        </is>
      </c>
      <c r="G252" s="2" t="inlineStr"/>
      <c r="H252" s="2" t="inlineStr">
        <is>
          <t>https://www.sec.gov/Archives/edgar/data/1730168/000173016825000121/0001730168-25-000121-index.html</t>
        </is>
      </c>
      <c r="I252" s="2" t="inlineStr">
        <is>
          <t>{"tag": "us-gaap:PaymentsToAcquireBusinessesNetOfCashAcquired", "form": "10-K", "accession": "0001730168-25-000121", "filed": "2025-12-18"}</t>
        </is>
      </c>
    </row>
    <row r="253" ht="42" customHeight="1">
      <c r="A253" s="2" t="inlineStr">
        <is>
          <t>Annual</t>
        </is>
      </c>
      <c r="B253" s="2" t="inlineStr">
        <is>
          <t>buybacks</t>
        </is>
      </c>
      <c r="C253" s="2" t="inlineStr">
        <is>
          <t>2016-10-30</t>
        </is>
      </c>
      <c r="D253" s="3" t="n">
        <v>0</v>
      </c>
      <c r="E253" s="2" t="inlineStr">
        <is>
          <t>USD</t>
        </is>
      </c>
      <c r="F253" s="2" t="inlineStr">
        <is>
          <t>reported</t>
        </is>
      </c>
      <c r="G253" s="2" t="inlineStr"/>
      <c r="H253" s="2" t="inlineStr">
        <is>
          <t>https://www.sec.gov/Archives/edgar/data/1730168/000173016818000084/0001730168-18-000084-index.html</t>
        </is>
      </c>
      <c r="I253" s="2" t="inlineStr">
        <is>
          <t>{"tag": "us-gaap:PaymentsForRepurchaseOfCommonStock", "form": "10-K", "accession": "0001730168-18-000084", "filed": "2018-12-21"}</t>
        </is>
      </c>
    </row>
    <row r="254" ht="42" customHeight="1">
      <c r="A254" s="2" t="inlineStr">
        <is>
          <t>Annual</t>
        </is>
      </c>
      <c r="B254" s="2" t="inlineStr">
        <is>
          <t>buybacks</t>
        </is>
      </c>
      <c r="C254" s="2" t="inlineStr">
        <is>
          <t>2017-10-29</t>
        </is>
      </c>
      <c r="D254" s="3" t="n">
        <v>0</v>
      </c>
      <c r="E254" s="2" t="inlineStr">
        <is>
          <t>USD</t>
        </is>
      </c>
      <c r="F254" s="2" t="inlineStr">
        <is>
          <t>reported</t>
        </is>
      </c>
      <c r="G254" s="2" t="inlineStr"/>
      <c r="H254" s="2" t="inlineStr">
        <is>
          <t>https://www.sec.gov/Archives/edgar/data/1730168/000173016819000144/0001730168-19-000144-index.html</t>
        </is>
      </c>
      <c r="I254" s="2" t="inlineStr">
        <is>
          <t>{"tag": "us-gaap:PaymentsForRepurchaseOfCommonStock", "form": "10-K", "accession": "0001730168-19-000144", "filed": "2019-12-20"}</t>
        </is>
      </c>
    </row>
    <row r="255" ht="42" customHeight="1">
      <c r="A255" s="2" t="inlineStr">
        <is>
          <t>Annual</t>
        </is>
      </c>
      <c r="B255" s="2" t="inlineStr">
        <is>
          <t>buybacks</t>
        </is>
      </c>
      <c r="C255" s="2" t="inlineStr">
        <is>
          <t>2018-11-04</t>
        </is>
      </c>
      <c r="D255" s="3" t="n">
        <v>7258000000</v>
      </c>
      <c r="E255" s="2" t="inlineStr">
        <is>
          <t>USD</t>
        </is>
      </c>
      <c r="F255" s="2" t="inlineStr">
        <is>
          <t>reported</t>
        </is>
      </c>
      <c r="G255" s="2" t="inlineStr">
        <is>
          <t>long_year</t>
        </is>
      </c>
      <c r="H255" s="2" t="inlineStr">
        <is>
          <t>https://www.sec.gov/Archives/edgar/data/1730168/000173016820000226/0001730168-20-000226-index.html</t>
        </is>
      </c>
      <c r="I255" s="2" t="inlineStr">
        <is>
          <t>{"tag": "us-gaap:PaymentsForRepurchaseOfCommonStock", "form": "10-K", "accession": "0001730168-20-000226", "filed": "2020-12-18"}</t>
        </is>
      </c>
    </row>
    <row r="256" ht="42" customHeight="1">
      <c r="A256" s="2" t="inlineStr">
        <is>
          <t>Annual</t>
        </is>
      </c>
      <c r="B256" s="2" t="inlineStr">
        <is>
          <t>buybacks</t>
        </is>
      </c>
      <c r="C256" s="2" t="inlineStr">
        <is>
          <t>2019-11-03</t>
        </is>
      </c>
      <c r="D256" s="3" t="n">
        <v>5435000000</v>
      </c>
      <c r="E256" s="2" t="inlineStr">
        <is>
          <t>USD</t>
        </is>
      </c>
      <c r="F256" s="2" t="inlineStr">
        <is>
          <t>reported</t>
        </is>
      </c>
      <c r="G256" s="2" t="inlineStr"/>
      <c r="H256" s="2" t="inlineStr">
        <is>
          <t>https://www.sec.gov/Archives/edgar/data/1730168/000173016821000153/0001730168-21-000153-index.html</t>
        </is>
      </c>
      <c r="I256" s="2" t="inlineStr">
        <is>
          <t>{"tag": "us-gaap:PaymentsForRepurchaseOfCommonStock", "form": "10-K", "accession": "0001730168-21-000153", "filed": "2021-12-17"}</t>
        </is>
      </c>
    </row>
    <row r="257" ht="42" customHeight="1">
      <c r="A257" s="2" t="inlineStr">
        <is>
          <t>Annual</t>
        </is>
      </c>
      <c r="B257" s="2" t="inlineStr">
        <is>
          <t>buybacks</t>
        </is>
      </c>
      <c r="C257" s="2" t="inlineStr">
        <is>
          <t>2020-11-01</t>
        </is>
      </c>
      <c r="D257" s="3" t="n">
        <v>0</v>
      </c>
      <c r="E257" s="2" t="inlineStr">
        <is>
          <t>USD</t>
        </is>
      </c>
      <c r="F257" s="2" t="inlineStr">
        <is>
          <t>reported</t>
        </is>
      </c>
      <c r="G257" s="2" t="inlineStr"/>
      <c r="H257" s="2" t="inlineStr">
        <is>
          <t>https://www.sec.gov/Archives/edgar/data/1730168/000173016822000118/0001730168-22-000118-index.html</t>
        </is>
      </c>
      <c r="I257" s="2" t="inlineStr">
        <is>
          <t>{"tag": "us-gaap:PaymentsForRepurchaseOfCommonStock", "form": "10-K", "accession": "0001730168-22-000118", "filed": "2022-12-16"}</t>
        </is>
      </c>
    </row>
    <row r="258" ht="42" customHeight="1">
      <c r="A258" s="2" t="inlineStr">
        <is>
          <t>Annual</t>
        </is>
      </c>
      <c r="B258" s="2" t="inlineStr">
        <is>
          <t>buybacks</t>
        </is>
      </c>
      <c r="C258" s="2" t="inlineStr">
        <is>
          <t>2021-10-31</t>
        </is>
      </c>
      <c r="D258" s="3" t="n">
        <v>0</v>
      </c>
      <c r="E258" s="2" t="inlineStr">
        <is>
          <t>USD</t>
        </is>
      </c>
      <c r="F258" s="2" t="inlineStr">
        <is>
          <t>reported</t>
        </is>
      </c>
      <c r="G258" s="2" t="inlineStr"/>
      <c r="H258" s="2" t="inlineStr">
        <is>
          <t>https://www.sec.gov/Archives/edgar/data/1730168/000173016823000096/0001730168-23-000096-index.html</t>
        </is>
      </c>
      <c r="I258" s="2" t="inlineStr">
        <is>
          <t>{"tag": "us-gaap:PaymentsForRepurchaseOfCommonStock", "form": "10-K", "accession": "0001730168-23-000096", "filed": "2023-12-14"}</t>
        </is>
      </c>
    </row>
    <row r="259" ht="42" customHeight="1">
      <c r="A259" s="2" t="inlineStr">
        <is>
          <t>Annual</t>
        </is>
      </c>
      <c r="B259" s="2" t="inlineStr">
        <is>
          <t>buybacks</t>
        </is>
      </c>
      <c r="C259" s="2" t="inlineStr">
        <is>
          <t>2022-10-30</t>
        </is>
      </c>
      <c r="D259" s="3" t="n">
        <v>7000000000</v>
      </c>
      <c r="E259" s="2" t="inlineStr">
        <is>
          <t>USD</t>
        </is>
      </c>
      <c r="F259" s="2" t="inlineStr">
        <is>
          <t>reported</t>
        </is>
      </c>
      <c r="G259" s="2" t="inlineStr"/>
      <c r="H259" s="2" t="inlineStr">
        <is>
          <t>https://www.sec.gov/Archives/edgar/data/1730168/000173016824000139/0001730168-24-000139-index.html</t>
        </is>
      </c>
      <c r="I259" s="2" t="inlineStr">
        <is>
          <t>{"tag": "us-gaap:PaymentsForRepurchaseOfCommonStock", "form": "10-K", "accession": "0001730168-24-000139", "filed": "2024-12-20"}</t>
        </is>
      </c>
    </row>
    <row r="260" ht="42" customHeight="1">
      <c r="A260" s="2" t="inlineStr">
        <is>
          <t>Annual</t>
        </is>
      </c>
      <c r="B260" s="2" t="inlineStr">
        <is>
          <t>buybacks</t>
        </is>
      </c>
      <c r="C260" s="2" t="inlineStr">
        <is>
          <t>2023-10-29</t>
        </is>
      </c>
      <c r="D260" s="3" t="n">
        <v>5824000000</v>
      </c>
      <c r="E260" s="2" t="inlineStr">
        <is>
          <t>USD</t>
        </is>
      </c>
      <c r="F260" s="2" t="inlineStr">
        <is>
          <t>reported</t>
        </is>
      </c>
      <c r="G260" s="2" t="inlineStr"/>
      <c r="H260" s="2" t="inlineStr">
        <is>
          <t>https://www.sec.gov/Archives/edgar/data/1730168/000173016825000121/0001730168-25-000121-index.html</t>
        </is>
      </c>
      <c r="I260" s="2" t="inlineStr">
        <is>
          <t>{"tag": "us-gaap:PaymentsForRepurchaseOfCommonStock", "form": "10-K", "accession": "0001730168-25-000121", "filed": "2025-12-18"}</t>
        </is>
      </c>
    </row>
    <row r="261" ht="42" customHeight="1">
      <c r="A261" s="2" t="inlineStr">
        <is>
          <t>Annual</t>
        </is>
      </c>
      <c r="B261" s="2" t="inlineStr">
        <is>
          <t>buybacks</t>
        </is>
      </c>
      <c r="C261" s="2" t="inlineStr">
        <is>
          <t>2024-11-03</t>
        </is>
      </c>
      <c r="D261" s="3" t="n">
        <v>7176000000</v>
      </c>
      <c r="E261" s="2" t="inlineStr">
        <is>
          <t>USD</t>
        </is>
      </c>
      <c r="F261" s="2" t="inlineStr">
        <is>
          <t>reported</t>
        </is>
      </c>
      <c r="G261" s="2" t="inlineStr">
        <is>
          <t>long_year</t>
        </is>
      </c>
      <c r="H261" s="2" t="inlineStr">
        <is>
          <t>https://www.sec.gov/Archives/edgar/data/1730168/000173016825000121/0001730168-25-000121-index.html</t>
        </is>
      </c>
      <c r="I261" s="2" t="inlineStr">
        <is>
          <t>{"tag": "us-gaap:PaymentsForRepurchaseOfCommonStock", "form": "10-K", "accession": "0001730168-25-000121", "filed": "2025-12-18"}</t>
        </is>
      </c>
    </row>
    <row r="262" ht="42" customHeight="1">
      <c r="A262" s="2" t="inlineStr">
        <is>
          <t>Annual</t>
        </is>
      </c>
      <c r="B262" s="2" t="inlineStr">
        <is>
          <t>buybacks</t>
        </is>
      </c>
      <c r="C262" s="2" t="inlineStr">
        <is>
          <t>2025-11-02</t>
        </is>
      </c>
      <c r="D262" s="3" t="n">
        <v>2450000000</v>
      </c>
      <c r="E262" s="2" t="inlineStr">
        <is>
          <t>USD</t>
        </is>
      </c>
      <c r="F262" s="2" t="inlineStr">
        <is>
          <t>reported</t>
        </is>
      </c>
      <c r="G262" s="2" t="inlineStr"/>
      <c r="H262" s="2" t="inlineStr">
        <is>
          <t>https://www.sec.gov/Archives/edgar/data/1730168/000173016825000121/0001730168-25-000121-index.html</t>
        </is>
      </c>
      <c r="I262" s="2" t="inlineStr">
        <is>
          <t>{"tag": "us-gaap:PaymentsForRepurchaseOfCommonStock", "form": "10-K", "accession": "0001730168-25-000121", "filed": "2025-12-18"}</t>
        </is>
      </c>
    </row>
    <row r="263" ht="42" customHeight="1">
      <c r="A263" s="2" t="inlineStr">
        <is>
          <t>Annual</t>
        </is>
      </c>
      <c r="B263" s="2" t="inlineStr">
        <is>
          <t>dividends</t>
        </is>
      </c>
      <c r="C263" s="2" t="inlineStr">
        <is>
          <t>2016-10-30</t>
        </is>
      </c>
      <c r="D263" s="3" t="n">
        <v>750000000</v>
      </c>
      <c r="E263" s="2" t="inlineStr">
        <is>
          <t>USD</t>
        </is>
      </c>
      <c r="F263" s="2" t="inlineStr">
        <is>
          <t>reported</t>
        </is>
      </c>
      <c r="G263" s="2" t="inlineStr">
        <is>
          <t>tag_conflict</t>
        </is>
      </c>
      <c r="H263" s="2" t="inlineStr">
        <is>
          <t>https://www.sec.gov/Archives/edgar/data/1730168/000173016818000084/0001730168-18-000084-index.html</t>
        </is>
      </c>
      <c r="I263" s="2" t="inlineStr">
        <is>
          <t>{"tag": "us-gaap:PaymentsOfDividends", "form": "10-K", "accession": "0001730168-18-000084", "filed": "2018-12-21"}</t>
        </is>
      </c>
    </row>
    <row r="264" ht="42" customHeight="1">
      <c r="A264" s="2" t="inlineStr">
        <is>
          <t>Annual</t>
        </is>
      </c>
      <c r="B264" s="2" t="inlineStr">
        <is>
          <t>dividends</t>
        </is>
      </c>
      <c r="C264" s="2" t="inlineStr">
        <is>
          <t>2017-10-29</t>
        </is>
      </c>
      <c r="D264" s="3" t="n">
        <v>1745000000</v>
      </c>
      <c r="E264" s="2" t="inlineStr">
        <is>
          <t>USD</t>
        </is>
      </c>
      <c r="F264" s="2" t="inlineStr">
        <is>
          <t>reported</t>
        </is>
      </c>
      <c r="G264" s="2" t="inlineStr">
        <is>
          <t>tag_conflict</t>
        </is>
      </c>
      <c r="H264" s="2" t="inlineStr">
        <is>
          <t>https://www.sec.gov/Archives/edgar/data/1730168/000173016819000144/0001730168-19-000144-index.html</t>
        </is>
      </c>
      <c r="I264" s="2" t="inlineStr">
        <is>
          <t>{"tag": "us-gaap:PaymentsOfDividends", "form": "10-K", "accession": "0001730168-19-000144", "filed": "2019-12-20"}</t>
        </is>
      </c>
    </row>
    <row r="265" ht="42" customHeight="1">
      <c r="A265" s="2" t="inlineStr">
        <is>
          <t>Annual</t>
        </is>
      </c>
      <c r="B265" s="2" t="inlineStr">
        <is>
          <t>dividends</t>
        </is>
      </c>
      <c r="C265" s="2" t="inlineStr">
        <is>
          <t>2018-11-04</t>
        </is>
      </c>
      <c r="D265" s="3" t="n">
        <v>2998000000</v>
      </c>
      <c r="E265" s="2" t="inlineStr">
        <is>
          <t>USD</t>
        </is>
      </c>
      <c r="F265" s="2" t="inlineStr">
        <is>
          <t>reported</t>
        </is>
      </c>
      <c r="G265" s="2" t="inlineStr">
        <is>
          <t>long_year, tag_conflict</t>
        </is>
      </c>
      <c r="H265" s="2" t="inlineStr">
        <is>
          <t>https://www.sec.gov/Archives/edgar/data/1730168/000173016820000226/0001730168-20-000226-index.html</t>
        </is>
      </c>
      <c r="I265" s="2" t="inlineStr">
        <is>
          <t>{"tag": "us-gaap:PaymentsOfDividends", "form": "10-K", "accession": "0001730168-20-000226", "filed": "2020-12-18"}</t>
        </is>
      </c>
    </row>
    <row r="266" ht="42" customHeight="1">
      <c r="A266" s="2" t="inlineStr">
        <is>
          <t>Annual</t>
        </is>
      </c>
      <c r="B266" s="2" t="inlineStr">
        <is>
          <t>dividends</t>
        </is>
      </c>
      <c r="C266" s="2" t="inlineStr">
        <is>
          <t>2019-11-03</t>
        </is>
      </c>
      <c r="D266" s="3" t="n">
        <v>4235000000</v>
      </c>
      <c r="E266" s="2" t="inlineStr">
        <is>
          <t>USD</t>
        </is>
      </c>
      <c r="F266" s="2" t="inlineStr">
        <is>
          <t>reported</t>
        </is>
      </c>
      <c r="G266" s="2" t="inlineStr"/>
      <c r="H266" s="2" t="inlineStr">
        <is>
          <t>https://www.sec.gov/Archives/edgar/data/1730168/000173016821000153/0001730168-21-000153-index.html</t>
        </is>
      </c>
      <c r="I266" s="2" t="inlineStr">
        <is>
          <t>{"tag": "us-gaap:PaymentsOfDividends", "form": "10-K", "accession": "0001730168-21-000153", "filed": "2021-12-17"}</t>
        </is>
      </c>
    </row>
    <row r="267" ht="42" customHeight="1">
      <c r="A267" s="2" t="inlineStr">
        <is>
          <t>Annual</t>
        </is>
      </c>
      <c r="B267" s="2" t="inlineStr">
        <is>
          <t>dividends</t>
        </is>
      </c>
      <c r="C267" s="2" t="inlineStr">
        <is>
          <t>2020-11-01</t>
        </is>
      </c>
      <c r="D267" s="3" t="n">
        <v>5534000000</v>
      </c>
      <c r="E267" s="2" t="inlineStr">
        <is>
          <t>USD</t>
        </is>
      </c>
      <c r="F267" s="2" t="inlineStr">
        <is>
          <t>reported</t>
        </is>
      </c>
      <c r="G267" s="2" t="inlineStr">
        <is>
          <t>tag_conflict</t>
        </is>
      </c>
      <c r="H267" s="2" t="inlineStr">
        <is>
          <t>https://www.sec.gov/Archives/edgar/data/1730168/000173016822000118/0001730168-22-000118-index.html</t>
        </is>
      </c>
      <c r="I267" s="2" t="inlineStr">
        <is>
          <t>{"tag": "us-gaap:PaymentsOfDividends", "form": "10-K", "accession": "0001730168-22-000118", "filed": "2022-12-16"}</t>
        </is>
      </c>
    </row>
    <row r="268" ht="42" customHeight="1">
      <c r="A268" s="2" t="inlineStr">
        <is>
          <t>Annual</t>
        </is>
      </c>
      <c r="B268" s="2" t="inlineStr">
        <is>
          <t>dividends</t>
        </is>
      </c>
      <c r="C268" s="2" t="inlineStr">
        <is>
          <t>2021-10-31</t>
        </is>
      </c>
      <c r="D268" s="3" t="n">
        <v>6212000000</v>
      </c>
      <c r="E268" s="2" t="inlineStr">
        <is>
          <t>USD</t>
        </is>
      </c>
      <c r="F268" s="2" t="inlineStr">
        <is>
          <t>reported</t>
        </is>
      </c>
      <c r="G268" s="2" t="inlineStr">
        <is>
          <t>tag_conflict</t>
        </is>
      </c>
      <c r="H268" s="2" t="inlineStr">
        <is>
          <t>https://www.sec.gov/Archives/edgar/data/1730168/000173016823000096/0001730168-23-000096-index.html</t>
        </is>
      </c>
      <c r="I268" s="2" t="inlineStr">
        <is>
          <t>{"tag": "us-gaap:PaymentsOfDividends", "form": "10-K", "accession": "0001730168-23-000096", "filed": "2023-12-14"}</t>
        </is>
      </c>
    </row>
    <row r="269" ht="42" customHeight="1">
      <c r="A269" s="2" t="inlineStr">
        <is>
          <t>Annual</t>
        </is>
      </c>
      <c r="B269" s="2" t="inlineStr">
        <is>
          <t>dividends</t>
        </is>
      </c>
      <c r="C269" s="2" t="inlineStr">
        <is>
          <t>2022-10-30</t>
        </is>
      </c>
      <c r="D269" s="3" t="n">
        <v>7032000000</v>
      </c>
      <c r="E269" s="2" t="inlineStr">
        <is>
          <t>USD</t>
        </is>
      </c>
      <c r="F269" s="2" t="inlineStr">
        <is>
          <t>reported</t>
        </is>
      </c>
      <c r="G269" s="2" t="inlineStr">
        <is>
          <t>tag_conflict</t>
        </is>
      </c>
      <c r="H269" s="2" t="inlineStr">
        <is>
          <t>https://www.sec.gov/Archives/edgar/data/1730168/000173016824000139/0001730168-24-000139-index.html</t>
        </is>
      </c>
      <c r="I269" s="2" t="inlineStr">
        <is>
          <t>{"tag": "us-gaap:PaymentsOfDividends", "form": "10-K", "accession": "0001730168-24-000139", "filed": "2024-12-20"}</t>
        </is>
      </c>
    </row>
    <row r="270" ht="42" customHeight="1">
      <c r="A270" s="2" t="inlineStr">
        <is>
          <t>Annual</t>
        </is>
      </c>
      <c r="B270" s="2" t="inlineStr">
        <is>
          <t>dividends</t>
        </is>
      </c>
      <c r="C270" s="2" t="inlineStr">
        <is>
          <t>2023-10-29</t>
        </is>
      </c>
      <c r="D270" s="3" t="n">
        <v>7645000000</v>
      </c>
      <c r="E270" s="2" t="inlineStr">
        <is>
          <t>USD</t>
        </is>
      </c>
      <c r="F270" s="2" t="inlineStr">
        <is>
          <t>reported</t>
        </is>
      </c>
      <c r="G270" s="2" t="inlineStr"/>
      <c r="H270" s="2" t="inlineStr">
        <is>
          <t>https://www.sec.gov/Archives/edgar/data/1730168/000173016825000121/0001730168-25-000121-index.html</t>
        </is>
      </c>
      <c r="I270" s="2" t="inlineStr">
        <is>
          <t>{"tag": "us-gaap:PaymentsOfDividends", "form": "10-K", "accession": "0001730168-25-000121", "filed": "2025-12-18"}</t>
        </is>
      </c>
    </row>
    <row r="271" ht="42" customHeight="1">
      <c r="A271" s="2" t="inlineStr">
        <is>
          <t>Annual</t>
        </is>
      </c>
      <c r="B271" s="2" t="inlineStr">
        <is>
          <t>dividends</t>
        </is>
      </c>
      <c r="C271" s="2" t="inlineStr">
        <is>
          <t>2024-11-03</t>
        </is>
      </c>
      <c r="D271" s="3" t="n">
        <v>9814000000</v>
      </c>
      <c r="E271" s="2" t="inlineStr">
        <is>
          <t>USD</t>
        </is>
      </c>
      <c r="F271" s="2" t="inlineStr">
        <is>
          <t>reported</t>
        </is>
      </c>
      <c r="G271" s="2" t="inlineStr">
        <is>
          <t>long_year</t>
        </is>
      </c>
      <c r="H271" s="2" t="inlineStr">
        <is>
          <t>https://www.sec.gov/Archives/edgar/data/1730168/000173016825000121/0001730168-25-000121-index.html</t>
        </is>
      </c>
      <c r="I271" s="2" t="inlineStr">
        <is>
          <t>{"tag": "us-gaap:PaymentsOfDividends", "form": "10-K", "accession": "0001730168-25-000121", "filed": "2025-12-18"}</t>
        </is>
      </c>
    </row>
    <row r="272" ht="42" customHeight="1">
      <c r="A272" s="2" t="inlineStr">
        <is>
          <t>Annual</t>
        </is>
      </c>
      <c r="B272" s="2" t="inlineStr">
        <is>
          <t>dividends</t>
        </is>
      </c>
      <c r="C272" s="2" t="inlineStr">
        <is>
          <t>2025-11-02</t>
        </is>
      </c>
      <c r="D272" s="3" t="n">
        <v>11142000000</v>
      </c>
      <c r="E272" s="2" t="inlineStr">
        <is>
          <t>USD</t>
        </is>
      </c>
      <c r="F272" s="2" t="inlineStr">
        <is>
          <t>reported</t>
        </is>
      </c>
      <c r="G272" s="2" t="inlineStr"/>
      <c r="H272" s="2" t="inlineStr">
        <is>
          <t>https://www.sec.gov/Archives/edgar/data/1730168/000173016825000121/0001730168-25-000121-index.html</t>
        </is>
      </c>
      <c r="I272" s="2" t="inlineStr">
        <is>
          <t>{"tag": "us-gaap:PaymentsOfDividends", "form": "10-K", "accession": "0001730168-25-000121", "filed": "2025-12-18"}</t>
        </is>
      </c>
    </row>
    <row r="273" ht="42" customHeight="1">
      <c r="A273" s="2" t="inlineStr">
        <is>
          <t>Annual</t>
        </is>
      </c>
      <c r="B273" s="2" t="inlineStr">
        <is>
          <t>debt_issued</t>
        </is>
      </c>
      <c r="C273" s="2" t="inlineStr">
        <is>
          <t>2016-10-30</t>
        </is>
      </c>
      <c r="D273" s="3" t="n">
        <v>19510000000</v>
      </c>
      <c r="E273" s="2" t="inlineStr">
        <is>
          <t>USD</t>
        </is>
      </c>
      <c r="F273" s="2" t="inlineStr">
        <is>
          <t>reported</t>
        </is>
      </c>
      <c r="G273" s="2" t="inlineStr"/>
      <c r="H273" s="2" t="inlineStr">
        <is>
          <t>https://www.sec.gov/Archives/edgar/data/1730168/000173016818000084/0001730168-18-000084-index.html</t>
        </is>
      </c>
      <c r="I273" s="2" t="inlineStr">
        <is>
          <t>{"tag": "us-gaap:ProceedsFromIssuanceOfLongTermDebt", "form": "10-K", "accession": "0001730168-18-000084", "filed": "2018-12-21"}</t>
        </is>
      </c>
    </row>
    <row r="274" ht="42" customHeight="1">
      <c r="A274" s="2" t="inlineStr">
        <is>
          <t>Annual</t>
        </is>
      </c>
      <c r="B274" s="2" t="inlineStr">
        <is>
          <t>debt_issued</t>
        </is>
      </c>
      <c r="C274" s="2" t="inlineStr">
        <is>
          <t>2017-10-29</t>
        </is>
      </c>
      <c r="D274" s="3" t="n">
        <v>17426000000</v>
      </c>
      <c r="E274" s="2" t="inlineStr">
        <is>
          <t>USD</t>
        </is>
      </c>
      <c r="F274" s="2" t="inlineStr">
        <is>
          <t>reported</t>
        </is>
      </c>
      <c r="G274" s="2" t="inlineStr"/>
      <c r="H274" s="2" t="inlineStr">
        <is>
          <t>https://www.sec.gov/Archives/edgar/data/1730168/000173016819000144/0001730168-19-000144-index.html</t>
        </is>
      </c>
      <c r="I274" s="2" t="inlineStr">
        <is>
          <t>{"tag": "us-gaap:ProceedsFromIssuanceOfLongTermDebt", "form": "10-K", "accession": "0001730168-19-000144", "filed": "2019-12-20"}</t>
        </is>
      </c>
    </row>
    <row r="275" ht="42" customHeight="1">
      <c r="A275" s="2" t="inlineStr">
        <is>
          <t>Annual</t>
        </is>
      </c>
      <c r="B275" s="2" t="inlineStr">
        <is>
          <t>debt_issued</t>
        </is>
      </c>
      <c r="C275" s="2" t="inlineStr">
        <is>
          <t>2018-11-04</t>
        </is>
      </c>
      <c r="D275" s="3" t="n">
        <v>0</v>
      </c>
      <c r="E275" s="2" t="inlineStr">
        <is>
          <t>USD</t>
        </is>
      </c>
      <c r="F275" s="2" t="inlineStr">
        <is>
          <t>reported</t>
        </is>
      </c>
      <c r="G275" s="2" t="inlineStr">
        <is>
          <t>long_year</t>
        </is>
      </c>
      <c r="H275" s="2" t="inlineStr">
        <is>
          <t>https://www.sec.gov/Archives/edgar/data/1730168/000173016820000226/0001730168-20-000226-index.html</t>
        </is>
      </c>
      <c r="I275" s="2" t="inlineStr">
        <is>
          <t>{"tag": "us-gaap:ProceedsFromIssuanceOfLongTermDebt", "form": "10-K", "accession": "0001730168-20-000226", "filed": "2020-12-18"}</t>
        </is>
      </c>
    </row>
    <row r="276" ht="42" customHeight="1">
      <c r="A276" s="2" t="inlineStr">
        <is>
          <t>Annual</t>
        </is>
      </c>
      <c r="B276" s="2" t="inlineStr">
        <is>
          <t>debt_issued</t>
        </is>
      </c>
      <c r="C276" s="2" t="inlineStr">
        <is>
          <t>2019-11-03</t>
        </is>
      </c>
      <c r="D276" s="3" t="n">
        <v>28793000000</v>
      </c>
      <c r="E276" s="2" t="inlineStr">
        <is>
          <t>USD</t>
        </is>
      </c>
      <c r="F276" s="2" t="inlineStr">
        <is>
          <t>reported</t>
        </is>
      </c>
      <c r="G276" s="2" t="inlineStr"/>
      <c r="H276" s="2" t="inlineStr">
        <is>
          <t>https://www.sec.gov/Archives/edgar/data/1730168/000173016821000153/0001730168-21-000153-index.html</t>
        </is>
      </c>
      <c r="I276" s="2" t="inlineStr">
        <is>
          <t>{"tag": "us-gaap:ProceedsFromIssuanceOfLongTermDebt", "form": "10-K", "accession": "0001730168-21-000153", "filed": "2021-12-17"}</t>
        </is>
      </c>
    </row>
    <row r="277" ht="42" customHeight="1">
      <c r="A277" s="2" t="inlineStr">
        <is>
          <t>Annual</t>
        </is>
      </c>
      <c r="B277" s="2" t="inlineStr">
        <is>
          <t>debt_issued</t>
        </is>
      </c>
      <c r="C277" s="2" t="inlineStr">
        <is>
          <t>2020-11-01</t>
        </is>
      </c>
      <c r="D277" s="3" t="n">
        <v>27802000000</v>
      </c>
      <c r="E277" s="2" t="inlineStr">
        <is>
          <t>USD</t>
        </is>
      </c>
      <c r="F277" s="2" t="inlineStr">
        <is>
          <t>reported</t>
        </is>
      </c>
      <c r="G277" s="2" t="inlineStr"/>
      <c r="H277" s="2" t="inlineStr">
        <is>
          <t>https://www.sec.gov/Archives/edgar/data/1730168/000173016822000118/0001730168-22-000118-index.html</t>
        </is>
      </c>
      <c r="I277" s="2" t="inlineStr">
        <is>
          <t>{"tag": "us-gaap:ProceedsFromIssuanceOfLongTermDebt", "form": "10-K", "accession": "0001730168-22-000118", "filed": "2022-12-16"}</t>
        </is>
      </c>
    </row>
    <row r="278" ht="42" customHeight="1">
      <c r="A278" s="2" t="inlineStr">
        <is>
          <t>Annual</t>
        </is>
      </c>
      <c r="B278" s="2" t="inlineStr">
        <is>
          <t>debt_issued</t>
        </is>
      </c>
      <c r="C278" s="2" t="inlineStr">
        <is>
          <t>2021-10-31</t>
        </is>
      </c>
      <c r="D278" s="3" t="n">
        <v>9904000000</v>
      </c>
      <c r="E278" s="2" t="inlineStr">
        <is>
          <t>USD</t>
        </is>
      </c>
      <c r="F278" s="2" t="inlineStr">
        <is>
          <t>reported</t>
        </is>
      </c>
      <c r="G278" s="2" t="inlineStr"/>
      <c r="H278" s="2" t="inlineStr">
        <is>
          <t>https://www.sec.gov/Archives/edgar/data/1730168/000173016823000096/0001730168-23-000096-index.html</t>
        </is>
      </c>
      <c r="I278" s="2" t="inlineStr">
        <is>
          <t>{"tag": "us-gaap:ProceedsFromIssuanceOfLongTermDebt", "form": "10-K", "accession": "0001730168-23-000096", "filed": "2023-12-14"}</t>
        </is>
      </c>
    </row>
    <row r="279" ht="42" customHeight="1">
      <c r="A279" s="2" t="inlineStr">
        <is>
          <t>Annual</t>
        </is>
      </c>
      <c r="B279" s="2" t="inlineStr">
        <is>
          <t>debt_issued</t>
        </is>
      </c>
      <c r="C279" s="2" t="inlineStr">
        <is>
          <t>2022-10-30</t>
        </is>
      </c>
      <c r="D279" s="3" t="n">
        <v>1935000000</v>
      </c>
      <c r="E279" s="2" t="inlineStr">
        <is>
          <t>USD</t>
        </is>
      </c>
      <c r="F279" s="2" t="inlineStr">
        <is>
          <t>reported</t>
        </is>
      </c>
      <c r="G279" s="2" t="inlineStr"/>
      <c r="H279" s="2" t="inlineStr">
        <is>
          <t>https://www.sec.gov/Archives/edgar/data/1730168/000173016824000139/0001730168-24-000139-index.html</t>
        </is>
      </c>
      <c r="I279" s="2" t="inlineStr">
        <is>
          <t>{"tag": "us-gaap:ProceedsFromIssuanceOfLongTermDebt", "form": "10-K", "accession": "0001730168-24-000139", "filed": "2024-12-20"}</t>
        </is>
      </c>
    </row>
    <row r="280" ht="42" customHeight="1">
      <c r="A280" s="2" t="inlineStr">
        <is>
          <t>Annual</t>
        </is>
      </c>
      <c r="B280" s="2" t="inlineStr">
        <is>
          <t>debt_issued</t>
        </is>
      </c>
      <c r="C280" s="2" t="inlineStr">
        <is>
          <t>2023-10-29</t>
        </is>
      </c>
      <c r="D280" s="3" t="n">
        <v>0</v>
      </c>
      <c r="E280" s="2" t="inlineStr">
        <is>
          <t>USD</t>
        </is>
      </c>
      <c r="F280" s="2" t="inlineStr">
        <is>
          <t>reported</t>
        </is>
      </c>
      <c r="G280" s="2" t="inlineStr"/>
      <c r="H280" s="2" t="inlineStr">
        <is>
          <t>https://www.sec.gov/Archives/edgar/data/1730168/000173016825000121/0001730168-25-000121-index.html</t>
        </is>
      </c>
      <c r="I280" s="2" t="inlineStr">
        <is>
          <t>{"tag": "us-gaap:ProceedsFromIssuanceOfLongTermDebt", "form": "10-K", "accession": "0001730168-25-000121", "filed": "2025-12-18"}</t>
        </is>
      </c>
    </row>
    <row r="281" ht="42" customHeight="1">
      <c r="A281" s="2" t="inlineStr">
        <is>
          <t>Annual</t>
        </is>
      </c>
      <c r="B281" s="2" t="inlineStr">
        <is>
          <t>debt_issued</t>
        </is>
      </c>
      <c r="C281" s="2" t="inlineStr">
        <is>
          <t>2024-11-03</t>
        </is>
      </c>
      <c r="D281" s="3" t="n">
        <v>39954000000</v>
      </c>
      <c r="E281" s="2" t="inlineStr">
        <is>
          <t>USD</t>
        </is>
      </c>
      <c r="F281" s="2" t="inlineStr">
        <is>
          <t>reported</t>
        </is>
      </c>
      <c r="G281" s="2" t="inlineStr">
        <is>
          <t>long_year</t>
        </is>
      </c>
      <c r="H281" s="2" t="inlineStr">
        <is>
          <t>https://www.sec.gov/Archives/edgar/data/1730168/000173016825000121/0001730168-25-000121-index.html</t>
        </is>
      </c>
      <c r="I281" s="2" t="inlineStr">
        <is>
          <t>{"tag": "us-gaap:ProceedsFromIssuanceOfLongTermDebt", "form": "10-K", "accession": "0001730168-25-000121", "filed": "2025-12-18"}</t>
        </is>
      </c>
    </row>
    <row r="282" ht="42" customHeight="1">
      <c r="A282" s="2" t="inlineStr">
        <is>
          <t>Annual</t>
        </is>
      </c>
      <c r="B282" s="2" t="inlineStr">
        <is>
          <t>debt_issued</t>
        </is>
      </c>
      <c r="C282" s="2" t="inlineStr">
        <is>
          <t>2025-11-02</t>
        </is>
      </c>
      <c r="D282" s="3" t="n">
        <v>15666000000</v>
      </c>
      <c r="E282" s="2" t="inlineStr">
        <is>
          <t>USD</t>
        </is>
      </c>
      <c r="F282" s="2" t="inlineStr">
        <is>
          <t>reported</t>
        </is>
      </c>
      <c r="G282" s="2" t="inlineStr"/>
      <c r="H282" s="2" t="inlineStr">
        <is>
          <t>https://www.sec.gov/Archives/edgar/data/1730168/000173016825000121/0001730168-25-000121-index.html</t>
        </is>
      </c>
      <c r="I282" s="2" t="inlineStr">
        <is>
          <t>{"tag": "us-gaap:ProceedsFromIssuanceOfLongTermDebt", "form": "10-K", "accession": "0001730168-25-000121", "filed": "2025-12-18"}</t>
        </is>
      </c>
    </row>
    <row r="283" ht="42" customHeight="1">
      <c r="A283" s="2" t="inlineStr">
        <is>
          <t>Annual</t>
        </is>
      </c>
      <c r="B283" s="2" t="inlineStr">
        <is>
          <t>debt_repaid</t>
        </is>
      </c>
      <c r="C283" s="2" t="inlineStr">
        <is>
          <t>2016-10-30</t>
        </is>
      </c>
      <c r="D283" s="3" t="n">
        <v>11317000000</v>
      </c>
      <c r="E283" s="2" t="inlineStr">
        <is>
          <t>USD</t>
        </is>
      </c>
      <c r="F283" s="2" t="inlineStr">
        <is>
          <t>reported</t>
        </is>
      </c>
      <c r="G283" s="2" t="inlineStr"/>
      <c r="H283" s="2" t="inlineStr">
        <is>
          <t>https://www.sec.gov/Archives/edgar/data/1730168/000173016818000084/0001730168-18-000084-index.html</t>
        </is>
      </c>
      <c r="I283" s="2" t="inlineStr">
        <is>
          <t>{"tag": "us-gaap:RepaymentsOfDebt", "form": "10-K", "accession": "0001730168-18-000084", "filed": "2018-12-21"}</t>
        </is>
      </c>
    </row>
    <row r="284" ht="42" customHeight="1">
      <c r="A284" s="2" t="inlineStr">
        <is>
          <t>Annual</t>
        </is>
      </c>
      <c r="B284" s="2" t="inlineStr">
        <is>
          <t>debt_repaid</t>
        </is>
      </c>
      <c r="C284" s="2" t="inlineStr">
        <is>
          <t>2017-10-29</t>
        </is>
      </c>
      <c r="D284" s="3" t="n">
        <v>13668000000</v>
      </c>
      <c r="E284" s="2" t="inlineStr">
        <is>
          <t>USD</t>
        </is>
      </c>
      <c r="F284" s="2" t="inlineStr">
        <is>
          <t>reported</t>
        </is>
      </c>
      <c r="G284" s="2" t="inlineStr"/>
      <c r="H284" s="2" t="inlineStr">
        <is>
          <t>https://www.sec.gov/Archives/edgar/data/1730168/000173016819000144/0001730168-19-000144-index.html</t>
        </is>
      </c>
      <c r="I284" s="2" t="inlineStr">
        <is>
          <t>{"tag": "us-gaap:RepaymentsOfDebt", "form": "10-K", "accession": "0001730168-19-000144", "filed": "2019-12-20"}</t>
        </is>
      </c>
    </row>
    <row r="285" ht="42" customHeight="1">
      <c r="A285" s="2" t="inlineStr">
        <is>
          <t>Annual</t>
        </is>
      </c>
      <c r="B285" s="2" t="inlineStr">
        <is>
          <t>debt_repaid</t>
        </is>
      </c>
      <c r="C285" s="2" t="inlineStr">
        <is>
          <t>2018-11-04</t>
        </is>
      </c>
      <c r="D285" s="3" t="n">
        <v>973000000</v>
      </c>
      <c r="E285" s="2" t="inlineStr">
        <is>
          <t>USD</t>
        </is>
      </c>
      <c r="F285" s="2" t="inlineStr">
        <is>
          <t>reported</t>
        </is>
      </c>
      <c r="G285" s="2" t="inlineStr">
        <is>
          <t>long_year</t>
        </is>
      </c>
      <c r="H285" s="2" t="inlineStr">
        <is>
          <t>https://www.sec.gov/Archives/edgar/data/1730168/000173016820000226/0001730168-20-000226-index.html</t>
        </is>
      </c>
      <c r="I285" s="2" t="inlineStr">
        <is>
          <t>{"tag": "us-gaap:RepaymentsOfDebt", "form": "10-K", "accession": "0001730168-20-000226", "filed": "2020-12-18"}</t>
        </is>
      </c>
    </row>
    <row r="286" ht="42" customHeight="1">
      <c r="A286" s="2" t="inlineStr">
        <is>
          <t>Annual</t>
        </is>
      </c>
      <c r="B286" s="2" t="inlineStr">
        <is>
          <t>debt_repaid</t>
        </is>
      </c>
      <c r="C286" s="2" t="inlineStr">
        <is>
          <t>2019-11-03</t>
        </is>
      </c>
      <c r="D286" s="3" t="n">
        <v>16800000000</v>
      </c>
      <c r="E286" s="2" t="inlineStr">
        <is>
          <t>USD</t>
        </is>
      </c>
      <c r="F286" s="2" t="inlineStr">
        <is>
          <t>reported</t>
        </is>
      </c>
      <c r="G286" s="2" t="inlineStr"/>
      <c r="H286" s="2" t="inlineStr">
        <is>
          <t>https://www.sec.gov/Archives/edgar/data/1730168/000173016821000153/0001730168-21-000153-index.html</t>
        </is>
      </c>
      <c r="I286" s="2" t="inlineStr">
        <is>
          <t>{"tag": "us-gaap:RepaymentsOfDebt", "form": "10-K", "accession": "0001730168-21-000153", "filed": "2021-12-17"}</t>
        </is>
      </c>
    </row>
    <row r="287" ht="42" customHeight="1">
      <c r="A287" s="2" t="inlineStr">
        <is>
          <t>Annual</t>
        </is>
      </c>
      <c r="B287" s="2" t="inlineStr">
        <is>
          <t>debt_repaid</t>
        </is>
      </c>
      <c r="C287" s="2" t="inlineStr">
        <is>
          <t>2020-11-01</t>
        </is>
      </c>
      <c r="D287" s="3" t="n">
        <v>18814000000</v>
      </c>
      <c r="E287" s="2" t="inlineStr">
        <is>
          <t>USD</t>
        </is>
      </c>
      <c r="F287" s="2" t="inlineStr">
        <is>
          <t>reported</t>
        </is>
      </c>
      <c r="G287" s="2" t="inlineStr"/>
      <c r="H287" s="2" t="inlineStr">
        <is>
          <t>https://www.sec.gov/Archives/edgar/data/1730168/000173016822000118/0001730168-22-000118-index.html</t>
        </is>
      </c>
      <c r="I287" s="2" t="inlineStr">
        <is>
          <t>{"tag": "us-gaap:RepaymentsOfDebt", "form": "10-K", "accession": "0001730168-22-000118", "filed": "2022-12-16"}</t>
        </is>
      </c>
    </row>
    <row r="288" ht="42" customHeight="1">
      <c r="A288" s="2" t="inlineStr">
        <is>
          <t>Annual</t>
        </is>
      </c>
      <c r="B288" s="2" t="inlineStr">
        <is>
          <t>debt_repaid</t>
        </is>
      </c>
      <c r="C288" s="2" t="inlineStr">
        <is>
          <t>2021-10-31</t>
        </is>
      </c>
      <c r="D288" s="3" t="n">
        <v>11495000000</v>
      </c>
      <c r="E288" s="2" t="inlineStr">
        <is>
          <t>USD</t>
        </is>
      </c>
      <c r="F288" s="2" t="inlineStr">
        <is>
          <t>reported</t>
        </is>
      </c>
      <c r="G288" s="2" t="inlineStr"/>
      <c r="H288" s="2" t="inlineStr">
        <is>
          <t>https://www.sec.gov/Archives/edgar/data/1730168/000173016823000096/0001730168-23-000096-index.html</t>
        </is>
      </c>
      <c r="I288" s="2" t="inlineStr">
        <is>
          <t>{"tag": "us-gaap:RepaymentsOfDebt", "form": "10-K", "accession": "0001730168-23-000096", "filed": "2023-12-14"}</t>
        </is>
      </c>
    </row>
    <row r="289" ht="42" customHeight="1">
      <c r="A289" s="2" t="inlineStr">
        <is>
          <t>Annual</t>
        </is>
      </c>
      <c r="B289" s="2" t="inlineStr">
        <is>
          <t>debt_repaid</t>
        </is>
      </c>
      <c r="C289" s="2" t="inlineStr">
        <is>
          <t>2022-10-30</t>
        </is>
      </c>
      <c r="D289" s="3" t="n">
        <v>2361000000</v>
      </c>
      <c r="E289" s="2" t="inlineStr">
        <is>
          <t>USD</t>
        </is>
      </c>
      <c r="F289" s="2" t="inlineStr">
        <is>
          <t>reported</t>
        </is>
      </c>
      <c r="G289" s="2" t="inlineStr"/>
      <c r="H289" s="2" t="inlineStr">
        <is>
          <t>https://www.sec.gov/Archives/edgar/data/1730168/000173016824000139/0001730168-24-000139-index.html</t>
        </is>
      </c>
      <c r="I289" s="2" t="inlineStr">
        <is>
          <t>{"tag": "us-gaap:RepaymentsOfDebt", "form": "10-K", "accession": "0001730168-24-000139", "filed": "2024-12-20"}</t>
        </is>
      </c>
    </row>
    <row r="290" ht="42" customHeight="1">
      <c r="A290" s="2" t="inlineStr">
        <is>
          <t>Annual</t>
        </is>
      </c>
      <c r="B290" s="2" t="inlineStr">
        <is>
          <t>debt_repaid</t>
        </is>
      </c>
      <c r="C290" s="2" t="inlineStr">
        <is>
          <t>2023-10-29</t>
        </is>
      </c>
      <c r="D290" s="3" t="n">
        <v>403000000</v>
      </c>
      <c r="E290" s="2" t="inlineStr">
        <is>
          <t>USD</t>
        </is>
      </c>
      <c r="F290" s="2" t="inlineStr">
        <is>
          <t>reported</t>
        </is>
      </c>
      <c r="G290" s="2" t="inlineStr"/>
      <c r="H290" s="2" t="inlineStr">
        <is>
          <t>https://www.sec.gov/Archives/edgar/data/1730168/000173016825000121/0001730168-25-000121-index.html</t>
        </is>
      </c>
      <c r="I290" s="2" t="inlineStr">
        <is>
          <t>{"tag": "us-gaap:RepaymentsOfDebt", "form": "10-K", "accession": "0001730168-25-000121", "filed": "2025-12-18"}</t>
        </is>
      </c>
    </row>
    <row r="291" ht="42" customHeight="1">
      <c r="A291" s="2" t="inlineStr">
        <is>
          <t>Annual</t>
        </is>
      </c>
      <c r="B291" s="2" t="inlineStr">
        <is>
          <t>debt_repaid</t>
        </is>
      </c>
      <c r="C291" s="2" t="inlineStr">
        <is>
          <t>2024-11-03</t>
        </is>
      </c>
      <c r="D291" s="3" t="n">
        <v>19608000000</v>
      </c>
      <c r="E291" s="2" t="inlineStr">
        <is>
          <t>USD</t>
        </is>
      </c>
      <c r="F291" s="2" t="inlineStr">
        <is>
          <t>reported</t>
        </is>
      </c>
      <c r="G291" s="2" t="inlineStr">
        <is>
          <t>long_year</t>
        </is>
      </c>
      <c r="H291" s="2" t="inlineStr">
        <is>
          <t>https://www.sec.gov/Archives/edgar/data/1730168/000173016825000121/0001730168-25-000121-index.html</t>
        </is>
      </c>
      <c r="I291" s="2" t="inlineStr">
        <is>
          <t>{"tag": "us-gaap:RepaymentsOfDebt", "form": "10-K", "accession": "0001730168-25-000121", "filed": "2025-12-18"}</t>
        </is>
      </c>
    </row>
    <row r="292" ht="42" customHeight="1">
      <c r="A292" s="2" t="inlineStr">
        <is>
          <t>Annual</t>
        </is>
      </c>
      <c r="B292" s="2" t="inlineStr">
        <is>
          <t>debt_repaid</t>
        </is>
      </c>
      <c r="C292" s="2" t="inlineStr">
        <is>
          <t>2025-11-02</t>
        </is>
      </c>
      <c r="D292" s="3" t="n">
        <v>18478000000</v>
      </c>
      <c r="E292" s="2" t="inlineStr">
        <is>
          <t>USD</t>
        </is>
      </c>
      <c r="F292" s="2" t="inlineStr">
        <is>
          <t>reported</t>
        </is>
      </c>
      <c r="G292" s="2" t="inlineStr"/>
      <c r="H292" s="2" t="inlineStr">
        <is>
          <t>https://www.sec.gov/Archives/edgar/data/1730168/000173016825000121/0001730168-25-000121-index.html</t>
        </is>
      </c>
      <c r="I292" s="2" t="inlineStr">
        <is>
          <t>{"tag": "us-gaap:RepaymentsOfDebt", "form": "10-K", "accession": "0001730168-25-000121", "filed": "2025-12-18"}</t>
        </is>
      </c>
    </row>
    <row r="293" ht="42" customHeight="1">
      <c r="A293" s="2" t="inlineStr">
        <is>
          <t>Annual</t>
        </is>
      </c>
      <c r="B293" s="2" t="inlineStr">
        <is>
          <t>diluted_avg_shares</t>
        </is>
      </c>
      <c r="C293" s="2" t="inlineStr">
        <is>
          <t>2016-10-30</t>
        </is>
      </c>
      <c r="D293" s="3" t="n">
        <v>3830000000</v>
      </c>
      <c r="E293" s="2" t="inlineStr">
        <is>
          <t>shares</t>
        </is>
      </c>
      <c r="F293" s="2" t="inlineStr">
        <is>
          <t>reported</t>
        </is>
      </c>
      <c r="G293" s="2" t="inlineStr">
        <is>
          <t>split_adjusted</t>
        </is>
      </c>
      <c r="H293" s="2" t="inlineStr">
        <is>
          <t>https://www.sec.gov/Archives/edgar/data/1730168/000173016818000084/0001730168-18-000084-index.html</t>
        </is>
      </c>
      <c r="I293" s="2" t="inlineStr">
        <is>
          <t>{"tag": "us-gaap:WeightedAverageNumberOfDilutedSharesOutstanding", "form": "10-K", "accession": "0001730168-18-000084", "filed": "2018-12-21"}</t>
        </is>
      </c>
    </row>
    <row r="294" ht="42" customHeight="1">
      <c r="A294" s="2" t="inlineStr">
        <is>
          <t>Annual</t>
        </is>
      </c>
      <c r="B294" s="2" t="inlineStr">
        <is>
          <t>diluted_avg_shares</t>
        </is>
      </c>
      <c r="C294" s="2" t="inlineStr">
        <is>
          <t>2017-10-29</t>
        </is>
      </c>
      <c r="D294" s="3" t="n">
        <v>4210000000</v>
      </c>
      <c r="E294" s="2" t="inlineStr">
        <is>
          <t>shares</t>
        </is>
      </c>
      <c r="F294" s="2" t="inlineStr">
        <is>
          <t>reported</t>
        </is>
      </c>
      <c r="G294" s="2" t="inlineStr">
        <is>
          <t>split_adjusted</t>
        </is>
      </c>
      <c r="H294" s="2" t="inlineStr">
        <is>
          <t>https://www.sec.gov/Archives/edgar/data/1730168/000173016819000144/0001730168-19-000144-index.html</t>
        </is>
      </c>
      <c r="I294" s="2" t="inlineStr">
        <is>
          <t>{"tag": "us-gaap:WeightedAverageNumberOfDilutedSharesOutstanding", "form": "10-K", "accession": "0001730168-19-000144", "filed": "2019-12-20"}</t>
        </is>
      </c>
    </row>
    <row r="295" ht="42" customHeight="1">
      <c r="A295" s="2" t="inlineStr">
        <is>
          <t>Annual</t>
        </is>
      </c>
      <c r="B295" s="2" t="inlineStr">
        <is>
          <t>diluted_avg_shares</t>
        </is>
      </c>
      <c r="C295" s="2" t="inlineStr">
        <is>
          <t>2018-11-04</t>
        </is>
      </c>
      <c r="D295" s="3" t="n">
        <v>4310000000</v>
      </c>
      <c r="E295" s="2" t="inlineStr">
        <is>
          <t>shares</t>
        </is>
      </c>
      <c r="F295" s="2" t="inlineStr">
        <is>
          <t>reported</t>
        </is>
      </c>
      <c r="G295" s="2" t="inlineStr">
        <is>
          <t>long_year, split_adjusted</t>
        </is>
      </c>
      <c r="H295" s="2" t="inlineStr">
        <is>
          <t>https://www.sec.gov/Archives/edgar/data/1730168/000173016820000226/0001730168-20-000226-index.html</t>
        </is>
      </c>
      <c r="I295" s="2" t="inlineStr">
        <is>
          <t>{"tag": "us-gaap:WeightedAverageNumberOfDilutedSharesOutstanding", "form": "10-K", "accession": "0001730168-20-000226", "filed": "2020-12-18"}</t>
        </is>
      </c>
    </row>
    <row r="296" ht="42" customHeight="1">
      <c r="A296" s="2" t="inlineStr">
        <is>
          <t>Annual</t>
        </is>
      </c>
      <c r="B296" s="2" t="inlineStr">
        <is>
          <t>diluted_avg_shares</t>
        </is>
      </c>
      <c r="C296" s="2" t="inlineStr">
        <is>
          <t>2019-11-03</t>
        </is>
      </c>
      <c r="D296" s="3" t="n">
        <v>4190000000</v>
      </c>
      <c r="E296" s="2" t="inlineStr">
        <is>
          <t>shares</t>
        </is>
      </c>
      <c r="F296" s="2" t="inlineStr">
        <is>
          <t>reported</t>
        </is>
      </c>
      <c r="G296" s="2" t="inlineStr">
        <is>
          <t>split_adjusted</t>
        </is>
      </c>
      <c r="H296" s="2" t="inlineStr">
        <is>
          <t>https://www.sec.gov/Archives/edgar/data/1730168/000173016821000153/0001730168-21-000153-index.html</t>
        </is>
      </c>
      <c r="I296" s="2" t="inlineStr">
        <is>
          <t>{"tag": "us-gaap:WeightedAverageNumberOfDilutedSharesOutstanding", "form": "10-K", "accession": "0001730168-21-000153", "filed": "2021-12-17"}</t>
        </is>
      </c>
    </row>
    <row r="297" ht="42" customHeight="1">
      <c r="A297" s="2" t="inlineStr">
        <is>
          <t>Annual</t>
        </is>
      </c>
      <c r="B297" s="2" t="inlineStr">
        <is>
          <t>diluted_avg_shares</t>
        </is>
      </c>
      <c r="C297" s="2" t="inlineStr">
        <is>
          <t>2020-11-01</t>
        </is>
      </c>
      <c r="D297" s="3" t="n">
        <v>4210000000</v>
      </c>
      <c r="E297" s="2" t="inlineStr">
        <is>
          <t>shares</t>
        </is>
      </c>
      <c r="F297" s="2" t="inlineStr">
        <is>
          <t>reported</t>
        </is>
      </c>
      <c r="G297" s="2" t="inlineStr">
        <is>
          <t>split_adjusted</t>
        </is>
      </c>
      <c r="H297" s="2" t="inlineStr">
        <is>
          <t>https://www.sec.gov/Archives/edgar/data/1730168/000173016822000118/0001730168-22-000118-index.html</t>
        </is>
      </c>
      <c r="I297" s="2" t="inlineStr">
        <is>
          <t>{"tag": "us-gaap:WeightedAverageNumberOfDilutedSharesOutstanding", "form": "10-K", "accession": "0001730168-22-000118", "filed": "2022-12-16"}</t>
        </is>
      </c>
    </row>
    <row r="298" ht="42" customHeight="1">
      <c r="A298" s="2" t="inlineStr">
        <is>
          <t>Annual</t>
        </is>
      </c>
      <c r="B298" s="2" t="inlineStr">
        <is>
          <t>diluted_avg_shares</t>
        </is>
      </c>
      <c r="C298" s="2" t="inlineStr">
        <is>
          <t>2021-10-31</t>
        </is>
      </c>
      <c r="D298" s="3" t="n">
        <v>4290000000</v>
      </c>
      <c r="E298" s="2" t="inlineStr">
        <is>
          <t>shares</t>
        </is>
      </c>
      <c r="F298" s="2" t="inlineStr">
        <is>
          <t>reported</t>
        </is>
      </c>
      <c r="G298" s="2" t="inlineStr">
        <is>
          <t>split_adjusted</t>
        </is>
      </c>
      <c r="H298" s="2" t="inlineStr">
        <is>
          <t>https://www.sec.gov/Archives/edgar/data/1730168/000173016823000096/0001730168-23-000096-index.html</t>
        </is>
      </c>
      <c r="I298" s="2" t="inlineStr">
        <is>
          <t>{"tag": "us-gaap:WeightedAverageNumberOfDilutedSharesOutstanding", "form": "10-K", "accession": "0001730168-23-000096", "filed": "2023-12-14"}</t>
        </is>
      </c>
    </row>
    <row r="299" ht="42" customHeight="1">
      <c r="A299" s="2" t="inlineStr">
        <is>
          <t>Annual</t>
        </is>
      </c>
      <c r="B299" s="2" t="inlineStr">
        <is>
          <t>diluted_avg_shares</t>
        </is>
      </c>
      <c r="C299" s="2" t="inlineStr">
        <is>
          <t>2022-10-30</t>
        </is>
      </c>
      <c r="D299" s="3" t="n">
        <v>4232000000</v>
      </c>
      <c r="E299" s="2" t="inlineStr">
        <is>
          <t>shares</t>
        </is>
      </c>
      <c r="F299" s="2" t="inlineStr">
        <is>
          <t>reported</t>
        </is>
      </c>
      <c r="G299" s="2" t="inlineStr">
        <is>
          <t>split_adjusted</t>
        </is>
      </c>
      <c r="H299" s="2" t="inlineStr">
        <is>
          <t>https://www.sec.gov/Archives/edgar/data/1730168/000173016824000139/0001730168-24-000139-index.html</t>
        </is>
      </c>
      <c r="I299" s="2" t="inlineStr">
        <is>
          <t>{"tag": "us-gaap:WeightedAverageNumberOfDilutedSharesOutstanding", "form": "10-K", "accession": "0001730168-24-000139", "filed": "2024-12-20"}</t>
        </is>
      </c>
    </row>
    <row r="300" ht="42" customHeight="1">
      <c r="A300" s="2" t="inlineStr">
        <is>
          <t>Annual</t>
        </is>
      </c>
      <c r="B300" s="2" t="inlineStr">
        <is>
          <t>diluted_avg_shares</t>
        </is>
      </c>
      <c r="C300" s="2" t="inlineStr">
        <is>
          <t>2023-10-29</t>
        </is>
      </c>
      <c r="D300" s="3" t="n">
        <v>4272000000</v>
      </c>
      <c r="E300" s="2" t="inlineStr">
        <is>
          <t>shares</t>
        </is>
      </c>
      <c r="F300" s="2" t="inlineStr">
        <is>
          <t>reported</t>
        </is>
      </c>
      <c r="G300" s="2" t="inlineStr">
        <is>
          <t>restated</t>
        </is>
      </c>
      <c r="H300" s="2" t="inlineStr">
        <is>
          <t>https://www.sec.gov/Archives/edgar/data/1730168/000173016825000121/0001730168-25-000121-index.html</t>
        </is>
      </c>
      <c r="I300" s="2" t="inlineStr">
        <is>
          <t>{"tag": "us-gaap:WeightedAverageNumberOfDilutedSharesOutstanding", "form": "10-K", "accession": "0001730168-25-000121", "filed": "2025-12-18"}</t>
        </is>
      </c>
    </row>
    <row r="301" ht="42" customHeight="1">
      <c r="A301" s="2" t="inlineStr">
        <is>
          <t>Annual</t>
        </is>
      </c>
      <c r="B301" s="2" t="inlineStr">
        <is>
          <t>diluted_avg_shares</t>
        </is>
      </c>
      <c r="C301" s="2" t="inlineStr">
        <is>
          <t>2024-11-03</t>
        </is>
      </c>
      <c r="D301" s="3" t="n">
        <v>4778000000</v>
      </c>
      <c r="E301" s="2" t="inlineStr">
        <is>
          <t>shares</t>
        </is>
      </c>
      <c r="F301" s="2" t="inlineStr">
        <is>
          <t>reported</t>
        </is>
      </c>
      <c r="G301" s="2" t="inlineStr">
        <is>
          <t>long_year</t>
        </is>
      </c>
      <c r="H301" s="2" t="inlineStr">
        <is>
          <t>https://www.sec.gov/Archives/edgar/data/1730168/000173016825000121/0001730168-25-000121-index.html</t>
        </is>
      </c>
      <c r="I301" s="2" t="inlineStr">
        <is>
          <t>{"tag": "us-gaap:WeightedAverageNumberOfDilutedSharesOutstanding", "form": "10-K", "accession": "0001730168-25-000121", "filed": "2025-12-18"}</t>
        </is>
      </c>
    </row>
    <row r="302" ht="42" customHeight="1">
      <c r="A302" s="2" t="inlineStr">
        <is>
          <t>Annual</t>
        </is>
      </c>
      <c r="B302" s="2" t="inlineStr">
        <is>
          <t>diluted_avg_shares</t>
        </is>
      </c>
      <c r="C302" s="2" t="inlineStr">
        <is>
          <t>2025-11-02</t>
        </is>
      </c>
      <c r="D302" s="3" t="n">
        <v>4853000000</v>
      </c>
      <c r="E302" s="2" t="inlineStr">
        <is>
          <t>shares</t>
        </is>
      </c>
      <c r="F302" s="2" t="inlineStr">
        <is>
          <t>reported</t>
        </is>
      </c>
      <c r="G302" s="2" t="inlineStr"/>
      <c r="H302" s="2" t="inlineStr">
        <is>
          <t>https://www.sec.gov/Archives/edgar/data/1730168/000173016825000121/0001730168-25-000121-index.html</t>
        </is>
      </c>
      <c r="I302" s="2" t="inlineStr">
        <is>
          <t>{"tag": "us-gaap:WeightedAverageNumberOfDilutedSharesOutstanding", "form": "10-K", "accession": "0001730168-25-000121", "filed": "2025-12-18"}</t>
        </is>
      </c>
    </row>
    <row r="303" ht="42" customHeight="1">
      <c r="A303" s="2" t="inlineStr">
        <is>
          <t>Annual</t>
        </is>
      </c>
      <c r="B303" s="2" t="inlineStr">
        <is>
          <t>cash_sti</t>
        </is>
      </c>
      <c r="C303" s="2" t="inlineStr">
        <is>
          <t>2016-10-30</t>
        </is>
      </c>
      <c r="D303" s="3" t="n">
        <v>3097000000</v>
      </c>
      <c r="E303" s="2" t="inlineStr">
        <is>
          <t>USD</t>
        </is>
      </c>
      <c r="F303" s="2" t="inlineStr">
        <is>
          <t>constructed</t>
        </is>
      </c>
      <c r="G303" s="2" t="inlineStr">
        <is>
          <t>constructed</t>
        </is>
      </c>
      <c r="H303" s="2" t="inlineStr">
        <is>
          <t>https://www.sec.gov/Archives/edgar/data/1730168/000173016819000144/0001730168-19-000144-index.html</t>
        </is>
      </c>
      <c r="I303" s="2" t="inlineStr">
        <is>
          <t>{"parts": [{"tag": "us-gaap:CashAndCashEquivalentsAtCarryingValue", "value": 3097000000.0, "sign": 1, "accession": "0001730168-19-000144"}]}</t>
        </is>
      </c>
    </row>
    <row r="304" ht="42" customHeight="1">
      <c r="A304" s="2" t="inlineStr">
        <is>
          <t>Annual</t>
        </is>
      </c>
      <c r="B304" s="2" t="inlineStr">
        <is>
          <t>cash_sti</t>
        </is>
      </c>
      <c r="C304" s="2" t="inlineStr">
        <is>
          <t>2017-10-29</t>
        </is>
      </c>
      <c r="D304" s="3" t="n">
        <v>11204000000</v>
      </c>
      <c r="E304" s="2" t="inlineStr">
        <is>
          <t>USD</t>
        </is>
      </c>
      <c r="F304" s="2" t="inlineStr">
        <is>
          <t>constructed</t>
        </is>
      </c>
      <c r="G304" s="2" t="inlineStr">
        <is>
          <t>constructed</t>
        </is>
      </c>
      <c r="H304" s="2" t="inlineStr">
        <is>
          <t>https://www.sec.gov/Archives/edgar/data/1730168/000173016820000226/0001730168-20-000226-index.html</t>
        </is>
      </c>
      <c r="I304" s="2" t="inlineStr">
        <is>
          <t>{"parts": [{"tag": "us-gaap:CashAndCashEquivalentsAtCarryingValue", "value": 11204000000.0, "sign": 1, "accession": "0001730168-20-000226"}]}</t>
        </is>
      </c>
    </row>
    <row r="305" ht="42" customHeight="1">
      <c r="A305" s="2" t="inlineStr">
        <is>
          <t>Annual</t>
        </is>
      </c>
      <c r="B305" s="2" t="inlineStr">
        <is>
          <t>cash_sti</t>
        </is>
      </c>
      <c r="C305" s="2" t="inlineStr">
        <is>
          <t>2018-11-04</t>
        </is>
      </c>
      <c r="D305" s="3" t="n">
        <v>4292000000</v>
      </c>
      <c r="E305" s="2" t="inlineStr">
        <is>
          <t>USD</t>
        </is>
      </c>
      <c r="F305" s="2" t="inlineStr">
        <is>
          <t>constructed</t>
        </is>
      </c>
      <c r="G305" s="2" t="inlineStr">
        <is>
          <t>constructed</t>
        </is>
      </c>
      <c r="H305" s="2" t="inlineStr">
        <is>
          <t>https://www.sec.gov/Archives/edgar/data/1730168/000173016821000153/0001730168-21-000153-index.html</t>
        </is>
      </c>
      <c r="I305" s="2" t="inlineStr">
        <is>
          <t>{"parts": [{"tag": "us-gaap:CashAndCashEquivalentsAtCarryingValue", "value": 4292000000.0, "sign": 1, "accession": "0001730168-21-000153"}]}</t>
        </is>
      </c>
    </row>
    <row r="306" ht="42" customHeight="1">
      <c r="A306" s="2" t="inlineStr">
        <is>
          <t>Annual</t>
        </is>
      </c>
      <c r="B306" s="2" t="inlineStr">
        <is>
          <t>cash_sti</t>
        </is>
      </c>
      <c r="C306" s="2" t="inlineStr">
        <is>
          <t>2019-11-03</t>
        </is>
      </c>
      <c r="D306" s="3" t="n">
        <v>5055000000</v>
      </c>
      <c r="E306" s="2" t="inlineStr">
        <is>
          <t>USD</t>
        </is>
      </c>
      <c r="F306" s="2" t="inlineStr">
        <is>
          <t>constructed</t>
        </is>
      </c>
      <c r="G306" s="2" t="inlineStr">
        <is>
          <t>constructed</t>
        </is>
      </c>
      <c r="H306" s="2" t="inlineStr">
        <is>
          <t>https://www.sec.gov/Archives/edgar/data/1730168/000173016821000153/0001730168-21-000153-index.html</t>
        </is>
      </c>
      <c r="I306" s="2" t="inlineStr">
        <is>
          <t>{"parts": [{"tag": "us-gaap:CashAndCashEquivalentsAtCarryingValue", "value": 5055000000.0, "sign": 1, "accession": "0001730168-21-000153"}]}</t>
        </is>
      </c>
    </row>
    <row r="307" ht="42" customHeight="1">
      <c r="A307" s="2" t="inlineStr">
        <is>
          <t>Annual</t>
        </is>
      </c>
      <c r="B307" s="2" t="inlineStr">
        <is>
          <t>cash_sti</t>
        </is>
      </c>
      <c r="C307" s="2" t="inlineStr">
        <is>
          <t>2020-11-01</t>
        </is>
      </c>
      <c r="D307" s="3" t="n">
        <v>7618000000</v>
      </c>
      <c r="E307" s="2" t="inlineStr">
        <is>
          <t>USD</t>
        </is>
      </c>
      <c r="F307" s="2" t="inlineStr">
        <is>
          <t>constructed</t>
        </is>
      </c>
      <c r="G307" s="2" t="inlineStr">
        <is>
          <t>constructed</t>
        </is>
      </c>
      <c r="H307" s="2" t="inlineStr">
        <is>
          <t>https://www.sec.gov/Archives/edgar/data/1730168/000173016821000153/0001730168-21-000153-index.html</t>
        </is>
      </c>
      <c r="I307" s="2" t="inlineStr">
        <is>
          <t>{"parts": [{"tag": "us-gaap:CashAndCashEquivalentsAtCarryingValue", "value": 7618000000.0, "sign": 1, "accession": "0001730168-21-000153"}]}</t>
        </is>
      </c>
    </row>
    <row r="308" ht="42" customHeight="1">
      <c r="A308" s="2" t="inlineStr">
        <is>
          <t>Annual</t>
        </is>
      </c>
      <c r="B308" s="2" t="inlineStr">
        <is>
          <t>cash_sti</t>
        </is>
      </c>
      <c r="C308" s="2" t="inlineStr">
        <is>
          <t>2021-10-31</t>
        </is>
      </c>
      <c r="D308" s="3" t="n">
        <v>12163000000</v>
      </c>
      <c r="E308" s="2" t="inlineStr">
        <is>
          <t>USD</t>
        </is>
      </c>
      <c r="F308" s="2" t="inlineStr">
        <is>
          <t>constructed</t>
        </is>
      </c>
      <c r="G308" s="2" t="inlineStr">
        <is>
          <t>constructed</t>
        </is>
      </c>
      <c r="H308" s="2" t="inlineStr">
        <is>
          <t>https://www.sec.gov/Archives/edgar/data/1730168/000173016822000118/0001730168-22-000118-index.html</t>
        </is>
      </c>
      <c r="I308" s="2" t="inlineStr">
        <is>
          <t>{"parts": [{"tag": "us-gaap:CashAndCashEquivalentsAtCarryingValue", "value": 12163000000.0, "sign": 1, "accession": "0001730168-22-000118"}]}</t>
        </is>
      </c>
    </row>
    <row r="309" ht="42" customHeight="1">
      <c r="A309" s="2" t="inlineStr">
        <is>
          <t>Annual</t>
        </is>
      </c>
      <c r="B309" s="2" t="inlineStr">
        <is>
          <t>cash_sti</t>
        </is>
      </c>
      <c r="C309" s="2" t="inlineStr">
        <is>
          <t>2022-10-30</t>
        </is>
      </c>
      <c r="D309" s="3" t="n">
        <v>12416000000</v>
      </c>
      <c r="E309" s="2" t="inlineStr">
        <is>
          <t>USD</t>
        </is>
      </c>
      <c r="F309" s="2" t="inlineStr">
        <is>
          <t>constructed</t>
        </is>
      </c>
      <c r="G309" s="2" t="inlineStr">
        <is>
          <t>constructed</t>
        </is>
      </c>
      <c r="H309" s="2" t="inlineStr">
        <is>
          <t>https://www.sec.gov/Archives/edgar/data/1730168/000173016823000096/0001730168-23-000096-index.html</t>
        </is>
      </c>
      <c r="I309" s="2" t="inlineStr">
        <is>
          <t>{"parts": [{"tag": "us-gaap:CashAndCashEquivalentsAtCarryingValue", "value": 12416000000.0, "sign": 1, "accession": "0001730168-23-000096"}]}</t>
        </is>
      </c>
    </row>
    <row r="310" ht="42" customHeight="1">
      <c r="A310" s="2" t="inlineStr">
        <is>
          <t>Annual</t>
        </is>
      </c>
      <c r="B310" s="2" t="inlineStr">
        <is>
          <t>cash_sti</t>
        </is>
      </c>
      <c r="C310" s="2" t="inlineStr">
        <is>
          <t>2023-10-29</t>
        </is>
      </c>
      <c r="D310" s="3" t="n">
        <v>14189000000</v>
      </c>
      <c r="E310" s="2" t="inlineStr">
        <is>
          <t>USD</t>
        </is>
      </c>
      <c r="F310" s="2" t="inlineStr">
        <is>
          <t>constructed</t>
        </is>
      </c>
      <c r="G310" s="2" t="inlineStr">
        <is>
          <t>constructed</t>
        </is>
      </c>
      <c r="H310" s="2" t="inlineStr">
        <is>
          <t>https://www.sec.gov/Archives/edgar/data/1730168/000173016824000139/0001730168-24-000139-index.html</t>
        </is>
      </c>
      <c r="I310" s="2" t="inlineStr">
        <is>
          <t>{"parts": [{"tag": "us-gaap:CashAndCashEquivalentsAtCarryingValue", "value": 14189000000.0, "sign": 1, "accession": "0001730168-24-000139"}]}</t>
        </is>
      </c>
    </row>
    <row r="311" ht="42" customHeight="1">
      <c r="A311" s="2" t="inlineStr">
        <is>
          <t>Annual</t>
        </is>
      </c>
      <c r="B311" s="2" t="inlineStr">
        <is>
          <t>cash_sti</t>
        </is>
      </c>
      <c r="C311" s="2" t="inlineStr">
        <is>
          <t>2024-11-03</t>
        </is>
      </c>
      <c r="D311" s="3" t="n">
        <v>9348000000</v>
      </c>
      <c r="E311" s="2" t="inlineStr">
        <is>
          <t>USD</t>
        </is>
      </c>
      <c r="F311" s="2" t="inlineStr">
        <is>
          <t>constructed</t>
        </is>
      </c>
      <c r="G311" s="2" t="inlineStr">
        <is>
          <t>constructed</t>
        </is>
      </c>
      <c r="H311" s="2" t="inlineStr">
        <is>
          <t>https://www.sec.gov/Archives/edgar/data/1730168/000173016825000121/0001730168-25-000121-index.html</t>
        </is>
      </c>
      <c r="I311" s="2" t="inlineStr">
        <is>
          <t>{"parts": [{"tag": "us-gaap:CashAndCashEquivalentsAtCarryingValue", "value": 9348000000.0, "sign": 1, "accession": "0001730168-25-000121"}]}</t>
        </is>
      </c>
    </row>
    <row r="312" ht="42" customHeight="1">
      <c r="A312" s="2" t="inlineStr">
        <is>
          <t>Annual</t>
        </is>
      </c>
      <c r="B312" s="2" t="inlineStr">
        <is>
          <t>cash_sti</t>
        </is>
      </c>
      <c r="C312" s="2" t="inlineStr">
        <is>
          <t>2025-11-02</t>
        </is>
      </c>
      <c r="D312" s="3" t="n">
        <v>16178000000</v>
      </c>
      <c r="E312" s="2" t="inlineStr">
        <is>
          <t>USD</t>
        </is>
      </c>
      <c r="F312" s="2" t="inlineStr">
        <is>
          <t>constructed</t>
        </is>
      </c>
      <c r="G312" s="2" t="inlineStr">
        <is>
          <t>constructed</t>
        </is>
      </c>
      <c r="H312" s="2" t="inlineStr">
        <is>
          <t>https://www.sec.gov/Archives/edgar/data/1730168/000173016825000121/0001730168-25-000121-index.html</t>
        </is>
      </c>
      <c r="I312" s="2" t="inlineStr">
        <is>
          <t>{"parts": [{"tag": "us-gaap:CashAndCashEquivalentsAtCarryingValue", "value": 16178000000.0, "sign": 1, "accession": "0001730168-25-000121"}]}</t>
        </is>
      </c>
    </row>
    <row r="313" ht="42" customHeight="1">
      <c r="A313" s="2" t="inlineStr">
        <is>
          <t>Annual</t>
        </is>
      </c>
      <c r="B313" s="2" t="inlineStr">
        <is>
          <t>receivables</t>
        </is>
      </c>
      <c r="C313" s="2" t="inlineStr">
        <is>
          <t>2016-10-30</t>
        </is>
      </c>
      <c r="D313" s="2" t="n"/>
      <c r="E313" s="2" t="inlineStr">
        <is>
          <t>USD</t>
        </is>
      </c>
      <c r="F313" s="2" t="inlineStr">
        <is>
          <t>not_available</t>
        </is>
      </c>
      <c r="G313" s="2" t="inlineStr"/>
      <c r="H313" s="2" t="inlineStr"/>
      <c r="I313" s="2" t="inlineStr">
        <is>
          <t>null</t>
        </is>
      </c>
    </row>
    <row r="314" ht="42" customHeight="1">
      <c r="A314" s="2" t="inlineStr">
        <is>
          <t>Annual</t>
        </is>
      </c>
      <c r="B314" s="2" t="inlineStr">
        <is>
          <t>receivables</t>
        </is>
      </c>
      <c r="C314" s="2" t="inlineStr">
        <is>
          <t>2017-10-29</t>
        </is>
      </c>
      <c r="D314" s="3" t="n">
        <v>2448000000</v>
      </c>
      <c r="E314" s="2" t="inlineStr">
        <is>
          <t>USD</t>
        </is>
      </c>
      <c r="F314" s="2" t="inlineStr">
        <is>
          <t>reported</t>
        </is>
      </c>
      <c r="G314" s="2" t="inlineStr"/>
      <c r="H314" s="2" t="inlineStr">
        <is>
          <t>https://www.sec.gov/Archives/edgar/data/1730168/000173016818000084/0001730168-18-000084-index.html</t>
        </is>
      </c>
      <c r="I314" s="2" t="inlineStr">
        <is>
          <t>{"tag": "us-gaap:AccountsReceivableNetCurrent", "form": "10-K", "accession": "0001730168-18-000084", "filed": "2018-12-21"}</t>
        </is>
      </c>
    </row>
    <row r="315" ht="42" customHeight="1">
      <c r="A315" s="2" t="inlineStr">
        <is>
          <t>Annual</t>
        </is>
      </c>
      <c r="B315" s="2" t="inlineStr">
        <is>
          <t>receivables</t>
        </is>
      </c>
      <c r="C315" s="2" t="inlineStr">
        <is>
          <t>2018-11-04</t>
        </is>
      </c>
      <c r="D315" s="3" t="n">
        <v>3325000000</v>
      </c>
      <c r="E315" s="2" t="inlineStr">
        <is>
          <t>USD</t>
        </is>
      </c>
      <c r="F315" s="2" t="inlineStr">
        <is>
          <t>reported</t>
        </is>
      </c>
      <c r="G315" s="2" t="inlineStr"/>
      <c r="H315" s="2" t="inlineStr">
        <is>
          <t>https://www.sec.gov/Archives/edgar/data/1730168/000173016819000144/0001730168-19-000144-index.html</t>
        </is>
      </c>
      <c r="I315" s="2" t="inlineStr">
        <is>
          <t>{"tag": "us-gaap:AccountsReceivableNetCurrent", "form": "10-K", "accession": "0001730168-19-000144", "filed": "2019-12-20"}</t>
        </is>
      </c>
    </row>
    <row r="316" ht="42" customHeight="1">
      <c r="A316" s="2" t="inlineStr">
        <is>
          <t>Annual</t>
        </is>
      </c>
      <c r="B316" s="2" t="inlineStr">
        <is>
          <t>receivables</t>
        </is>
      </c>
      <c r="C316" s="2" t="inlineStr">
        <is>
          <t>2019-11-03</t>
        </is>
      </c>
      <c r="D316" s="3" t="n">
        <v>3259000000</v>
      </c>
      <c r="E316" s="2" t="inlineStr">
        <is>
          <t>USD</t>
        </is>
      </c>
      <c r="F316" s="2" t="inlineStr">
        <is>
          <t>reported</t>
        </is>
      </c>
      <c r="G316" s="2" t="inlineStr"/>
      <c r="H316" s="2" t="inlineStr">
        <is>
          <t>https://www.sec.gov/Archives/edgar/data/1730168/000173016820000226/0001730168-20-000226-index.html</t>
        </is>
      </c>
      <c r="I316" s="2" t="inlineStr">
        <is>
          <t>{"tag": "us-gaap:AccountsReceivableNetCurrent", "form": "10-K", "accession": "0001730168-20-000226", "filed": "2020-12-18"}</t>
        </is>
      </c>
    </row>
    <row r="317" ht="42" customHeight="1">
      <c r="A317" s="2" t="inlineStr">
        <is>
          <t>Annual</t>
        </is>
      </c>
      <c r="B317" s="2" t="inlineStr">
        <is>
          <t>receivables</t>
        </is>
      </c>
      <c r="C317" s="2" t="inlineStr">
        <is>
          <t>2020-11-01</t>
        </is>
      </c>
      <c r="D317" s="3" t="n">
        <v>2297000000</v>
      </c>
      <c r="E317" s="2" t="inlineStr">
        <is>
          <t>USD</t>
        </is>
      </c>
      <c r="F317" s="2" t="inlineStr">
        <is>
          <t>reported</t>
        </is>
      </c>
      <c r="G317" s="2" t="inlineStr"/>
      <c r="H317" s="2" t="inlineStr">
        <is>
          <t>https://www.sec.gov/Archives/edgar/data/1730168/000173016821000153/0001730168-21-000153-index.html</t>
        </is>
      </c>
      <c r="I317" s="2" t="inlineStr">
        <is>
          <t>{"tag": "us-gaap:AccountsReceivableNetCurrent", "form": "10-K", "accession": "0001730168-21-000153", "filed": "2021-12-17"}</t>
        </is>
      </c>
    </row>
    <row r="318" ht="42" customHeight="1">
      <c r="A318" s="2" t="inlineStr">
        <is>
          <t>Annual</t>
        </is>
      </c>
      <c r="B318" s="2" t="inlineStr">
        <is>
          <t>receivables</t>
        </is>
      </c>
      <c r="C318" s="2" t="inlineStr">
        <is>
          <t>2021-10-31</t>
        </is>
      </c>
      <c r="D318" s="3" t="n">
        <v>2071000000</v>
      </c>
      <c r="E318" s="2" t="inlineStr">
        <is>
          <t>USD</t>
        </is>
      </c>
      <c r="F318" s="2" t="inlineStr">
        <is>
          <t>reported</t>
        </is>
      </c>
      <c r="G318" s="2" t="inlineStr"/>
      <c r="H318" s="2" t="inlineStr">
        <is>
          <t>https://www.sec.gov/Archives/edgar/data/1730168/000173016822000118/0001730168-22-000118-index.html</t>
        </is>
      </c>
      <c r="I318" s="2" t="inlineStr">
        <is>
          <t>{"tag": "us-gaap:AccountsReceivableNetCurrent", "form": "10-K", "accession": "0001730168-22-000118", "filed": "2022-12-16"}</t>
        </is>
      </c>
    </row>
    <row r="319" ht="42" customHeight="1">
      <c r="A319" s="2" t="inlineStr">
        <is>
          <t>Annual</t>
        </is>
      </c>
      <c r="B319" s="2" t="inlineStr">
        <is>
          <t>receivables</t>
        </is>
      </c>
      <c r="C319" s="2" t="inlineStr">
        <is>
          <t>2022-10-30</t>
        </is>
      </c>
      <c r="D319" s="3" t="n">
        <v>2958000000</v>
      </c>
      <c r="E319" s="2" t="inlineStr">
        <is>
          <t>USD</t>
        </is>
      </c>
      <c r="F319" s="2" t="inlineStr">
        <is>
          <t>reported</t>
        </is>
      </c>
      <c r="G319" s="2" t="inlineStr"/>
      <c r="H319" s="2" t="inlineStr">
        <is>
          <t>https://www.sec.gov/Archives/edgar/data/1730168/000173016823000096/0001730168-23-000096-index.html</t>
        </is>
      </c>
      <c r="I319" s="2" t="inlineStr">
        <is>
          <t>{"tag": "us-gaap:AccountsReceivableNetCurrent", "form": "10-K", "accession": "0001730168-23-000096", "filed": "2023-12-14"}</t>
        </is>
      </c>
    </row>
    <row r="320" ht="42" customHeight="1">
      <c r="A320" s="2" t="inlineStr">
        <is>
          <t>Annual</t>
        </is>
      </c>
      <c r="B320" s="2" t="inlineStr">
        <is>
          <t>receivables</t>
        </is>
      </c>
      <c r="C320" s="2" t="inlineStr">
        <is>
          <t>2023-10-29</t>
        </is>
      </c>
      <c r="D320" s="3" t="n">
        <v>3154000000</v>
      </c>
      <c r="E320" s="2" t="inlineStr">
        <is>
          <t>USD</t>
        </is>
      </c>
      <c r="F320" s="2" t="inlineStr">
        <is>
          <t>reported</t>
        </is>
      </c>
      <c r="G320" s="2" t="inlineStr"/>
      <c r="H320" s="2" t="inlineStr">
        <is>
          <t>https://www.sec.gov/Archives/edgar/data/1730168/000173016824000139/0001730168-24-000139-index.html</t>
        </is>
      </c>
      <c r="I320" s="2" t="inlineStr">
        <is>
          <t>{"tag": "us-gaap:AccountsReceivableNetCurrent", "form": "10-K", "accession": "0001730168-24-000139", "filed": "2024-12-20"}</t>
        </is>
      </c>
    </row>
    <row r="321" ht="42" customHeight="1">
      <c r="A321" s="2" t="inlineStr">
        <is>
          <t>Annual</t>
        </is>
      </c>
      <c r="B321" s="2" t="inlineStr">
        <is>
          <t>receivables</t>
        </is>
      </c>
      <c r="C321" s="2" t="inlineStr">
        <is>
          <t>2024-11-03</t>
        </is>
      </c>
      <c r="D321" s="3" t="n">
        <v>4416000000</v>
      </c>
      <c r="E321" s="2" t="inlineStr">
        <is>
          <t>USD</t>
        </is>
      </c>
      <c r="F321" s="2" t="inlineStr">
        <is>
          <t>reported</t>
        </is>
      </c>
      <c r="G321" s="2" t="inlineStr"/>
      <c r="H321" s="2" t="inlineStr">
        <is>
          <t>https://www.sec.gov/Archives/edgar/data/1730168/000173016825000121/0001730168-25-000121-index.html</t>
        </is>
      </c>
      <c r="I321" s="2" t="inlineStr">
        <is>
          <t>{"tag": "us-gaap:AccountsReceivableNetCurrent", "form": "10-K", "accession": "0001730168-25-000121", "filed": "2025-12-18"}</t>
        </is>
      </c>
    </row>
    <row r="322" ht="42" customHeight="1">
      <c r="A322" s="2" t="inlineStr">
        <is>
          <t>Annual</t>
        </is>
      </c>
      <c r="B322" s="2" t="inlineStr">
        <is>
          <t>receivables</t>
        </is>
      </c>
      <c r="C322" s="2" t="inlineStr">
        <is>
          <t>2025-11-02</t>
        </is>
      </c>
      <c r="D322" s="3" t="n">
        <v>7145000000</v>
      </c>
      <c r="E322" s="2" t="inlineStr">
        <is>
          <t>USD</t>
        </is>
      </c>
      <c r="F322" s="2" t="inlineStr">
        <is>
          <t>reported</t>
        </is>
      </c>
      <c r="G322" s="2" t="inlineStr"/>
      <c r="H322" s="2" t="inlineStr">
        <is>
          <t>https://www.sec.gov/Archives/edgar/data/1730168/000173016825000121/0001730168-25-000121-index.html</t>
        </is>
      </c>
      <c r="I322" s="2" t="inlineStr">
        <is>
          <t>{"tag": "us-gaap:AccountsReceivableNetCurrent", "form": "10-K", "accession": "0001730168-25-000121", "filed": "2025-12-18"}</t>
        </is>
      </c>
    </row>
    <row r="323" ht="42" customHeight="1">
      <c r="A323" s="2" t="inlineStr">
        <is>
          <t>Annual</t>
        </is>
      </c>
      <c r="B323" s="2" t="inlineStr">
        <is>
          <t>inventory</t>
        </is>
      </c>
      <c r="C323" s="2" t="inlineStr">
        <is>
          <t>2016-10-30</t>
        </is>
      </c>
      <c r="D323" s="2" t="n"/>
      <c r="E323" s="2" t="inlineStr">
        <is>
          <t>USD</t>
        </is>
      </c>
      <c r="F323" s="2" t="inlineStr">
        <is>
          <t>not_available</t>
        </is>
      </c>
      <c r="G323" s="2" t="inlineStr"/>
      <c r="H323" s="2" t="inlineStr"/>
      <c r="I323" s="2" t="inlineStr">
        <is>
          <t>null</t>
        </is>
      </c>
    </row>
    <row r="324" ht="42" customHeight="1">
      <c r="A324" s="2" t="inlineStr">
        <is>
          <t>Annual</t>
        </is>
      </c>
      <c r="B324" s="2" t="inlineStr">
        <is>
          <t>inventory</t>
        </is>
      </c>
      <c r="C324" s="2" t="inlineStr">
        <is>
          <t>2017-10-29</t>
        </is>
      </c>
      <c r="D324" s="3" t="n">
        <v>1447000000</v>
      </c>
      <c r="E324" s="2" t="inlineStr">
        <is>
          <t>USD</t>
        </is>
      </c>
      <c r="F324" s="2" t="inlineStr">
        <is>
          <t>reported</t>
        </is>
      </c>
      <c r="G324" s="2" t="inlineStr"/>
      <c r="H324" s="2" t="inlineStr">
        <is>
          <t>https://www.sec.gov/Archives/edgar/data/1730168/000173016818000084/0001730168-18-000084-index.html</t>
        </is>
      </c>
      <c r="I324" s="2" t="inlineStr">
        <is>
          <t>{"tag": "us-gaap:InventoryNet", "form": "10-K", "accession": "0001730168-18-000084", "filed": "2018-12-21"}</t>
        </is>
      </c>
    </row>
    <row r="325" ht="42" customHeight="1">
      <c r="A325" s="2" t="inlineStr">
        <is>
          <t>Annual</t>
        </is>
      </c>
      <c r="B325" s="2" t="inlineStr">
        <is>
          <t>inventory</t>
        </is>
      </c>
      <c r="C325" s="2" t="inlineStr">
        <is>
          <t>2018-11-04</t>
        </is>
      </c>
      <c r="D325" s="3" t="n">
        <v>1124000000</v>
      </c>
      <c r="E325" s="2" t="inlineStr">
        <is>
          <t>USD</t>
        </is>
      </c>
      <c r="F325" s="2" t="inlineStr">
        <is>
          <t>reported</t>
        </is>
      </c>
      <c r="G325" s="2" t="inlineStr"/>
      <c r="H325" s="2" t="inlineStr">
        <is>
          <t>https://www.sec.gov/Archives/edgar/data/1730168/000173016819000144/0001730168-19-000144-index.html</t>
        </is>
      </c>
      <c r="I325" s="2" t="inlineStr">
        <is>
          <t>{"tag": "us-gaap:InventoryNet", "form": "10-K", "accession": "0001730168-19-000144", "filed": "2019-12-20"}</t>
        </is>
      </c>
    </row>
    <row r="326" ht="42" customHeight="1">
      <c r="A326" s="2" t="inlineStr">
        <is>
          <t>Annual</t>
        </is>
      </c>
      <c r="B326" s="2" t="inlineStr">
        <is>
          <t>inventory</t>
        </is>
      </c>
      <c r="C326" s="2" t="inlineStr">
        <is>
          <t>2019-11-03</t>
        </is>
      </c>
      <c r="D326" s="3" t="n">
        <v>874000000</v>
      </c>
      <c r="E326" s="2" t="inlineStr">
        <is>
          <t>USD</t>
        </is>
      </c>
      <c r="F326" s="2" t="inlineStr">
        <is>
          <t>reported</t>
        </is>
      </c>
      <c r="G326" s="2" t="inlineStr"/>
      <c r="H326" s="2" t="inlineStr">
        <is>
          <t>https://www.sec.gov/Archives/edgar/data/1730168/000173016820000226/0001730168-20-000226-index.html</t>
        </is>
      </c>
      <c r="I326" s="2" t="inlineStr">
        <is>
          <t>{"tag": "us-gaap:InventoryNet", "form": "10-K", "accession": "0001730168-20-000226", "filed": "2020-12-18"}</t>
        </is>
      </c>
    </row>
    <row r="327" ht="42" customHeight="1">
      <c r="A327" s="2" t="inlineStr">
        <is>
          <t>Annual</t>
        </is>
      </c>
      <c r="B327" s="2" t="inlineStr">
        <is>
          <t>inventory</t>
        </is>
      </c>
      <c r="C327" s="2" t="inlineStr">
        <is>
          <t>2020-11-01</t>
        </is>
      </c>
      <c r="D327" s="3" t="n">
        <v>1003000000</v>
      </c>
      <c r="E327" s="2" t="inlineStr">
        <is>
          <t>USD</t>
        </is>
      </c>
      <c r="F327" s="2" t="inlineStr">
        <is>
          <t>reported</t>
        </is>
      </c>
      <c r="G327" s="2" t="inlineStr"/>
      <c r="H327" s="2" t="inlineStr">
        <is>
          <t>https://www.sec.gov/Archives/edgar/data/1730168/000173016821000153/0001730168-21-000153-index.html</t>
        </is>
      </c>
      <c r="I327" s="2" t="inlineStr">
        <is>
          <t>{"tag": "us-gaap:InventoryNet", "form": "10-K", "accession": "0001730168-21-000153", "filed": "2021-12-17"}</t>
        </is>
      </c>
    </row>
    <row r="328" ht="42" customHeight="1">
      <c r="A328" s="2" t="inlineStr">
        <is>
          <t>Annual</t>
        </is>
      </c>
      <c r="B328" s="2" t="inlineStr">
        <is>
          <t>inventory</t>
        </is>
      </c>
      <c r="C328" s="2" t="inlineStr">
        <is>
          <t>2021-10-31</t>
        </is>
      </c>
      <c r="D328" s="3" t="n">
        <v>1297000000</v>
      </c>
      <c r="E328" s="2" t="inlineStr">
        <is>
          <t>USD</t>
        </is>
      </c>
      <c r="F328" s="2" t="inlineStr">
        <is>
          <t>reported</t>
        </is>
      </c>
      <c r="G328" s="2" t="inlineStr"/>
      <c r="H328" s="2" t="inlineStr">
        <is>
          <t>https://www.sec.gov/Archives/edgar/data/1730168/000173016822000118/0001730168-22-000118-index.html</t>
        </is>
      </c>
      <c r="I328" s="2" t="inlineStr">
        <is>
          <t>{"tag": "us-gaap:InventoryNet", "form": "10-K", "accession": "0001730168-22-000118", "filed": "2022-12-16"}</t>
        </is>
      </c>
    </row>
    <row r="329" ht="42" customHeight="1">
      <c r="A329" s="2" t="inlineStr">
        <is>
          <t>Annual</t>
        </is>
      </c>
      <c r="B329" s="2" t="inlineStr">
        <is>
          <t>inventory</t>
        </is>
      </c>
      <c r="C329" s="2" t="inlineStr">
        <is>
          <t>2022-10-30</t>
        </is>
      </c>
      <c r="D329" s="3" t="n">
        <v>1925000000</v>
      </c>
      <c r="E329" s="2" t="inlineStr">
        <is>
          <t>USD</t>
        </is>
      </c>
      <c r="F329" s="2" t="inlineStr">
        <is>
          <t>reported</t>
        </is>
      </c>
      <c r="G329" s="2" t="inlineStr"/>
      <c r="H329" s="2" t="inlineStr">
        <is>
          <t>https://www.sec.gov/Archives/edgar/data/1730168/000173016823000096/0001730168-23-000096-index.html</t>
        </is>
      </c>
      <c r="I329" s="2" t="inlineStr">
        <is>
          <t>{"tag": "us-gaap:InventoryNet", "form": "10-K", "accession": "0001730168-23-000096", "filed": "2023-12-14"}</t>
        </is>
      </c>
    </row>
    <row r="330" ht="42" customHeight="1">
      <c r="A330" s="2" t="inlineStr">
        <is>
          <t>Annual</t>
        </is>
      </c>
      <c r="B330" s="2" t="inlineStr">
        <is>
          <t>inventory</t>
        </is>
      </c>
      <c r="C330" s="2" t="inlineStr">
        <is>
          <t>2023-10-29</t>
        </is>
      </c>
      <c r="D330" s="3" t="n">
        <v>1898000000</v>
      </c>
      <c r="E330" s="2" t="inlineStr">
        <is>
          <t>USD</t>
        </is>
      </c>
      <c r="F330" s="2" t="inlineStr">
        <is>
          <t>reported</t>
        </is>
      </c>
      <c r="G330" s="2" t="inlineStr"/>
      <c r="H330" s="2" t="inlineStr">
        <is>
          <t>https://www.sec.gov/Archives/edgar/data/1730168/000173016824000139/0001730168-24-000139-index.html</t>
        </is>
      </c>
      <c r="I330" s="2" t="inlineStr">
        <is>
          <t>{"tag": "us-gaap:InventoryNet", "form": "10-K", "accession": "0001730168-24-000139", "filed": "2024-12-20"}</t>
        </is>
      </c>
    </row>
    <row r="331" ht="42" customHeight="1">
      <c r="A331" s="2" t="inlineStr">
        <is>
          <t>Annual</t>
        </is>
      </c>
      <c r="B331" s="2" t="inlineStr">
        <is>
          <t>inventory</t>
        </is>
      </c>
      <c r="C331" s="2" t="inlineStr">
        <is>
          <t>2024-11-03</t>
        </is>
      </c>
      <c r="D331" s="3" t="n">
        <v>1760000000</v>
      </c>
      <c r="E331" s="2" t="inlineStr">
        <is>
          <t>USD</t>
        </is>
      </c>
      <c r="F331" s="2" t="inlineStr">
        <is>
          <t>reported</t>
        </is>
      </c>
      <c r="G331" s="2" t="inlineStr"/>
      <c r="H331" s="2" t="inlineStr">
        <is>
          <t>https://www.sec.gov/Archives/edgar/data/1730168/000173016825000121/0001730168-25-000121-index.html</t>
        </is>
      </c>
      <c r="I331" s="2" t="inlineStr">
        <is>
          <t>{"tag": "us-gaap:InventoryNet", "form": "10-K", "accession": "0001730168-25-000121", "filed": "2025-12-18"}</t>
        </is>
      </c>
    </row>
    <row r="332" ht="42" customHeight="1">
      <c r="A332" s="2" t="inlineStr">
        <is>
          <t>Annual</t>
        </is>
      </c>
      <c r="B332" s="2" t="inlineStr">
        <is>
          <t>inventory</t>
        </is>
      </c>
      <c r="C332" s="2" t="inlineStr">
        <is>
          <t>2025-11-02</t>
        </is>
      </c>
      <c r="D332" s="3" t="n">
        <v>2270000000</v>
      </c>
      <c r="E332" s="2" t="inlineStr">
        <is>
          <t>USD</t>
        </is>
      </c>
      <c r="F332" s="2" t="inlineStr">
        <is>
          <t>reported</t>
        </is>
      </c>
      <c r="G332" s="2" t="inlineStr"/>
      <c r="H332" s="2" t="inlineStr">
        <is>
          <t>https://www.sec.gov/Archives/edgar/data/1730168/000173016825000121/0001730168-25-000121-index.html</t>
        </is>
      </c>
      <c r="I332" s="2" t="inlineStr">
        <is>
          <t>{"tag": "us-gaap:InventoryNet", "form": "10-K", "accession": "0001730168-25-000121", "filed": "2025-12-18"}</t>
        </is>
      </c>
    </row>
    <row r="333" ht="42" customHeight="1">
      <c r="A333" s="2" t="inlineStr">
        <is>
          <t>Annual</t>
        </is>
      </c>
      <c r="B333" s="2" t="inlineStr">
        <is>
          <t>current_assets</t>
        </is>
      </c>
      <c r="C333" s="2" t="inlineStr">
        <is>
          <t>2016-10-30</t>
        </is>
      </c>
      <c r="D333" s="2" t="n"/>
      <c r="E333" s="2" t="inlineStr">
        <is>
          <t>USD</t>
        </is>
      </c>
      <c r="F333" s="2" t="inlineStr">
        <is>
          <t>not_available</t>
        </is>
      </c>
      <c r="G333" s="2" t="inlineStr"/>
      <c r="H333" s="2" t="inlineStr"/>
      <c r="I333" s="2" t="inlineStr">
        <is>
          <t>null</t>
        </is>
      </c>
    </row>
    <row r="334" ht="42" customHeight="1">
      <c r="A334" s="2" t="inlineStr">
        <is>
          <t>Annual</t>
        </is>
      </c>
      <c r="B334" s="2" t="inlineStr">
        <is>
          <t>current_assets</t>
        </is>
      </c>
      <c r="C334" s="2" t="inlineStr">
        <is>
          <t>2017-10-29</t>
        </is>
      </c>
      <c r="D334" s="3" t="n">
        <v>15823000000</v>
      </c>
      <c r="E334" s="2" t="inlineStr">
        <is>
          <t>USD</t>
        </is>
      </c>
      <c r="F334" s="2" t="inlineStr">
        <is>
          <t>reported</t>
        </is>
      </c>
      <c r="G334" s="2" t="inlineStr"/>
      <c r="H334" s="2" t="inlineStr">
        <is>
          <t>https://www.sec.gov/Archives/edgar/data/1730168/000173016818000084/0001730168-18-000084-index.html</t>
        </is>
      </c>
      <c r="I334" s="2" t="inlineStr">
        <is>
          <t>{"tag": "us-gaap:AssetsCurrent", "form": "10-K", "accession": "0001730168-18-000084", "filed": "2018-12-21"}</t>
        </is>
      </c>
    </row>
    <row r="335" ht="42" customHeight="1">
      <c r="A335" s="2" t="inlineStr">
        <is>
          <t>Annual</t>
        </is>
      </c>
      <c r="B335" s="2" t="inlineStr">
        <is>
          <t>current_assets</t>
        </is>
      </c>
      <c r="C335" s="2" t="inlineStr">
        <is>
          <t>2018-11-04</t>
        </is>
      </c>
      <c r="D335" s="3" t="n">
        <v>9107000000</v>
      </c>
      <c r="E335" s="2" t="inlineStr">
        <is>
          <t>USD</t>
        </is>
      </c>
      <c r="F335" s="2" t="inlineStr">
        <is>
          <t>reported</t>
        </is>
      </c>
      <c r="G335" s="2" t="inlineStr"/>
      <c r="H335" s="2" t="inlineStr">
        <is>
          <t>https://www.sec.gov/Archives/edgar/data/1730168/000173016819000144/0001730168-19-000144-index.html</t>
        </is>
      </c>
      <c r="I335" s="2" t="inlineStr">
        <is>
          <t>{"tag": "us-gaap:AssetsCurrent", "form": "10-K", "accession": "0001730168-19-000144", "filed": "2019-12-20"}</t>
        </is>
      </c>
    </row>
    <row r="336" ht="42" customHeight="1">
      <c r="A336" s="2" t="inlineStr">
        <is>
          <t>Annual</t>
        </is>
      </c>
      <c r="B336" s="2" t="inlineStr">
        <is>
          <t>current_assets</t>
        </is>
      </c>
      <c r="C336" s="2" t="inlineStr">
        <is>
          <t>2019-11-03</t>
        </is>
      </c>
      <c r="D336" s="3" t="n">
        <v>9917000000</v>
      </c>
      <c r="E336" s="2" t="inlineStr">
        <is>
          <t>USD</t>
        </is>
      </c>
      <c r="F336" s="2" t="inlineStr">
        <is>
          <t>reported</t>
        </is>
      </c>
      <c r="G336" s="2" t="inlineStr"/>
      <c r="H336" s="2" t="inlineStr">
        <is>
          <t>https://www.sec.gov/Archives/edgar/data/1730168/000173016820000226/0001730168-20-000226-index.html</t>
        </is>
      </c>
      <c r="I336" s="2" t="inlineStr">
        <is>
          <t>{"tag": "us-gaap:AssetsCurrent", "form": "10-K", "accession": "0001730168-20-000226", "filed": "2020-12-18"}</t>
        </is>
      </c>
    </row>
    <row r="337" ht="42" customHeight="1">
      <c r="A337" s="2" t="inlineStr">
        <is>
          <t>Annual</t>
        </is>
      </c>
      <c r="B337" s="2" t="inlineStr">
        <is>
          <t>current_assets</t>
        </is>
      </c>
      <c r="C337" s="2" t="inlineStr">
        <is>
          <t>2020-11-01</t>
        </is>
      </c>
      <c r="D337" s="3" t="n">
        <v>11895000000</v>
      </c>
      <c r="E337" s="2" t="inlineStr">
        <is>
          <t>USD</t>
        </is>
      </c>
      <c r="F337" s="2" t="inlineStr">
        <is>
          <t>reported</t>
        </is>
      </c>
      <c r="G337" s="2" t="inlineStr"/>
      <c r="H337" s="2" t="inlineStr">
        <is>
          <t>https://www.sec.gov/Archives/edgar/data/1730168/000173016821000153/0001730168-21-000153-index.html</t>
        </is>
      </c>
      <c r="I337" s="2" t="inlineStr">
        <is>
          <t>{"tag": "us-gaap:AssetsCurrent", "form": "10-K", "accession": "0001730168-21-000153", "filed": "2021-12-17"}</t>
        </is>
      </c>
    </row>
    <row r="338" ht="42" customHeight="1">
      <c r="A338" s="2" t="inlineStr">
        <is>
          <t>Annual</t>
        </is>
      </c>
      <c r="B338" s="2" t="inlineStr">
        <is>
          <t>current_assets</t>
        </is>
      </c>
      <c r="C338" s="2" t="inlineStr">
        <is>
          <t>2021-10-31</t>
        </is>
      </c>
      <c r="D338" s="3" t="n">
        <v>16586000000</v>
      </c>
      <c r="E338" s="2" t="inlineStr">
        <is>
          <t>USD</t>
        </is>
      </c>
      <c r="F338" s="2" t="inlineStr">
        <is>
          <t>reported</t>
        </is>
      </c>
      <c r="G338" s="2" t="inlineStr"/>
      <c r="H338" s="2" t="inlineStr">
        <is>
          <t>https://www.sec.gov/Archives/edgar/data/1730168/000173016822000118/0001730168-22-000118-index.html</t>
        </is>
      </c>
      <c r="I338" s="2" t="inlineStr">
        <is>
          <t>{"tag": "us-gaap:AssetsCurrent", "form": "10-K", "accession": "0001730168-22-000118", "filed": "2022-12-16"}</t>
        </is>
      </c>
    </row>
    <row r="339" ht="42" customHeight="1">
      <c r="A339" s="2" t="inlineStr">
        <is>
          <t>Annual</t>
        </is>
      </c>
      <c r="B339" s="2" t="inlineStr">
        <is>
          <t>current_assets</t>
        </is>
      </c>
      <c r="C339" s="2" t="inlineStr">
        <is>
          <t>2022-10-30</t>
        </is>
      </c>
      <c r="D339" s="3" t="n">
        <v>18504000000</v>
      </c>
      <c r="E339" s="2" t="inlineStr">
        <is>
          <t>USD</t>
        </is>
      </c>
      <c r="F339" s="2" t="inlineStr">
        <is>
          <t>reported</t>
        </is>
      </c>
      <c r="G339" s="2" t="inlineStr"/>
      <c r="H339" s="2" t="inlineStr">
        <is>
          <t>https://www.sec.gov/Archives/edgar/data/1730168/000173016823000096/0001730168-23-000096-index.html</t>
        </is>
      </c>
      <c r="I339" s="2" t="inlineStr">
        <is>
          <t>{"tag": "us-gaap:AssetsCurrent", "form": "10-K", "accession": "0001730168-23-000096", "filed": "2023-12-14"}</t>
        </is>
      </c>
    </row>
    <row r="340" ht="42" customHeight="1">
      <c r="A340" s="2" t="inlineStr">
        <is>
          <t>Annual</t>
        </is>
      </c>
      <c r="B340" s="2" t="inlineStr">
        <is>
          <t>current_assets</t>
        </is>
      </c>
      <c r="C340" s="2" t="inlineStr">
        <is>
          <t>2023-10-29</t>
        </is>
      </c>
      <c r="D340" s="3" t="n">
        <v>20847000000</v>
      </c>
      <c r="E340" s="2" t="inlineStr">
        <is>
          <t>USD</t>
        </is>
      </c>
      <c r="F340" s="2" t="inlineStr">
        <is>
          <t>reported</t>
        </is>
      </c>
      <c r="G340" s="2" t="inlineStr"/>
      <c r="H340" s="2" t="inlineStr">
        <is>
          <t>https://www.sec.gov/Archives/edgar/data/1730168/000173016824000139/0001730168-24-000139-index.html</t>
        </is>
      </c>
      <c r="I340" s="2" t="inlineStr">
        <is>
          <t>{"tag": "us-gaap:AssetsCurrent", "form": "10-K", "accession": "0001730168-24-000139", "filed": "2024-12-20"}</t>
        </is>
      </c>
    </row>
    <row r="341" ht="42" customHeight="1">
      <c r="A341" s="2" t="inlineStr">
        <is>
          <t>Annual</t>
        </is>
      </c>
      <c r="B341" s="2" t="inlineStr">
        <is>
          <t>current_assets</t>
        </is>
      </c>
      <c r="C341" s="2" t="inlineStr">
        <is>
          <t>2024-11-03</t>
        </is>
      </c>
      <c r="D341" s="3" t="n">
        <v>19595000000</v>
      </c>
      <c r="E341" s="2" t="inlineStr">
        <is>
          <t>USD</t>
        </is>
      </c>
      <c r="F341" s="2" t="inlineStr">
        <is>
          <t>reported</t>
        </is>
      </c>
      <c r="G341" s="2" t="inlineStr"/>
      <c r="H341" s="2" t="inlineStr">
        <is>
          <t>https://www.sec.gov/Archives/edgar/data/1730168/000173016825000121/0001730168-25-000121-index.html</t>
        </is>
      </c>
      <c r="I341" s="2" t="inlineStr">
        <is>
          <t>{"tag": "us-gaap:AssetsCurrent", "form": "10-K", "accession": "0001730168-25-000121", "filed": "2025-12-18"}</t>
        </is>
      </c>
    </row>
    <row r="342" ht="42" customHeight="1">
      <c r="A342" s="2" t="inlineStr">
        <is>
          <t>Annual</t>
        </is>
      </c>
      <c r="B342" s="2" t="inlineStr">
        <is>
          <t>current_assets</t>
        </is>
      </c>
      <c r="C342" s="2" t="inlineStr">
        <is>
          <t>2025-11-02</t>
        </is>
      </c>
      <c r="D342" s="3" t="n">
        <v>31573000000</v>
      </c>
      <c r="E342" s="2" t="inlineStr">
        <is>
          <t>USD</t>
        </is>
      </c>
      <c r="F342" s="2" t="inlineStr">
        <is>
          <t>reported</t>
        </is>
      </c>
      <c r="G342" s="2" t="inlineStr"/>
      <c r="H342" s="2" t="inlineStr">
        <is>
          <t>https://www.sec.gov/Archives/edgar/data/1730168/000173016825000121/0001730168-25-000121-index.html</t>
        </is>
      </c>
      <c r="I342" s="2" t="inlineStr">
        <is>
          <t>{"tag": "us-gaap:AssetsCurrent", "form": "10-K", "accession": "0001730168-25-000121", "filed": "2025-12-18"}</t>
        </is>
      </c>
    </row>
    <row r="343" ht="42" customHeight="1">
      <c r="A343" s="2" t="inlineStr">
        <is>
          <t>Annual</t>
        </is>
      </c>
      <c r="B343" s="2" t="inlineStr">
        <is>
          <t>ppe</t>
        </is>
      </c>
      <c r="C343" s="2" t="inlineStr">
        <is>
          <t>2016-10-30</t>
        </is>
      </c>
      <c r="D343" s="2" t="n"/>
      <c r="E343" s="2" t="inlineStr">
        <is>
          <t>USD</t>
        </is>
      </c>
      <c r="F343" s="2" t="inlineStr">
        <is>
          <t>not_available</t>
        </is>
      </c>
      <c r="G343" s="2" t="inlineStr"/>
      <c r="H343" s="2" t="inlineStr"/>
      <c r="I343" s="2" t="inlineStr">
        <is>
          <t>null</t>
        </is>
      </c>
    </row>
    <row r="344" ht="42" customHeight="1">
      <c r="A344" s="2" t="inlineStr">
        <is>
          <t>Annual</t>
        </is>
      </c>
      <c r="B344" s="2" t="inlineStr">
        <is>
          <t>ppe</t>
        </is>
      </c>
      <c r="C344" s="2" t="inlineStr">
        <is>
          <t>2017-10-29</t>
        </is>
      </c>
      <c r="D344" s="3" t="n">
        <v>2599000000</v>
      </c>
      <c r="E344" s="2" t="inlineStr">
        <is>
          <t>USD</t>
        </is>
      </c>
      <c r="F344" s="2" t="inlineStr">
        <is>
          <t>reported</t>
        </is>
      </c>
      <c r="G344" s="2" t="inlineStr"/>
      <c r="H344" s="2" t="inlineStr">
        <is>
          <t>https://www.sec.gov/Archives/edgar/data/1730168/000173016818000084/0001730168-18-000084-index.html</t>
        </is>
      </c>
      <c r="I344" s="2" t="inlineStr">
        <is>
          <t>{"tag": "us-gaap:PropertyPlantAndEquipmentNet", "form": "10-K", "accession": "0001730168-18-000084", "filed": "2018-12-21"}</t>
        </is>
      </c>
    </row>
    <row r="345" ht="42" customHeight="1">
      <c r="A345" s="2" t="inlineStr">
        <is>
          <t>Annual</t>
        </is>
      </c>
      <c r="B345" s="2" t="inlineStr">
        <is>
          <t>ppe</t>
        </is>
      </c>
      <c r="C345" s="2" t="inlineStr">
        <is>
          <t>2018-11-04</t>
        </is>
      </c>
      <c r="D345" s="3" t="n">
        <v>2635000000</v>
      </c>
      <c r="E345" s="2" t="inlineStr">
        <is>
          <t>USD</t>
        </is>
      </c>
      <c r="F345" s="2" t="inlineStr">
        <is>
          <t>reported</t>
        </is>
      </c>
      <c r="G345" s="2" t="inlineStr"/>
      <c r="H345" s="2" t="inlineStr">
        <is>
          <t>https://www.sec.gov/Archives/edgar/data/1730168/000173016819000144/0001730168-19-000144-index.html</t>
        </is>
      </c>
      <c r="I345" s="2" t="inlineStr">
        <is>
          <t>{"tag": "us-gaap:PropertyPlantAndEquipmentNet", "form": "10-K", "accession": "0001730168-19-000144", "filed": "2019-12-20"}</t>
        </is>
      </c>
    </row>
    <row r="346" ht="42" customHeight="1">
      <c r="A346" s="2" t="inlineStr">
        <is>
          <t>Annual</t>
        </is>
      </c>
      <c r="B346" s="2" t="inlineStr">
        <is>
          <t>ppe</t>
        </is>
      </c>
      <c r="C346" s="2" t="inlineStr">
        <is>
          <t>2019-11-03</t>
        </is>
      </c>
      <c r="D346" s="3" t="n">
        <v>2565000000</v>
      </c>
      <c r="E346" s="2" t="inlineStr">
        <is>
          <t>USD</t>
        </is>
      </c>
      <c r="F346" s="2" t="inlineStr">
        <is>
          <t>reported</t>
        </is>
      </c>
      <c r="G346" s="2" t="inlineStr"/>
      <c r="H346" s="2" t="inlineStr">
        <is>
          <t>https://www.sec.gov/Archives/edgar/data/1730168/000173016820000226/0001730168-20-000226-index.html</t>
        </is>
      </c>
      <c r="I346" s="2" t="inlineStr">
        <is>
          <t>{"tag": "us-gaap:PropertyPlantAndEquipmentNet", "form": "10-K", "accession": "0001730168-20-000226", "filed": "2020-12-18"}</t>
        </is>
      </c>
    </row>
    <row r="347" ht="42" customHeight="1">
      <c r="A347" s="2" t="inlineStr">
        <is>
          <t>Annual</t>
        </is>
      </c>
      <c r="B347" s="2" t="inlineStr">
        <is>
          <t>ppe</t>
        </is>
      </c>
      <c r="C347" s="2" t="inlineStr">
        <is>
          <t>2020-11-01</t>
        </is>
      </c>
      <c r="D347" s="3" t="n">
        <v>2509000000</v>
      </c>
      <c r="E347" s="2" t="inlineStr">
        <is>
          <t>USD</t>
        </is>
      </c>
      <c r="F347" s="2" t="inlineStr">
        <is>
          <t>reported</t>
        </is>
      </c>
      <c r="G347" s="2" t="inlineStr"/>
      <c r="H347" s="2" t="inlineStr">
        <is>
          <t>https://www.sec.gov/Archives/edgar/data/1730168/000173016821000153/0001730168-21-000153-index.html</t>
        </is>
      </c>
      <c r="I347" s="2" t="inlineStr">
        <is>
          <t>{"tag": "us-gaap:PropertyPlantAndEquipmentNet", "form": "10-K", "accession": "0001730168-21-000153", "filed": "2021-12-17"}</t>
        </is>
      </c>
    </row>
    <row r="348" ht="42" customHeight="1">
      <c r="A348" s="2" t="inlineStr">
        <is>
          <t>Annual</t>
        </is>
      </c>
      <c r="B348" s="2" t="inlineStr">
        <is>
          <t>ppe</t>
        </is>
      </c>
      <c r="C348" s="2" t="inlineStr">
        <is>
          <t>2021-10-31</t>
        </is>
      </c>
      <c r="D348" s="3" t="n">
        <v>2348000000</v>
      </c>
      <c r="E348" s="2" t="inlineStr">
        <is>
          <t>USD</t>
        </is>
      </c>
      <c r="F348" s="2" t="inlineStr">
        <is>
          <t>reported</t>
        </is>
      </c>
      <c r="G348" s="2" t="inlineStr"/>
      <c r="H348" s="2" t="inlineStr">
        <is>
          <t>https://www.sec.gov/Archives/edgar/data/1730168/000173016822000118/0001730168-22-000118-index.html</t>
        </is>
      </c>
      <c r="I348" s="2" t="inlineStr">
        <is>
          <t>{"tag": "us-gaap:PropertyPlantAndEquipmentNet", "form": "10-K", "accession": "0001730168-22-000118", "filed": "2022-12-16"}</t>
        </is>
      </c>
    </row>
    <row r="349" ht="42" customHeight="1">
      <c r="A349" s="2" t="inlineStr">
        <is>
          <t>Annual</t>
        </is>
      </c>
      <c r="B349" s="2" t="inlineStr">
        <is>
          <t>ppe</t>
        </is>
      </c>
      <c r="C349" s="2" t="inlineStr">
        <is>
          <t>2022-10-30</t>
        </is>
      </c>
      <c r="D349" s="3" t="n">
        <v>2223000000</v>
      </c>
      <c r="E349" s="2" t="inlineStr">
        <is>
          <t>USD</t>
        </is>
      </c>
      <c r="F349" s="2" t="inlineStr">
        <is>
          <t>reported</t>
        </is>
      </c>
      <c r="G349" s="2" t="inlineStr"/>
      <c r="H349" s="2" t="inlineStr">
        <is>
          <t>https://www.sec.gov/Archives/edgar/data/1730168/000173016823000096/0001730168-23-000096-index.html</t>
        </is>
      </c>
      <c r="I349" s="2" t="inlineStr">
        <is>
          <t>{"tag": "us-gaap:PropertyPlantAndEquipmentNet", "form": "10-K", "accession": "0001730168-23-000096", "filed": "2023-12-14"}</t>
        </is>
      </c>
    </row>
    <row r="350" ht="42" customHeight="1">
      <c r="A350" s="2" t="inlineStr">
        <is>
          <t>Annual</t>
        </is>
      </c>
      <c r="B350" s="2" t="inlineStr">
        <is>
          <t>ppe</t>
        </is>
      </c>
      <c r="C350" s="2" t="inlineStr">
        <is>
          <t>2023-10-29</t>
        </is>
      </c>
      <c r="D350" s="3" t="n">
        <v>2154000000</v>
      </c>
      <c r="E350" s="2" t="inlineStr">
        <is>
          <t>USD</t>
        </is>
      </c>
      <c r="F350" s="2" t="inlineStr">
        <is>
          <t>reported</t>
        </is>
      </c>
      <c r="G350" s="2" t="inlineStr"/>
      <c r="H350" s="2" t="inlineStr">
        <is>
          <t>https://www.sec.gov/Archives/edgar/data/1730168/000173016824000139/0001730168-24-000139-index.html</t>
        </is>
      </c>
      <c r="I350" s="2" t="inlineStr">
        <is>
          <t>{"tag": "us-gaap:PropertyPlantAndEquipmentNet", "form": "10-K", "accession": "0001730168-24-000139", "filed": "2024-12-20"}</t>
        </is>
      </c>
    </row>
    <row r="351" ht="42" customHeight="1">
      <c r="A351" s="2" t="inlineStr">
        <is>
          <t>Annual</t>
        </is>
      </c>
      <c r="B351" s="2" t="inlineStr">
        <is>
          <t>ppe</t>
        </is>
      </c>
      <c r="C351" s="2" t="inlineStr">
        <is>
          <t>2024-11-03</t>
        </is>
      </c>
      <c r="D351" s="3" t="n">
        <v>2521000000</v>
      </c>
      <c r="E351" s="2" t="inlineStr">
        <is>
          <t>USD</t>
        </is>
      </c>
      <c r="F351" s="2" t="inlineStr">
        <is>
          <t>reported</t>
        </is>
      </c>
      <c r="G351" s="2" t="inlineStr"/>
      <c r="H351" s="2" t="inlineStr">
        <is>
          <t>https://www.sec.gov/Archives/edgar/data/1730168/000173016825000121/0001730168-25-000121-index.html</t>
        </is>
      </c>
      <c r="I351" s="2" t="inlineStr">
        <is>
          <t>{"tag": "us-gaap:PropertyPlantAndEquipmentNet", "form": "10-K", "accession": "0001730168-25-000121", "filed": "2025-12-18"}</t>
        </is>
      </c>
    </row>
    <row r="352" ht="42" customHeight="1">
      <c r="A352" s="2" t="inlineStr">
        <is>
          <t>Annual</t>
        </is>
      </c>
      <c r="B352" s="2" t="inlineStr">
        <is>
          <t>ppe</t>
        </is>
      </c>
      <c r="C352" s="2" t="inlineStr">
        <is>
          <t>2025-11-02</t>
        </is>
      </c>
      <c r="D352" s="3" t="n">
        <v>2530000000</v>
      </c>
      <c r="E352" s="2" t="inlineStr">
        <is>
          <t>USD</t>
        </is>
      </c>
      <c r="F352" s="2" t="inlineStr">
        <is>
          <t>reported</t>
        </is>
      </c>
      <c r="G352" s="2" t="inlineStr"/>
      <c r="H352" s="2" t="inlineStr">
        <is>
          <t>https://www.sec.gov/Archives/edgar/data/1730168/000173016825000121/0001730168-25-000121-index.html</t>
        </is>
      </c>
      <c r="I352" s="2" t="inlineStr">
        <is>
          <t>{"tag": "us-gaap:PropertyPlantAndEquipmentNet", "form": "10-K", "accession": "0001730168-25-000121", "filed": "2025-12-18"}</t>
        </is>
      </c>
    </row>
    <row r="353" ht="42" customHeight="1">
      <c r="A353" s="2" t="inlineStr">
        <is>
          <t>Annual</t>
        </is>
      </c>
      <c r="B353" s="2" t="inlineStr">
        <is>
          <t>goodwill</t>
        </is>
      </c>
      <c r="C353" s="2" t="inlineStr">
        <is>
          <t>2016-10-30</t>
        </is>
      </c>
      <c r="D353" s="3" t="n">
        <v>24732000000</v>
      </c>
      <c r="E353" s="2" t="inlineStr">
        <is>
          <t>USD</t>
        </is>
      </c>
      <c r="F353" s="2" t="inlineStr">
        <is>
          <t>reported</t>
        </is>
      </c>
      <c r="G353" s="2" t="inlineStr"/>
      <c r="H353" s="2" t="inlineStr">
        <is>
          <t>https://www.sec.gov/Archives/edgar/data/1730168/000173016818000084/0001730168-18-000084-index.html</t>
        </is>
      </c>
      <c r="I353" s="2" t="inlineStr">
        <is>
          <t>{"tag": "us-gaap:Goodwill", "form": "10-K", "accession": "0001730168-18-000084", "filed": "2018-12-21"}</t>
        </is>
      </c>
    </row>
    <row r="354" ht="42" customHeight="1">
      <c r="A354" s="2" t="inlineStr">
        <is>
          <t>Annual</t>
        </is>
      </c>
      <c r="B354" s="2" t="inlineStr">
        <is>
          <t>goodwill</t>
        </is>
      </c>
      <c r="C354" s="2" t="inlineStr">
        <is>
          <t>2017-10-29</t>
        </is>
      </c>
      <c r="D354" s="3" t="n">
        <v>24706000000</v>
      </c>
      <c r="E354" s="2" t="inlineStr">
        <is>
          <t>USD</t>
        </is>
      </c>
      <c r="F354" s="2" t="inlineStr">
        <is>
          <t>reported</t>
        </is>
      </c>
      <c r="G354" s="2" t="inlineStr"/>
      <c r="H354" s="2" t="inlineStr">
        <is>
          <t>https://www.sec.gov/Archives/edgar/data/1730168/000173016819000144/0001730168-19-000144-index.html</t>
        </is>
      </c>
      <c r="I354" s="2" t="inlineStr">
        <is>
          <t>{"tag": "us-gaap:Goodwill", "form": "10-K", "accession": "0001730168-19-000144", "filed": "2019-12-20"}</t>
        </is>
      </c>
    </row>
    <row r="355" ht="42" customHeight="1">
      <c r="A355" s="2" t="inlineStr">
        <is>
          <t>Annual</t>
        </is>
      </c>
      <c r="B355" s="2" t="inlineStr">
        <is>
          <t>goodwill</t>
        </is>
      </c>
      <c r="C355" s="2" t="inlineStr">
        <is>
          <t>2018-11-04</t>
        </is>
      </c>
      <c r="D355" s="3" t="n">
        <v>26913000000</v>
      </c>
      <c r="E355" s="2" t="inlineStr">
        <is>
          <t>USD</t>
        </is>
      </c>
      <c r="F355" s="2" t="inlineStr">
        <is>
          <t>reported</t>
        </is>
      </c>
      <c r="G355" s="2" t="inlineStr"/>
      <c r="H355" s="2" t="inlineStr">
        <is>
          <t>https://www.sec.gov/Archives/edgar/data/1730168/000173016820000226/0001730168-20-000226-index.html</t>
        </is>
      </c>
      <c r="I355" s="2" t="inlineStr">
        <is>
          <t>{"tag": "us-gaap:Goodwill", "form": "10-K", "accession": "0001730168-20-000226", "filed": "2020-12-18"}</t>
        </is>
      </c>
    </row>
    <row r="356" ht="42" customHeight="1">
      <c r="A356" s="2" t="inlineStr">
        <is>
          <t>Annual</t>
        </is>
      </c>
      <c r="B356" s="2" t="inlineStr">
        <is>
          <t>goodwill</t>
        </is>
      </c>
      <c r="C356" s="2" t="inlineStr">
        <is>
          <t>2019-11-03</t>
        </is>
      </c>
      <c r="D356" s="3" t="n">
        <v>36714000000</v>
      </c>
      <c r="E356" s="2" t="inlineStr">
        <is>
          <t>USD</t>
        </is>
      </c>
      <c r="F356" s="2" t="inlineStr">
        <is>
          <t>reported</t>
        </is>
      </c>
      <c r="G356" s="2" t="inlineStr"/>
      <c r="H356" s="2" t="inlineStr">
        <is>
          <t>https://www.sec.gov/Archives/edgar/data/1730168/000173016821000153/0001730168-21-000153-index.html</t>
        </is>
      </c>
      <c r="I356" s="2" t="inlineStr">
        <is>
          <t>{"tag": "us-gaap:Goodwill", "form": "10-K", "accession": "0001730168-21-000153", "filed": "2021-12-17"}</t>
        </is>
      </c>
    </row>
    <row r="357" ht="42" customHeight="1">
      <c r="A357" s="2" t="inlineStr">
        <is>
          <t>Annual</t>
        </is>
      </c>
      <c r="B357" s="2" t="inlineStr">
        <is>
          <t>goodwill</t>
        </is>
      </c>
      <c r="C357" s="2" t="inlineStr">
        <is>
          <t>2020-11-01</t>
        </is>
      </c>
      <c r="D357" s="3" t="n">
        <v>43447000000</v>
      </c>
      <c r="E357" s="2" t="inlineStr">
        <is>
          <t>USD</t>
        </is>
      </c>
      <c r="F357" s="2" t="inlineStr">
        <is>
          <t>reported</t>
        </is>
      </c>
      <c r="G357" s="2" t="inlineStr"/>
      <c r="H357" s="2" t="inlineStr">
        <is>
          <t>https://www.sec.gov/Archives/edgar/data/1730168/000173016822000118/0001730168-22-000118-index.html</t>
        </is>
      </c>
      <c r="I357" s="2" t="inlineStr">
        <is>
          <t>{"tag": "us-gaap:Goodwill", "form": "10-K", "accession": "0001730168-22-000118", "filed": "2022-12-16"}</t>
        </is>
      </c>
    </row>
    <row r="358" ht="42" customHeight="1">
      <c r="A358" s="2" t="inlineStr">
        <is>
          <t>Annual</t>
        </is>
      </c>
      <c r="B358" s="2" t="inlineStr">
        <is>
          <t>goodwill</t>
        </is>
      </c>
      <c r="C358" s="2" t="inlineStr">
        <is>
          <t>2021-10-31</t>
        </is>
      </c>
      <c r="D358" s="3" t="n">
        <v>43450000000</v>
      </c>
      <c r="E358" s="2" t="inlineStr">
        <is>
          <t>USD</t>
        </is>
      </c>
      <c r="F358" s="2" t="inlineStr">
        <is>
          <t>reported</t>
        </is>
      </c>
      <c r="G358" s="2" t="inlineStr"/>
      <c r="H358" s="2" t="inlineStr">
        <is>
          <t>https://www.sec.gov/Archives/edgar/data/1730168/000173016823000096/0001730168-23-000096-index.html</t>
        </is>
      </c>
      <c r="I358" s="2" t="inlineStr">
        <is>
          <t>{"tag": "us-gaap:Goodwill", "form": "10-K", "accession": "0001730168-23-000096", "filed": "2023-12-14"}</t>
        </is>
      </c>
    </row>
    <row r="359" ht="42" customHeight="1">
      <c r="A359" s="2" t="inlineStr">
        <is>
          <t>Annual</t>
        </is>
      </c>
      <c r="B359" s="2" t="inlineStr">
        <is>
          <t>goodwill</t>
        </is>
      </c>
      <c r="C359" s="2" t="inlineStr">
        <is>
          <t>2022-10-30</t>
        </is>
      </c>
      <c r="D359" s="3" t="n">
        <v>43614000000</v>
      </c>
      <c r="E359" s="2" t="inlineStr">
        <is>
          <t>USD</t>
        </is>
      </c>
      <c r="F359" s="2" t="inlineStr">
        <is>
          <t>reported</t>
        </is>
      </c>
      <c r="G359" s="2" t="inlineStr"/>
      <c r="H359" s="2" t="inlineStr">
        <is>
          <t>https://www.sec.gov/Archives/edgar/data/1730168/000173016824000139/0001730168-24-000139-index.html</t>
        </is>
      </c>
      <c r="I359" s="2" t="inlineStr">
        <is>
          <t>{"tag": "us-gaap:Goodwill", "form": "10-K", "accession": "0001730168-24-000139", "filed": "2024-12-20"}</t>
        </is>
      </c>
    </row>
    <row r="360" ht="42" customHeight="1">
      <c r="A360" s="2" t="inlineStr">
        <is>
          <t>Annual</t>
        </is>
      </c>
      <c r="B360" s="2" t="inlineStr">
        <is>
          <t>goodwill</t>
        </is>
      </c>
      <c r="C360" s="2" t="inlineStr">
        <is>
          <t>2023-10-29</t>
        </is>
      </c>
      <c r="D360" s="3" t="n">
        <v>43653000000</v>
      </c>
      <c r="E360" s="2" t="inlineStr">
        <is>
          <t>USD</t>
        </is>
      </c>
      <c r="F360" s="2" t="inlineStr">
        <is>
          <t>reported</t>
        </is>
      </c>
      <c r="G360" s="2" t="inlineStr"/>
      <c r="H360" s="2" t="inlineStr">
        <is>
          <t>https://www.sec.gov/Archives/edgar/data/1730168/000173016825000121/0001730168-25-000121-index.html</t>
        </is>
      </c>
      <c r="I360" s="2" t="inlineStr">
        <is>
          <t>{"tag": "us-gaap:Goodwill", "form": "10-K", "accession": "0001730168-25-000121", "filed": "2025-12-18"}</t>
        </is>
      </c>
    </row>
    <row r="361" ht="42" customHeight="1">
      <c r="A361" s="2" t="inlineStr">
        <is>
          <t>Annual</t>
        </is>
      </c>
      <c r="B361" s="2" t="inlineStr">
        <is>
          <t>goodwill</t>
        </is>
      </c>
      <c r="C361" s="2" t="inlineStr">
        <is>
          <t>2024-11-03</t>
        </is>
      </c>
      <c r="D361" s="3" t="n">
        <v>97873000000</v>
      </c>
      <c r="E361" s="2" t="inlineStr">
        <is>
          <t>USD</t>
        </is>
      </c>
      <c r="F361" s="2" t="inlineStr">
        <is>
          <t>reported</t>
        </is>
      </c>
      <c r="G361" s="2" t="inlineStr"/>
      <c r="H361" s="2" t="inlineStr">
        <is>
          <t>https://www.sec.gov/Archives/edgar/data/1730168/000173016825000121/0001730168-25-000121-index.html</t>
        </is>
      </c>
      <c r="I361" s="2" t="inlineStr">
        <is>
          <t>{"tag": "us-gaap:Goodwill", "form": "10-K", "accession": "0001730168-25-000121", "filed": "2025-12-18"}</t>
        </is>
      </c>
    </row>
    <row r="362" ht="42" customHeight="1">
      <c r="A362" s="2" t="inlineStr">
        <is>
          <t>Annual</t>
        </is>
      </c>
      <c r="B362" s="2" t="inlineStr">
        <is>
          <t>goodwill</t>
        </is>
      </c>
      <c r="C362" s="2" t="inlineStr">
        <is>
          <t>2025-11-02</t>
        </is>
      </c>
      <c r="D362" s="3" t="n">
        <v>97801000000</v>
      </c>
      <c r="E362" s="2" t="inlineStr">
        <is>
          <t>USD</t>
        </is>
      </c>
      <c r="F362" s="2" t="inlineStr">
        <is>
          <t>reported</t>
        </is>
      </c>
      <c r="G362" s="2" t="inlineStr"/>
      <c r="H362" s="2" t="inlineStr">
        <is>
          <t>https://www.sec.gov/Archives/edgar/data/1730168/000173016825000121/0001730168-25-000121-index.html</t>
        </is>
      </c>
      <c r="I362" s="2" t="inlineStr">
        <is>
          <t>{"tag": "us-gaap:Goodwill", "form": "10-K", "accession": "0001730168-25-000121", "filed": "2025-12-18"}</t>
        </is>
      </c>
    </row>
    <row r="363" ht="42" customHeight="1">
      <c r="A363" s="2" t="inlineStr">
        <is>
          <t>Annual</t>
        </is>
      </c>
      <c r="B363" s="2" t="inlineStr">
        <is>
          <t>intangibles</t>
        </is>
      </c>
      <c r="C363" s="2" t="inlineStr">
        <is>
          <t>2016-10-30</t>
        </is>
      </c>
      <c r="D363" s="2" t="n"/>
      <c r="E363" s="2" t="inlineStr">
        <is>
          <t>USD</t>
        </is>
      </c>
      <c r="F363" s="2" t="inlineStr">
        <is>
          <t>not_available</t>
        </is>
      </c>
      <c r="G363" s="2" t="inlineStr"/>
      <c r="H363" s="2" t="inlineStr"/>
      <c r="I363" s="2" t="inlineStr">
        <is>
          <t>null</t>
        </is>
      </c>
    </row>
    <row r="364" ht="42" customHeight="1">
      <c r="A364" s="2" t="inlineStr">
        <is>
          <t>Annual</t>
        </is>
      </c>
      <c r="B364" s="2" t="inlineStr">
        <is>
          <t>intangibles</t>
        </is>
      </c>
      <c r="C364" s="2" t="inlineStr">
        <is>
          <t>2017-10-29</t>
        </is>
      </c>
      <c r="D364" s="3" t="n">
        <v>10832000000</v>
      </c>
      <c r="E364" s="2" t="inlineStr">
        <is>
          <t>USD</t>
        </is>
      </c>
      <c r="F364" s="2" t="inlineStr">
        <is>
          <t>reported</t>
        </is>
      </c>
      <c r="G364" s="2" t="inlineStr">
        <is>
          <t>tag_conflict</t>
        </is>
      </c>
      <c r="H364" s="2" t="inlineStr">
        <is>
          <t>https://www.sec.gov/Archives/edgar/data/1730168/000173016818000084/0001730168-18-000084-index.html</t>
        </is>
      </c>
      <c r="I364" s="2" t="inlineStr">
        <is>
          <t>{"tag": "us-gaap:IntangibleAssetsNetExcludingGoodwill", "form": "10-K", "accession": "0001730168-18-000084", "filed": "2018-12-21"}</t>
        </is>
      </c>
    </row>
    <row r="365" ht="42" customHeight="1">
      <c r="A365" s="2" t="inlineStr">
        <is>
          <t>Annual</t>
        </is>
      </c>
      <c r="B365" s="2" t="inlineStr">
        <is>
          <t>intangibles</t>
        </is>
      </c>
      <c r="C365" s="2" t="inlineStr">
        <is>
          <t>2018-11-04</t>
        </is>
      </c>
      <c r="D365" s="3" t="n">
        <v>10762000000</v>
      </c>
      <c r="E365" s="2" t="inlineStr">
        <is>
          <t>USD</t>
        </is>
      </c>
      <c r="F365" s="2" t="inlineStr">
        <is>
          <t>reported</t>
        </is>
      </c>
      <c r="G365" s="2" t="inlineStr">
        <is>
          <t>tag_conflict</t>
        </is>
      </c>
      <c r="H365" s="2" t="inlineStr">
        <is>
          <t>https://www.sec.gov/Archives/edgar/data/1730168/000173016819000144/0001730168-19-000144-index.html</t>
        </is>
      </c>
      <c r="I365" s="2" t="inlineStr">
        <is>
          <t>{"tag": "us-gaap:IntangibleAssetsNetExcludingGoodwill", "form": "10-K", "accession": "0001730168-19-000144", "filed": "2019-12-20"}</t>
        </is>
      </c>
    </row>
    <row r="366" ht="42" customHeight="1">
      <c r="A366" s="2" t="inlineStr">
        <is>
          <t>Annual</t>
        </is>
      </c>
      <c r="B366" s="2" t="inlineStr">
        <is>
          <t>intangibles</t>
        </is>
      </c>
      <c r="C366" s="2" t="inlineStr">
        <is>
          <t>2019-11-03</t>
        </is>
      </c>
      <c r="D366" s="3" t="n">
        <v>17554000000</v>
      </c>
      <c r="E366" s="2" t="inlineStr">
        <is>
          <t>USD</t>
        </is>
      </c>
      <c r="F366" s="2" t="inlineStr">
        <is>
          <t>reported</t>
        </is>
      </c>
      <c r="G366" s="2" t="inlineStr">
        <is>
          <t>tag_conflict</t>
        </is>
      </c>
      <c r="H366" s="2" t="inlineStr">
        <is>
          <t>https://www.sec.gov/Archives/edgar/data/1730168/000173016820000226/0001730168-20-000226-index.html</t>
        </is>
      </c>
      <c r="I366" s="2" t="inlineStr">
        <is>
          <t>{"tag": "us-gaap:IntangibleAssetsNetExcludingGoodwill", "form": "10-K", "accession": "0001730168-20-000226", "filed": "2020-12-18"}</t>
        </is>
      </c>
    </row>
    <row r="367" ht="42" customHeight="1">
      <c r="A367" s="2" t="inlineStr">
        <is>
          <t>Annual</t>
        </is>
      </c>
      <c r="B367" s="2" t="inlineStr">
        <is>
          <t>intangibles</t>
        </is>
      </c>
      <c r="C367" s="2" t="inlineStr">
        <is>
          <t>2020-11-01</t>
        </is>
      </c>
      <c r="D367" s="3" t="n">
        <v>16782000000</v>
      </c>
      <c r="E367" s="2" t="inlineStr">
        <is>
          <t>USD</t>
        </is>
      </c>
      <c r="F367" s="2" t="inlineStr">
        <is>
          <t>reported</t>
        </is>
      </c>
      <c r="G367" s="2" t="inlineStr"/>
      <c r="H367" s="2" t="inlineStr">
        <is>
          <t>https://www.sec.gov/Archives/edgar/data/1730168/000173016821000153/0001730168-21-000153-index.html</t>
        </is>
      </c>
      <c r="I367" s="2" t="inlineStr">
        <is>
          <t>{"tag": "us-gaap:IntangibleAssetsNetExcludingGoodwill", "form": "10-K", "accession": "0001730168-21-000153", "filed": "2021-12-17"}</t>
        </is>
      </c>
    </row>
    <row r="368" ht="42" customHeight="1">
      <c r="A368" s="2" t="inlineStr">
        <is>
          <t>Annual</t>
        </is>
      </c>
      <c r="B368" s="2" t="inlineStr">
        <is>
          <t>intangibles</t>
        </is>
      </c>
      <c r="C368" s="2" t="inlineStr">
        <is>
          <t>2021-10-31</t>
        </is>
      </c>
      <c r="D368" s="3" t="n">
        <v>11374000000</v>
      </c>
      <c r="E368" s="2" t="inlineStr">
        <is>
          <t>USD</t>
        </is>
      </c>
      <c r="F368" s="2" t="inlineStr">
        <is>
          <t>reported</t>
        </is>
      </c>
      <c r="G368" s="2" t="inlineStr"/>
      <c r="H368" s="2" t="inlineStr">
        <is>
          <t>https://www.sec.gov/Archives/edgar/data/1730168/000173016822000118/0001730168-22-000118-index.html</t>
        </is>
      </c>
      <c r="I368" s="2" t="inlineStr">
        <is>
          <t>{"tag": "us-gaap:IntangibleAssetsNetExcludingGoodwill", "form": "10-K", "accession": "0001730168-22-000118", "filed": "2022-12-16"}</t>
        </is>
      </c>
    </row>
    <row r="369" ht="42" customHeight="1">
      <c r="A369" s="2" t="inlineStr">
        <is>
          <t>Annual</t>
        </is>
      </c>
      <c r="B369" s="2" t="inlineStr">
        <is>
          <t>intangibles</t>
        </is>
      </c>
      <c r="C369" s="2" t="inlineStr">
        <is>
          <t>2022-10-30</t>
        </is>
      </c>
      <c r="D369" s="3" t="n">
        <v>7111000000</v>
      </c>
      <c r="E369" s="2" t="inlineStr">
        <is>
          <t>USD</t>
        </is>
      </c>
      <c r="F369" s="2" t="inlineStr">
        <is>
          <t>reported</t>
        </is>
      </c>
      <c r="G369" s="2" t="inlineStr"/>
      <c r="H369" s="2" t="inlineStr">
        <is>
          <t>https://www.sec.gov/Archives/edgar/data/1730168/000173016823000096/0001730168-23-000096-index.html</t>
        </is>
      </c>
      <c r="I369" s="2" t="inlineStr">
        <is>
          <t>{"tag": "us-gaap:IntangibleAssetsNetExcludingGoodwill", "form": "10-K", "accession": "0001730168-23-000096", "filed": "2023-12-14"}</t>
        </is>
      </c>
    </row>
    <row r="370" ht="42" customHeight="1">
      <c r="A370" s="2" t="inlineStr">
        <is>
          <t>Annual</t>
        </is>
      </c>
      <c r="B370" s="2" t="inlineStr">
        <is>
          <t>intangibles</t>
        </is>
      </c>
      <c r="C370" s="2" t="inlineStr">
        <is>
          <t>2023-10-29</t>
        </is>
      </c>
      <c r="D370" s="3" t="n">
        <v>3867000000</v>
      </c>
      <c r="E370" s="2" t="inlineStr">
        <is>
          <t>USD</t>
        </is>
      </c>
      <c r="F370" s="2" t="inlineStr">
        <is>
          <t>reported</t>
        </is>
      </c>
      <c r="G370" s="2" t="inlineStr"/>
      <c r="H370" s="2" t="inlineStr">
        <is>
          <t>https://www.sec.gov/Archives/edgar/data/1730168/000173016824000139/0001730168-24-000139-index.html</t>
        </is>
      </c>
      <c r="I370" s="2" t="inlineStr">
        <is>
          <t>{"tag": "us-gaap:IntangibleAssetsNetExcludingGoodwill", "form": "10-K", "accession": "0001730168-24-000139", "filed": "2024-12-20"}</t>
        </is>
      </c>
    </row>
    <row r="371" ht="42" customHeight="1">
      <c r="A371" s="2" t="inlineStr">
        <is>
          <t>Annual</t>
        </is>
      </c>
      <c r="B371" s="2" t="inlineStr">
        <is>
          <t>intangibles</t>
        </is>
      </c>
      <c r="C371" s="2" t="inlineStr">
        <is>
          <t>2024-11-03</t>
        </is>
      </c>
      <c r="D371" s="3" t="n">
        <v>40583000000</v>
      </c>
      <c r="E371" s="2" t="inlineStr">
        <is>
          <t>USD</t>
        </is>
      </c>
      <c r="F371" s="2" t="inlineStr">
        <is>
          <t>reported</t>
        </is>
      </c>
      <c r="G371" s="2" t="inlineStr">
        <is>
          <t>tag_conflict</t>
        </is>
      </c>
      <c r="H371" s="2" t="inlineStr">
        <is>
          <t>https://www.sec.gov/Archives/edgar/data/1730168/000173016825000121/0001730168-25-000121-index.html</t>
        </is>
      </c>
      <c r="I371" s="2" t="inlineStr">
        <is>
          <t>{"tag": "us-gaap:IntangibleAssetsNetExcludingGoodwill", "form": "10-K", "accession": "0001730168-25-000121", "filed": "2025-12-18"}</t>
        </is>
      </c>
    </row>
    <row r="372" ht="42" customHeight="1">
      <c r="A372" s="2" t="inlineStr">
        <is>
          <t>Annual</t>
        </is>
      </c>
      <c r="B372" s="2" t="inlineStr">
        <is>
          <t>intangibles</t>
        </is>
      </c>
      <c r="C372" s="2" t="inlineStr">
        <is>
          <t>2025-11-02</t>
        </is>
      </c>
      <c r="D372" s="3" t="n">
        <v>32273000000</v>
      </c>
      <c r="E372" s="2" t="inlineStr">
        <is>
          <t>USD</t>
        </is>
      </c>
      <c r="F372" s="2" t="inlineStr">
        <is>
          <t>reported</t>
        </is>
      </c>
      <c r="G372" s="2" t="inlineStr">
        <is>
          <t>tag_conflict</t>
        </is>
      </c>
      <c r="H372" s="2" t="inlineStr">
        <is>
          <t>https://www.sec.gov/Archives/edgar/data/1730168/000173016825000121/0001730168-25-000121-index.html</t>
        </is>
      </c>
      <c r="I372" s="2" t="inlineStr">
        <is>
          <t>{"tag": "us-gaap:IntangibleAssetsNetExcludingGoodwill", "form": "10-K", "accession": "0001730168-25-000121", "filed": "2025-12-18"}</t>
        </is>
      </c>
    </row>
    <row r="373" ht="42" customHeight="1">
      <c r="A373" s="2" t="inlineStr">
        <is>
          <t>Annual</t>
        </is>
      </c>
      <c r="B373" s="2" t="inlineStr">
        <is>
          <t>total_assets</t>
        </is>
      </c>
      <c r="C373" s="2" t="inlineStr">
        <is>
          <t>2016-10-30</t>
        </is>
      </c>
      <c r="D373" s="2" t="n"/>
      <c r="E373" s="2" t="inlineStr">
        <is>
          <t>USD</t>
        </is>
      </c>
      <c r="F373" s="2" t="inlineStr">
        <is>
          <t>not_available</t>
        </is>
      </c>
      <c r="G373" s="2" t="inlineStr"/>
      <c r="H373" s="2" t="inlineStr"/>
      <c r="I373" s="2" t="inlineStr">
        <is>
          <t>null</t>
        </is>
      </c>
    </row>
    <row r="374" ht="42" customHeight="1">
      <c r="A374" s="2" t="inlineStr">
        <is>
          <t>Annual</t>
        </is>
      </c>
      <c r="B374" s="2" t="inlineStr">
        <is>
          <t>total_assets</t>
        </is>
      </c>
      <c r="C374" s="2" t="inlineStr">
        <is>
          <t>2017-10-29</t>
        </is>
      </c>
      <c r="D374" s="3" t="n">
        <v>54418000000</v>
      </c>
      <c r="E374" s="2" t="inlineStr">
        <is>
          <t>USD</t>
        </is>
      </c>
      <c r="F374" s="2" t="inlineStr">
        <is>
          <t>reported</t>
        </is>
      </c>
      <c r="G374" s="2" t="inlineStr"/>
      <c r="H374" s="2" t="inlineStr">
        <is>
          <t>https://www.sec.gov/Archives/edgar/data/1730168/000173016818000084/0001730168-18-000084-index.html</t>
        </is>
      </c>
      <c r="I374" s="2" t="inlineStr">
        <is>
          <t>{"tag": "us-gaap:Assets", "form": "10-K", "accession": "0001730168-18-000084", "filed": "2018-12-21"}</t>
        </is>
      </c>
    </row>
    <row r="375" ht="42" customHeight="1">
      <c r="A375" s="2" t="inlineStr">
        <is>
          <t>Annual</t>
        </is>
      </c>
      <c r="B375" s="2" t="inlineStr">
        <is>
          <t>total_assets</t>
        </is>
      </c>
      <c r="C375" s="2" t="inlineStr">
        <is>
          <t>2018-11-04</t>
        </is>
      </c>
      <c r="D375" s="3" t="n">
        <v>50124000000</v>
      </c>
      <c r="E375" s="2" t="inlineStr">
        <is>
          <t>USD</t>
        </is>
      </c>
      <c r="F375" s="2" t="inlineStr">
        <is>
          <t>reported</t>
        </is>
      </c>
      <c r="G375" s="2" t="inlineStr"/>
      <c r="H375" s="2" t="inlineStr">
        <is>
          <t>https://www.sec.gov/Archives/edgar/data/1730168/000173016819000144/0001730168-19-000144-index.html</t>
        </is>
      </c>
      <c r="I375" s="2" t="inlineStr">
        <is>
          <t>{"tag": "us-gaap:Assets", "form": "10-K", "accession": "0001730168-19-000144", "filed": "2019-12-20"}</t>
        </is>
      </c>
    </row>
    <row r="376" ht="42" customHeight="1">
      <c r="A376" s="2" t="inlineStr">
        <is>
          <t>Annual</t>
        </is>
      </c>
      <c r="B376" s="2" t="inlineStr">
        <is>
          <t>total_assets</t>
        </is>
      </c>
      <c r="C376" s="2" t="inlineStr">
        <is>
          <t>2019-11-03</t>
        </is>
      </c>
      <c r="D376" s="3" t="n">
        <v>67493000000</v>
      </c>
      <c r="E376" s="2" t="inlineStr">
        <is>
          <t>USD</t>
        </is>
      </c>
      <c r="F376" s="2" t="inlineStr">
        <is>
          <t>reported</t>
        </is>
      </c>
      <c r="G376" s="2" t="inlineStr"/>
      <c r="H376" s="2" t="inlineStr">
        <is>
          <t>https://www.sec.gov/Archives/edgar/data/1730168/000173016820000226/0001730168-20-000226-index.html</t>
        </is>
      </c>
      <c r="I376" s="2" t="inlineStr">
        <is>
          <t>{"tag": "us-gaap:Assets", "form": "10-K", "accession": "0001730168-20-000226", "filed": "2020-12-18"}</t>
        </is>
      </c>
    </row>
    <row r="377" ht="42" customHeight="1">
      <c r="A377" s="2" t="inlineStr">
        <is>
          <t>Annual</t>
        </is>
      </c>
      <c r="B377" s="2" t="inlineStr">
        <is>
          <t>total_assets</t>
        </is>
      </c>
      <c r="C377" s="2" t="inlineStr">
        <is>
          <t>2020-11-01</t>
        </is>
      </c>
      <c r="D377" s="3" t="n">
        <v>75933000000</v>
      </c>
      <c r="E377" s="2" t="inlineStr">
        <is>
          <t>USD</t>
        </is>
      </c>
      <c r="F377" s="2" t="inlineStr">
        <is>
          <t>reported</t>
        </is>
      </c>
      <c r="G377" s="2" t="inlineStr"/>
      <c r="H377" s="2" t="inlineStr">
        <is>
          <t>https://www.sec.gov/Archives/edgar/data/1730168/000173016821000153/0001730168-21-000153-index.html</t>
        </is>
      </c>
      <c r="I377" s="2" t="inlineStr">
        <is>
          <t>{"tag": "us-gaap:Assets", "form": "10-K", "accession": "0001730168-21-000153", "filed": "2021-12-17"}</t>
        </is>
      </c>
    </row>
    <row r="378" ht="42" customHeight="1">
      <c r="A378" s="2" t="inlineStr">
        <is>
          <t>Annual</t>
        </is>
      </c>
      <c r="B378" s="2" t="inlineStr">
        <is>
          <t>total_assets</t>
        </is>
      </c>
      <c r="C378" s="2" t="inlineStr">
        <is>
          <t>2021-10-31</t>
        </is>
      </c>
      <c r="D378" s="3" t="n">
        <v>75570000000</v>
      </c>
      <c r="E378" s="2" t="inlineStr">
        <is>
          <t>USD</t>
        </is>
      </c>
      <c r="F378" s="2" t="inlineStr">
        <is>
          <t>reported</t>
        </is>
      </c>
      <c r="G378" s="2" t="inlineStr"/>
      <c r="H378" s="2" t="inlineStr">
        <is>
          <t>https://www.sec.gov/Archives/edgar/data/1730168/000173016822000118/0001730168-22-000118-index.html</t>
        </is>
      </c>
      <c r="I378" s="2" t="inlineStr">
        <is>
          <t>{"tag": "us-gaap:Assets", "form": "10-K", "accession": "0001730168-22-000118", "filed": "2022-12-16"}</t>
        </is>
      </c>
    </row>
    <row r="379" ht="42" customHeight="1">
      <c r="A379" s="2" t="inlineStr">
        <is>
          <t>Annual</t>
        </is>
      </c>
      <c r="B379" s="2" t="inlineStr">
        <is>
          <t>total_assets</t>
        </is>
      </c>
      <c r="C379" s="2" t="inlineStr">
        <is>
          <t>2022-10-30</t>
        </is>
      </c>
      <c r="D379" s="3" t="n">
        <v>73249000000</v>
      </c>
      <c r="E379" s="2" t="inlineStr">
        <is>
          <t>USD</t>
        </is>
      </c>
      <c r="F379" s="2" t="inlineStr">
        <is>
          <t>reported</t>
        </is>
      </c>
      <c r="G379" s="2" t="inlineStr"/>
      <c r="H379" s="2" t="inlineStr">
        <is>
          <t>https://www.sec.gov/Archives/edgar/data/1730168/000173016823000096/0001730168-23-000096-index.html</t>
        </is>
      </c>
      <c r="I379" s="2" t="inlineStr">
        <is>
          <t>{"tag": "us-gaap:Assets", "form": "10-K", "accession": "0001730168-23-000096", "filed": "2023-12-14"}</t>
        </is>
      </c>
    </row>
    <row r="380" ht="42" customHeight="1">
      <c r="A380" s="2" t="inlineStr">
        <is>
          <t>Annual</t>
        </is>
      </c>
      <c r="B380" s="2" t="inlineStr">
        <is>
          <t>total_assets</t>
        </is>
      </c>
      <c r="C380" s="2" t="inlineStr">
        <is>
          <t>2023-10-29</t>
        </is>
      </c>
      <c r="D380" s="3" t="n">
        <v>72861000000</v>
      </c>
      <c r="E380" s="2" t="inlineStr">
        <is>
          <t>USD</t>
        </is>
      </c>
      <c r="F380" s="2" t="inlineStr">
        <is>
          <t>reported</t>
        </is>
      </c>
      <c r="G380" s="2" t="inlineStr"/>
      <c r="H380" s="2" t="inlineStr">
        <is>
          <t>https://www.sec.gov/Archives/edgar/data/1730168/000173016824000139/0001730168-24-000139-index.html</t>
        </is>
      </c>
      <c r="I380" s="2" t="inlineStr">
        <is>
          <t>{"tag": "us-gaap:Assets", "form": "10-K", "accession": "0001730168-24-000139", "filed": "2024-12-20"}</t>
        </is>
      </c>
    </row>
    <row r="381" ht="42" customHeight="1">
      <c r="A381" s="2" t="inlineStr">
        <is>
          <t>Annual</t>
        </is>
      </c>
      <c r="B381" s="2" t="inlineStr">
        <is>
          <t>total_assets</t>
        </is>
      </c>
      <c r="C381" s="2" t="inlineStr">
        <is>
          <t>2024-11-03</t>
        </is>
      </c>
      <c r="D381" s="3" t="n">
        <v>165645000000</v>
      </c>
      <c r="E381" s="2" t="inlineStr">
        <is>
          <t>USD</t>
        </is>
      </c>
      <c r="F381" s="2" t="inlineStr">
        <is>
          <t>reported</t>
        </is>
      </c>
      <c r="G381" s="2" t="inlineStr"/>
      <c r="H381" s="2" t="inlineStr">
        <is>
          <t>https://www.sec.gov/Archives/edgar/data/1730168/000173016825000121/0001730168-25-000121-index.html</t>
        </is>
      </c>
      <c r="I381" s="2" t="inlineStr">
        <is>
          <t>{"tag": "us-gaap:Assets", "form": "10-K", "accession": "0001730168-25-000121", "filed": "2025-12-18"}</t>
        </is>
      </c>
    </row>
    <row r="382" ht="42" customHeight="1">
      <c r="A382" s="2" t="inlineStr">
        <is>
          <t>Annual</t>
        </is>
      </c>
      <c r="B382" s="2" t="inlineStr">
        <is>
          <t>total_assets</t>
        </is>
      </c>
      <c r="C382" s="2" t="inlineStr">
        <is>
          <t>2025-11-02</t>
        </is>
      </c>
      <c r="D382" s="3" t="n">
        <v>171092000000</v>
      </c>
      <c r="E382" s="2" t="inlineStr">
        <is>
          <t>USD</t>
        </is>
      </c>
      <c r="F382" s="2" t="inlineStr">
        <is>
          <t>reported</t>
        </is>
      </c>
      <c r="G382" s="2" t="inlineStr"/>
      <c r="H382" s="2" t="inlineStr">
        <is>
          <t>https://www.sec.gov/Archives/edgar/data/1730168/000173016825000121/0001730168-25-000121-index.html</t>
        </is>
      </c>
      <c r="I382" s="2" t="inlineStr">
        <is>
          <t>{"tag": "us-gaap:Assets", "form": "10-K", "accession": "0001730168-25-000121", "filed": "2025-12-18"}</t>
        </is>
      </c>
    </row>
    <row r="383" ht="42" customHeight="1">
      <c r="A383" s="2" t="inlineStr">
        <is>
          <t>Annual</t>
        </is>
      </c>
      <c r="B383" s="2" t="inlineStr">
        <is>
          <t>payables</t>
        </is>
      </c>
      <c r="C383" s="2" t="inlineStr">
        <is>
          <t>2016-10-30</t>
        </is>
      </c>
      <c r="D383" s="2" t="n"/>
      <c r="E383" s="2" t="inlineStr">
        <is>
          <t>USD</t>
        </is>
      </c>
      <c r="F383" s="2" t="inlineStr">
        <is>
          <t>not_available</t>
        </is>
      </c>
      <c r="G383" s="2" t="inlineStr"/>
      <c r="H383" s="2" t="inlineStr"/>
      <c r="I383" s="2" t="inlineStr">
        <is>
          <t>null</t>
        </is>
      </c>
    </row>
    <row r="384" ht="42" customHeight="1">
      <c r="A384" s="2" t="inlineStr">
        <is>
          <t>Annual</t>
        </is>
      </c>
      <c r="B384" s="2" t="inlineStr">
        <is>
          <t>payables</t>
        </is>
      </c>
      <c r="C384" s="2" t="inlineStr">
        <is>
          <t>2017-10-29</t>
        </is>
      </c>
      <c r="D384" s="3" t="n">
        <v>1105000000</v>
      </c>
      <c r="E384" s="2" t="inlineStr">
        <is>
          <t>USD</t>
        </is>
      </c>
      <c r="F384" s="2" t="inlineStr">
        <is>
          <t>reported</t>
        </is>
      </c>
      <c r="G384" s="2" t="inlineStr"/>
      <c r="H384" s="2" t="inlineStr">
        <is>
          <t>https://www.sec.gov/Archives/edgar/data/1730168/000173016818000084/0001730168-18-000084-index.html</t>
        </is>
      </c>
      <c r="I384" s="2" t="inlineStr">
        <is>
          <t>{"tag": "us-gaap:AccountsPayableCurrent", "form": "10-K", "accession": "0001730168-18-000084", "filed": "2018-12-21"}</t>
        </is>
      </c>
    </row>
    <row r="385" ht="42" customHeight="1">
      <c r="A385" s="2" t="inlineStr">
        <is>
          <t>Annual</t>
        </is>
      </c>
      <c r="B385" s="2" t="inlineStr">
        <is>
          <t>payables</t>
        </is>
      </c>
      <c r="C385" s="2" t="inlineStr">
        <is>
          <t>2018-11-04</t>
        </is>
      </c>
      <c r="D385" s="3" t="n">
        <v>811000000</v>
      </c>
      <c r="E385" s="2" t="inlineStr">
        <is>
          <t>USD</t>
        </is>
      </c>
      <c r="F385" s="2" t="inlineStr">
        <is>
          <t>reported</t>
        </is>
      </c>
      <c r="G385" s="2" t="inlineStr"/>
      <c r="H385" s="2" t="inlineStr">
        <is>
          <t>https://www.sec.gov/Archives/edgar/data/1730168/000173016819000144/0001730168-19-000144-index.html</t>
        </is>
      </c>
      <c r="I385" s="2" t="inlineStr">
        <is>
          <t>{"tag": "us-gaap:AccountsPayableCurrent", "form": "10-K", "accession": "0001730168-19-000144", "filed": "2019-12-20"}</t>
        </is>
      </c>
    </row>
    <row r="386" ht="42" customHeight="1">
      <c r="A386" s="2" t="inlineStr">
        <is>
          <t>Annual</t>
        </is>
      </c>
      <c r="B386" s="2" t="inlineStr">
        <is>
          <t>payables</t>
        </is>
      </c>
      <c r="C386" s="2" t="inlineStr">
        <is>
          <t>2019-11-03</t>
        </is>
      </c>
      <c r="D386" s="3" t="n">
        <v>855000000</v>
      </c>
      <c r="E386" s="2" t="inlineStr">
        <is>
          <t>USD</t>
        </is>
      </c>
      <c r="F386" s="2" t="inlineStr">
        <is>
          <t>reported</t>
        </is>
      </c>
      <c r="G386" s="2" t="inlineStr"/>
      <c r="H386" s="2" t="inlineStr">
        <is>
          <t>https://www.sec.gov/Archives/edgar/data/1730168/000173016820000226/0001730168-20-000226-index.html</t>
        </is>
      </c>
      <c r="I386" s="2" t="inlineStr">
        <is>
          <t>{"tag": "us-gaap:AccountsPayableCurrent", "form": "10-K", "accession": "0001730168-20-000226", "filed": "2020-12-18"}</t>
        </is>
      </c>
    </row>
    <row r="387" ht="42" customHeight="1">
      <c r="A387" s="2" t="inlineStr">
        <is>
          <t>Annual</t>
        </is>
      </c>
      <c r="B387" s="2" t="inlineStr">
        <is>
          <t>payables</t>
        </is>
      </c>
      <c r="C387" s="2" t="inlineStr">
        <is>
          <t>2020-11-01</t>
        </is>
      </c>
      <c r="D387" s="3" t="n">
        <v>836000000</v>
      </c>
      <c r="E387" s="2" t="inlineStr">
        <is>
          <t>USD</t>
        </is>
      </c>
      <c r="F387" s="2" t="inlineStr">
        <is>
          <t>reported</t>
        </is>
      </c>
      <c r="G387" s="2" t="inlineStr"/>
      <c r="H387" s="2" t="inlineStr">
        <is>
          <t>https://www.sec.gov/Archives/edgar/data/1730168/000173016821000153/0001730168-21-000153-index.html</t>
        </is>
      </c>
      <c r="I387" s="2" t="inlineStr">
        <is>
          <t>{"tag": "us-gaap:AccountsPayableCurrent", "form": "10-K", "accession": "0001730168-21-000153", "filed": "2021-12-17"}</t>
        </is>
      </c>
    </row>
    <row r="388" ht="42" customHeight="1">
      <c r="A388" s="2" t="inlineStr">
        <is>
          <t>Annual</t>
        </is>
      </c>
      <c r="B388" s="2" t="inlineStr">
        <is>
          <t>payables</t>
        </is>
      </c>
      <c r="C388" s="2" t="inlineStr">
        <is>
          <t>2021-10-31</t>
        </is>
      </c>
      <c r="D388" s="3" t="n">
        <v>1086000000</v>
      </c>
      <c r="E388" s="2" t="inlineStr">
        <is>
          <t>USD</t>
        </is>
      </c>
      <c r="F388" s="2" t="inlineStr">
        <is>
          <t>reported</t>
        </is>
      </c>
      <c r="G388" s="2" t="inlineStr"/>
      <c r="H388" s="2" t="inlineStr">
        <is>
          <t>https://www.sec.gov/Archives/edgar/data/1730168/000173016822000118/0001730168-22-000118-index.html</t>
        </is>
      </c>
      <c r="I388" s="2" t="inlineStr">
        <is>
          <t>{"tag": "us-gaap:AccountsPayableCurrent", "form": "10-K", "accession": "0001730168-22-000118", "filed": "2022-12-16"}</t>
        </is>
      </c>
    </row>
    <row r="389" ht="42" customHeight="1">
      <c r="A389" s="2" t="inlineStr">
        <is>
          <t>Annual</t>
        </is>
      </c>
      <c r="B389" s="2" t="inlineStr">
        <is>
          <t>payables</t>
        </is>
      </c>
      <c r="C389" s="2" t="inlineStr">
        <is>
          <t>2022-10-30</t>
        </is>
      </c>
      <c r="D389" s="3" t="n">
        <v>998000000</v>
      </c>
      <c r="E389" s="2" t="inlineStr">
        <is>
          <t>USD</t>
        </is>
      </c>
      <c r="F389" s="2" t="inlineStr">
        <is>
          <t>reported</t>
        </is>
      </c>
      <c r="G389" s="2" t="inlineStr"/>
      <c r="H389" s="2" t="inlineStr">
        <is>
          <t>https://www.sec.gov/Archives/edgar/data/1730168/000173016823000096/0001730168-23-000096-index.html</t>
        </is>
      </c>
      <c r="I389" s="2" t="inlineStr">
        <is>
          <t>{"tag": "us-gaap:AccountsPayableCurrent", "form": "10-K", "accession": "0001730168-23-000096", "filed": "2023-12-14"}</t>
        </is>
      </c>
    </row>
    <row r="390" ht="42" customHeight="1">
      <c r="A390" s="2" t="inlineStr">
        <is>
          <t>Annual</t>
        </is>
      </c>
      <c r="B390" s="2" t="inlineStr">
        <is>
          <t>payables</t>
        </is>
      </c>
      <c r="C390" s="2" t="inlineStr">
        <is>
          <t>2023-10-29</t>
        </is>
      </c>
      <c r="D390" s="3" t="n">
        <v>1210000000</v>
      </c>
      <c r="E390" s="2" t="inlineStr">
        <is>
          <t>USD</t>
        </is>
      </c>
      <c r="F390" s="2" t="inlineStr">
        <is>
          <t>reported</t>
        </is>
      </c>
      <c r="G390" s="2" t="inlineStr"/>
      <c r="H390" s="2" t="inlineStr">
        <is>
          <t>https://www.sec.gov/Archives/edgar/data/1730168/000173016824000139/0001730168-24-000139-index.html</t>
        </is>
      </c>
      <c r="I390" s="2" t="inlineStr">
        <is>
          <t>{"tag": "us-gaap:AccountsPayableCurrent", "form": "10-K", "accession": "0001730168-24-000139", "filed": "2024-12-20"}</t>
        </is>
      </c>
    </row>
    <row r="391" ht="42" customHeight="1">
      <c r="A391" s="2" t="inlineStr">
        <is>
          <t>Annual</t>
        </is>
      </c>
      <c r="B391" s="2" t="inlineStr">
        <is>
          <t>payables</t>
        </is>
      </c>
      <c r="C391" s="2" t="inlineStr">
        <is>
          <t>2024-11-03</t>
        </is>
      </c>
      <c r="D391" s="3" t="n">
        <v>1662000000</v>
      </c>
      <c r="E391" s="2" t="inlineStr">
        <is>
          <t>USD</t>
        </is>
      </c>
      <c r="F391" s="2" t="inlineStr">
        <is>
          <t>reported</t>
        </is>
      </c>
      <c r="G391" s="2" t="inlineStr"/>
      <c r="H391" s="2" t="inlineStr">
        <is>
          <t>https://www.sec.gov/Archives/edgar/data/1730168/000173016825000121/0001730168-25-000121-index.html</t>
        </is>
      </c>
      <c r="I391" s="2" t="inlineStr">
        <is>
          <t>{"tag": "us-gaap:AccountsPayableCurrent", "form": "10-K", "accession": "0001730168-25-000121", "filed": "2025-12-18"}</t>
        </is>
      </c>
    </row>
    <row r="392" ht="42" customHeight="1">
      <c r="A392" s="2" t="inlineStr">
        <is>
          <t>Annual</t>
        </is>
      </c>
      <c r="B392" s="2" t="inlineStr">
        <is>
          <t>payables</t>
        </is>
      </c>
      <c r="C392" s="2" t="inlineStr">
        <is>
          <t>2025-11-02</t>
        </is>
      </c>
      <c r="D392" s="3" t="n">
        <v>1560000000</v>
      </c>
      <c r="E392" s="2" t="inlineStr">
        <is>
          <t>USD</t>
        </is>
      </c>
      <c r="F392" s="2" t="inlineStr">
        <is>
          <t>reported</t>
        </is>
      </c>
      <c r="G392" s="2" t="inlineStr"/>
      <c r="H392" s="2" t="inlineStr">
        <is>
          <t>https://www.sec.gov/Archives/edgar/data/1730168/000173016825000121/0001730168-25-000121-index.html</t>
        </is>
      </c>
      <c r="I392" s="2" t="inlineStr">
        <is>
          <t>{"tag": "us-gaap:AccountsPayableCurrent", "form": "10-K", "accession": "0001730168-25-000121", "filed": "2025-12-18"}</t>
        </is>
      </c>
    </row>
    <row r="393" ht="42" customHeight="1">
      <c r="A393" s="2" t="inlineStr">
        <is>
          <t>Annual</t>
        </is>
      </c>
      <c r="B393" s="2" t="inlineStr">
        <is>
          <t>current_liabilities</t>
        </is>
      </c>
      <c r="C393" s="2" t="inlineStr">
        <is>
          <t>2016-10-30</t>
        </is>
      </c>
      <c r="D393" s="2" t="n"/>
      <c r="E393" s="2" t="inlineStr">
        <is>
          <t>USD</t>
        </is>
      </c>
      <c r="F393" s="2" t="inlineStr">
        <is>
          <t>not_available</t>
        </is>
      </c>
      <c r="G393" s="2" t="inlineStr"/>
      <c r="H393" s="2" t="inlineStr"/>
      <c r="I393" s="2" t="inlineStr">
        <is>
          <t>null</t>
        </is>
      </c>
    </row>
    <row r="394" ht="42" customHeight="1">
      <c r="A394" s="2" t="inlineStr">
        <is>
          <t>Annual</t>
        </is>
      </c>
      <c r="B394" s="2" t="inlineStr">
        <is>
          <t>current_liabilities</t>
        </is>
      </c>
      <c r="C394" s="2" t="inlineStr">
        <is>
          <t>2017-10-29</t>
        </is>
      </c>
      <c r="D394" s="3" t="n">
        <v>2529000000</v>
      </c>
      <c r="E394" s="2" t="inlineStr">
        <is>
          <t>USD</t>
        </is>
      </c>
      <c r="F394" s="2" t="inlineStr">
        <is>
          <t>reported</t>
        </is>
      </c>
      <c r="G394" s="2" t="inlineStr"/>
      <c r="H394" s="2" t="inlineStr">
        <is>
          <t>https://www.sec.gov/Archives/edgar/data/1730168/000173016818000084/0001730168-18-000084-index.html</t>
        </is>
      </c>
      <c r="I394" s="2" t="inlineStr">
        <is>
          <t>{"tag": "us-gaap:LiabilitiesCurrent", "form": "10-K", "accession": "0001730168-18-000084", "filed": "2018-12-21"}</t>
        </is>
      </c>
    </row>
    <row r="395" ht="42" customHeight="1">
      <c r="A395" s="2" t="inlineStr">
        <is>
          <t>Annual</t>
        </is>
      </c>
      <c r="B395" s="2" t="inlineStr">
        <is>
          <t>current_liabilities</t>
        </is>
      </c>
      <c r="C395" s="2" t="inlineStr">
        <is>
          <t>2018-11-04</t>
        </is>
      </c>
      <c r="D395" s="3" t="n">
        <v>2338000000</v>
      </c>
      <c r="E395" s="2" t="inlineStr">
        <is>
          <t>USD</t>
        </is>
      </c>
      <c r="F395" s="2" t="inlineStr">
        <is>
          <t>reported</t>
        </is>
      </c>
      <c r="G395" s="2" t="inlineStr"/>
      <c r="H395" s="2" t="inlineStr">
        <is>
          <t>https://www.sec.gov/Archives/edgar/data/1730168/000173016819000144/0001730168-19-000144-index.html</t>
        </is>
      </c>
      <c r="I395" s="2" t="inlineStr">
        <is>
          <t>{"tag": "us-gaap:LiabilitiesCurrent", "form": "10-K", "accession": "0001730168-19-000144", "filed": "2019-12-20"}</t>
        </is>
      </c>
    </row>
    <row r="396" ht="42" customHeight="1">
      <c r="A396" s="2" t="inlineStr">
        <is>
          <t>Annual</t>
        </is>
      </c>
      <c r="B396" s="2" t="inlineStr">
        <is>
          <t>current_liabilities</t>
        </is>
      </c>
      <c r="C396" s="2" t="inlineStr">
        <is>
          <t>2019-11-03</t>
        </is>
      </c>
      <c r="D396" s="3" t="n">
        <v>6899000000</v>
      </c>
      <c r="E396" s="2" t="inlineStr">
        <is>
          <t>USD</t>
        </is>
      </c>
      <c r="F396" s="2" t="inlineStr">
        <is>
          <t>reported</t>
        </is>
      </c>
      <c r="G396" s="2" t="inlineStr"/>
      <c r="H396" s="2" t="inlineStr">
        <is>
          <t>https://www.sec.gov/Archives/edgar/data/1730168/000173016820000226/0001730168-20-000226-index.html</t>
        </is>
      </c>
      <c r="I396" s="2" t="inlineStr">
        <is>
          <t>{"tag": "us-gaap:LiabilitiesCurrent", "form": "10-K", "accession": "0001730168-20-000226", "filed": "2020-12-18"}</t>
        </is>
      </c>
    </row>
    <row r="397" ht="42" customHeight="1">
      <c r="A397" s="2" t="inlineStr">
        <is>
          <t>Annual</t>
        </is>
      </c>
      <c r="B397" s="2" t="inlineStr">
        <is>
          <t>current_liabilities</t>
        </is>
      </c>
      <c r="C397" s="2" t="inlineStr">
        <is>
          <t>2020-11-01</t>
        </is>
      </c>
      <c r="D397" s="3" t="n">
        <v>6371000000</v>
      </c>
      <c r="E397" s="2" t="inlineStr">
        <is>
          <t>USD</t>
        </is>
      </c>
      <c r="F397" s="2" t="inlineStr">
        <is>
          <t>reported</t>
        </is>
      </c>
      <c r="G397" s="2" t="inlineStr"/>
      <c r="H397" s="2" t="inlineStr">
        <is>
          <t>https://www.sec.gov/Archives/edgar/data/1730168/000173016821000153/0001730168-21-000153-index.html</t>
        </is>
      </c>
      <c r="I397" s="2" t="inlineStr">
        <is>
          <t>{"tag": "us-gaap:LiabilitiesCurrent", "form": "10-K", "accession": "0001730168-21-000153", "filed": "2021-12-17"}</t>
        </is>
      </c>
    </row>
    <row r="398" ht="42" customHeight="1">
      <c r="A398" s="2" t="inlineStr">
        <is>
          <t>Annual</t>
        </is>
      </c>
      <c r="B398" s="2" t="inlineStr">
        <is>
          <t>current_liabilities</t>
        </is>
      </c>
      <c r="C398" s="2" t="inlineStr">
        <is>
          <t>2021-10-31</t>
        </is>
      </c>
      <c r="D398" s="3" t="n">
        <v>6281000000</v>
      </c>
      <c r="E398" s="2" t="inlineStr">
        <is>
          <t>USD</t>
        </is>
      </c>
      <c r="F398" s="2" t="inlineStr">
        <is>
          <t>reported</t>
        </is>
      </c>
      <c r="G398" s="2" t="inlineStr"/>
      <c r="H398" s="2" t="inlineStr">
        <is>
          <t>https://www.sec.gov/Archives/edgar/data/1730168/000173016822000118/0001730168-22-000118-index.html</t>
        </is>
      </c>
      <c r="I398" s="2" t="inlineStr">
        <is>
          <t>{"tag": "us-gaap:LiabilitiesCurrent", "form": "10-K", "accession": "0001730168-22-000118", "filed": "2022-12-16"}</t>
        </is>
      </c>
    </row>
    <row r="399" ht="42" customHeight="1">
      <c r="A399" s="2" t="inlineStr">
        <is>
          <t>Annual</t>
        </is>
      </c>
      <c r="B399" s="2" t="inlineStr">
        <is>
          <t>current_liabilities</t>
        </is>
      </c>
      <c r="C399" s="2" t="inlineStr">
        <is>
          <t>2022-10-30</t>
        </is>
      </c>
      <c r="D399" s="3" t="n">
        <v>7052000000</v>
      </c>
      <c r="E399" s="2" t="inlineStr">
        <is>
          <t>USD</t>
        </is>
      </c>
      <c r="F399" s="2" t="inlineStr">
        <is>
          <t>reported</t>
        </is>
      </c>
      <c r="G399" s="2" t="inlineStr"/>
      <c r="H399" s="2" t="inlineStr">
        <is>
          <t>https://www.sec.gov/Archives/edgar/data/1730168/000173016823000096/0001730168-23-000096-index.html</t>
        </is>
      </c>
      <c r="I399" s="2" t="inlineStr">
        <is>
          <t>{"tag": "us-gaap:LiabilitiesCurrent", "form": "10-K", "accession": "0001730168-23-000096", "filed": "2023-12-14"}</t>
        </is>
      </c>
    </row>
    <row r="400" ht="42" customHeight="1">
      <c r="A400" s="2" t="inlineStr">
        <is>
          <t>Annual</t>
        </is>
      </c>
      <c r="B400" s="2" t="inlineStr">
        <is>
          <t>current_liabilities</t>
        </is>
      </c>
      <c r="C400" s="2" t="inlineStr">
        <is>
          <t>2023-10-29</t>
        </is>
      </c>
      <c r="D400" s="3" t="n">
        <v>7405000000</v>
      </c>
      <c r="E400" s="2" t="inlineStr">
        <is>
          <t>USD</t>
        </is>
      </c>
      <c r="F400" s="2" t="inlineStr">
        <is>
          <t>reported</t>
        </is>
      </c>
      <c r="G400" s="2" t="inlineStr"/>
      <c r="H400" s="2" t="inlineStr">
        <is>
          <t>https://www.sec.gov/Archives/edgar/data/1730168/000173016824000139/0001730168-24-000139-index.html</t>
        </is>
      </c>
      <c r="I400" s="2" t="inlineStr">
        <is>
          <t>{"tag": "us-gaap:LiabilitiesCurrent", "form": "10-K", "accession": "0001730168-24-000139", "filed": "2024-12-20"}</t>
        </is>
      </c>
    </row>
    <row r="401" ht="42" customHeight="1">
      <c r="A401" s="2" t="inlineStr">
        <is>
          <t>Annual</t>
        </is>
      </c>
      <c r="B401" s="2" t="inlineStr">
        <is>
          <t>current_liabilities</t>
        </is>
      </c>
      <c r="C401" s="2" t="inlineStr">
        <is>
          <t>2024-11-03</t>
        </is>
      </c>
      <c r="D401" s="3" t="n">
        <v>16697000000</v>
      </c>
      <c r="E401" s="2" t="inlineStr">
        <is>
          <t>USD</t>
        </is>
      </c>
      <c r="F401" s="2" t="inlineStr">
        <is>
          <t>reported</t>
        </is>
      </c>
      <c r="G401" s="2" t="inlineStr"/>
      <c r="H401" s="2" t="inlineStr">
        <is>
          <t>https://www.sec.gov/Archives/edgar/data/1730168/000173016825000121/0001730168-25-000121-index.html</t>
        </is>
      </c>
      <c r="I401" s="2" t="inlineStr">
        <is>
          <t>{"tag": "us-gaap:LiabilitiesCurrent", "form": "10-K", "accession": "0001730168-25-000121", "filed": "2025-12-18"}</t>
        </is>
      </c>
    </row>
    <row r="402" ht="42" customHeight="1">
      <c r="A402" s="2" t="inlineStr">
        <is>
          <t>Annual</t>
        </is>
      </c>
      <c r="B402" s="2" t="inlineStr">
        <is>
          <t>current_liabilities</t>
        </is>
      </c>
      <c r="C402" s="2" t="inlineStr">
        <is>
          <t>2025-11-02</t>
        </is>
      </c>
      <c r="D402" s="3" t="n">
        <v>18514000000</v>
      </c>
      <c r="E402" s="2" t="inlineStr">
        <is>
          <t>USD</t>
        </is>
      </c>
      <c r="F402" s="2" t="inlineStr">
        <is>
          <t>reported</t>
        </is>
      </c>
      <c r="G402" s="2" t="inlineStr"/>
      <c r="H402" s="2" t="inlineStr">
        <is>
          <t>https://www.sec.gov/Archives/edgar/data/1730168/000173016825000121/0001730168-25-000121-index.html</t>
        </is>
      </c>
      <c r="I402" s="2" t="inlineStr">
        <is>
          <t>{"tag": "us-gaap:LiabilitiesCurrent", "form": "10-K", "accession": "0001730168-25-000121", "filed": "2025-12-18"}</t>
        </is>
      </c>
    </row>
    <row r="403" ht="42" customHeight="1">
      <c r="A403" s="2" t="inlineStr">
        <is>
          <t>Annual</t>
        </is>
      </c>
      <c r="B403" s="2" t="inlineStr">
        <is>
          <t>short_term_debt</t>
        </is>
      </c>
      <c r="C403" s="2" t="inlineStr">
        <is>
          <t>2016-10-30</t>
        </is>
      </c>
      <c r="D403" s="2" t="n"/>
      <c r="E403" s="2" t="inlineStr">
        <is>
          <t>USD</t>
        </is>
      </c>
      <c r="F403" s="2" t="inlineStr">
        <is>
          <t>not_available</t>
        </is>
      </c>
      <c r="G403" s="2" t="inlineStr"/>
      <c r="H403" s="2" t="inlineStr"/>
      <c r="I403" s="2" t="inlineStr">
        <is>
          <t>null</t>
        </is>
      </c>
    </row>
    <row r="404" ht="42" customHeight="1">
      <c r="A404" s="2" t="inlineStr">
        <is>
          <t>Annual</t>
        </is>
      </c>
      <c r="B404" s="2" t="inlineStr">
        <is>
          <t>short_term_debt</t>
        </is>
      </c>
      <c r="C404" s="2" t="inlineStr">
        <is>
          <t>2017-10-29</t>
        </is>
      </c>
      <c r="D404" s="3" t="n">
        <v>117000000</v>
      </c>
      <c r="E404" s="2" t="inlineStr">
        <is>
          <t>USD</t>
        </is>
      </c>
      <c r="F404" s="2" t="inlineStr">
        <is>
          <t>reported</t>
        </is>
      </c>
      <c r="G404" s="2" t="inlineStr"/>
      <c r="H404" s="2" t="inlineStr">
        <is>
          <t>https://www.sec.gov/Archives/edgar/data/1730168/000173016818000084/0001730168-18-000084-index.html</t>
        </is>
      </c>
      <c r="I404" s="2" t="inlineStr">
        <is>
          <t>{"tag": "us-gaap:LongTermDebtCurrent", "form": "10-K", "accession": "0001730168-18-000084", "filed": "2018-12-21"}</t>
        </is>
      </c>
    </row>
    <row r="405" ht="42" customHeight="1">
      <c r="A405" s="2" t="inlineStr">
        <is>
          <t>Annual</t>
        </is>
      </c>
      <c r="B405" s="2" t="inlineStr">
        <is>
          <t>short_term_debt</t>
        </is>
      </c>
      <c r="C405" s="2" t="inlineStr">
        <is>
          <t>2018-11-04</t>
        </is>
      </c>
      <c r="D405" s="3" t="n">
        <v>0</v>
      </c>
      <c r="E405" s="2" t="inlineStr">
        <is>
          <t>USD</t>
        </is>
      </c>
      <c r="F405" s="2" t="inlineStr">
        <is>
          <t>reported</t>
        </is>
      </c>
      <c r="G405" s="2" t="inlineStr"/>
      <c r="H405" s="2" t="inlineStr">
        <is>
          <t>https://www.sec.gov/Archives/edgar/data/1730168/000173016819000144/0001730168-19-000144-index.html</t>
        </is>
      </c>
      <c r="I405" s="2" t="inlineStr">
        <is>
          <t>{"tag": "us-gaap:LongTermDebtCurrent", "form": "10-K", "accession": "0001730168-19-000144", "filed": "2019-12-20"}</t>
        </is>
      </c>
    </row>
    <row r="406" ht="42" customHeight="1">
      <c r="A406" s="2" t="inlineStr">
        <is>
          <t>Annual</t>
        </is>
      </c>
      <c r="B406" s="2" t="inlineStr">
        <is>
          <t>short_term_debt</t>
        </is>
      </c>
      <c r="C406" s="2" t="inlineStr">
        <is>
          <t>2019-11-03</t>
        </is>
      </c>
      <c r="D406" s="3" t="n">
        <v>2787000000</v>
      </c>
      <c r="E406" s="2" t="inlineStr">
        <is>
          <t>USD</t>
        </is>
      </c>
      <c r="F406" s="2" t="inlineStr">
        <is>
          <t>reported</t>
        </is>
      </c>
      <c r="G406" s="2" t="inlineStr"/>
      <c r="H406" s="2" t="inlineStr">
        <is>
          <t>https://www.sec.gov/Archives/edgar/data/1730168/000173016820000226/0001730168-20-000226-index.html</t>
        </is>
      </c>
      <c r="I406" s="2" t="inlineStr">
        <is>
          <t>{"tag": "us-gaap:LongTermDebtCurrent", "form": "10-K", "accession": "0001730168-20-000226", "filed": "2020-12-18"}</t>
        </is>
      </c>
    </row>
    <row r="407" ht="42" customHeight="1">
      <c r="A407" s="2" t="inlineStr">
        <is>
          <t>Annual</t>
        </is>
      </c>
      <c r="B407" s="2" t="inlineStr">
        <is>
          <t>short_term_debt</t>
        </is>
      </c>
      <c r="C407" s="2" t="inlineStr">
        <is>
          <t>2020-11-01</t>
        </is>
      </c>
      <c r="D407" s="3" t="n">
        <v>827000000</v>
      </c>
      <c r="E407" s="2" t="inlineStr">
        <is>
          <t>USD</t>
        </is>
      </c>
      <c r="F407" s="2" t="inlineStr">
        <is>
          <t>reported</t>
        </is>
      </c>
      <c r="G407" s="2" t="inlineStr"/>
      <c r="H407" s="2" t="inlineStr">
        <is>
          <t>https://www.sec.gov/Archives/edgar/data/1730168/000173016821000153/0001730168-21-000153-index.html</t>
        </is>
      </c>
      <c r="I407" s="2" t="inlineStr">
        <is>
          <t>{"tag": "us-gaap:LongTermDebtCurrent", "form": "10-K", "accession": "0001730168-21-000153", "filed": "2021-12-17"}</t>
        </is>
      </c>
    </row>
    <row r="408" ht="42" customHeight="1">
      <c r="A408" s="2" t="inlineStr">
        <is>
          <t>Annual</t>
        </is>
      </c>
      <c r="B408" s="2" t="inlineStr">
        <is>
          <t>short_term_debt</t>
        </is>
      </c>
      <c r="C408" s="2" t="inlineStr">
        <is>
          <t>2021-10-31</t>
        </is>
      </c>
      <c r="D408" s="3" t="n">
        <v>264000000</v>
      </c>
      <c r="E408" s="2" t="inlineStr">
        <is>
          <t>USD</t>
        </is>
      </c>
      <c r="F408" s="2" t="inlineStr">
        <is>
          <t>reported</t>
        </is>
      </c>
      <c r="G408" s="2" t="inlineStr">
        <is>
          <t>restated</t>
        </is>
      </c>
      <c r="H408" s="2" t="inlineStr">
        <is>
          <t>https://www.sec.gov/Archives/edgar/data/1730168/000173016822000118/0001730168-22-000118-index.html</t>
        </is>
      </c>
      <c r="I408" s="2" t="inlineStr">
        <is>
          <t>{"tag": "us-gaap:LongTermDebtCurrent", "form": "10-K", "accession": "0001730168-22-000118", "filed": "2022-12-16"}</t>
        </is>
      </c>
    </row>
    <row r="409" ht="42" customHeight="1">
      <c r="A409" s="2" t="inlineStr">
        <is>
          <t>Annual</t>
        </is>
      </c>
      <c r="B409" s="2" t="inlineStr">
        <is>
          <t>short_term_debt</t>
        </is>
      </c>
      <c r="C409" s="2" t="inlineStr">
        <is>
          <t>2022-10-30</t>
        </is>
      </c>
      <c r="D409" s="3" t="n">
        <v>403000000</v>
      </c>
      <c r="E409" s="2" t="inlineStr">
        <is>
          <t>USD</t>
        </is>
      </c>
      <c r="F409" s="2" t="inlineStr">
        <is>
          <t>reported</t>
        </is>
      </c>
      <c r="G409" s="2" t="inlineStr"/>
      <c r="H409" s="2" t="inlineStr">
        <is>
          <t>https://www.sec.gov/Archives/edgar/data/1730168/000173016823000096/0001730168-23-000096-index.html</t>
        </is>
      </c>
      <c r="I409" s="2" t="inlineStr">
        <is>
          <t>{"tag": "us-gaap:LongTermDebtCurrent", "form": "10-K", "accession": "0001730168-23-000096", "filed": "2023-12-14"}</t>
        </is>
      </c>
    </row>
    <row r="410" ht="42" customHeight="1">
      <c r="A410" s="2" t="inlineStr">
        <is>
          <t>Annual</t>
        </is>
      </c>
      <c r="B410" s="2" t="inlineStr">
        <is>
          <t>short_term_debt</t>
        </is>
      </c>
      <c r="C410" s="2" t="inlineStr">
        <is>
          <t>2023-10-29</t>
        </is>
      </c>
      <c r="D410" s="3" t="n">
        <v>1563000000</v>
      </c>
      <c r="E410" s="2" t="inlineStr">
        <is>
          <t>USD</t>
        </is>
      </c>
      <c r="F410" s="2" t="inlineStr">
        <is>
          <t>reported</t>
        </is>
      </c>
      <c r="G410" s="2" t="inlineStr"/>
      <c r="H410" s="2" t="inlineStr">
        <is>
          <t>https://www.sec.gov/Archives/edgar/data/1730168/000173016824000139/0001730168-24-000139-index.html</t>
        </is>
      </c>
      <c r="I410" s="2" t="inlineStr">
        <is>
          <t>{"tag": "us-gaap:LongTermDebtCurrent", "form": "10-K", "accession": "0001730168-24-000139", "filed": "2024-12-20"}</t>
        </is>
      </c>
    </row>
    <row r="411" ht="42" customHeight="1">
      <c r="A411" s="2" t="inlineStr">
        <is>
          <t>Annual</t>
        </is>
      </c>
      <c r="B411" s="2" t="inlineStr">
        <is>
          <t>short_term_debt</t>
        </is>
      </c>
      <c r="C411" s="2" t="inlineStr">
        <is>
          <t>2024-11-03</t>
        </is>
      </c>
      <c r="D411" s="3" t="n">
        <v>1245000000</v>
      </c>
      <c r="E411" s="2" t="inlineStr">
        <is>
          <t>USD</t>
        </is>
      </c>
      <c r="F411" s="2" t="inlineStr">
        <is>
          <t>reported</t>
        </is>
      </c>
      <c r="G411" s="2" t="inlineStr"/>
      <c r="H411" s="2" t="inlineStr">
        <is>
          <t>https://www.sec.gov/Archives/edgar/data/1730168/000173016825000121/0001730168-25-000121-index.html</t>
        </is>
      </c>
      <c r="I411" s="2" t="inlineStr">
        <is>
          <t>{"tag": "us-gaap:LongTermDebtCurrent", "form": "10-K", "accession": "0001730168-25-000121", "filed": "2025-12-18"}</t>
        </is>
      </c>
    </row>
    <row r="412" ht="42" customHeight="1">
      <c r="A412" s="2" t="inlineStr">
        <is>
          <t>Annual</t>
        </is>
      </c>
      <c r="B412" s="2" t="inlineStr">
        <is>
          <t>short_term_debt</t>
        </is>
      </c>
      <c r="C412" s="2" t="inlineStr">
        <is>
          <t>2025-11-02</t>
        </is>
      </c>
      <c r="D412" s="3" t="n">
        <v>3152000000</v>
      </c>
      <c r="E412" s="2" t="inlineStr">
        <is>
          <t>USD</t>
        </is>
      </c>
      <c r="F412" s="2" t="inlineStr">
        <is>
          <t>reported</t>
        </is>
      </c>
      <c r="G412" s="2" t="inlineStr"/>
      <c r="H412" s="2" t="inlineStr">
        <is>
          <t>https://www.sec.gov/Archives/edgar/data/1730168/000173016825000121/0001730168-25-000121-index.html</t>
        </is>
      </c>
      <c r="I412" s="2" t="inlineStr">
        <is>
          <t>{"tag": "us-gaap:LongTermDebtCurrent", "form": "10-K", "accession": "0001730168-25-000121", "filed": "2025-12-18"}</t>
        </is>
      </c>
    </row>
    <row r="413" ht="42" customHeight="1">
      <c r="A413" s="2" t="inlineStr">
        <is>
          <t>Annual</t>
        </is>
      </c>
      <c r="B413" s="2" t="inlineStr">
        <is>
          <t>long_term_debt</t>
        </is>
      </c>
      <c r="C413" s="2" t="inlineStr">
        <is>
          <t>2016-10-30</t>
        </is>
      </c>
      <c r="D413" s="2" t="n"/>
      <c r="E413" s="2" t="inlineStr">
        <is>
          <t>USD</t>
        </is>
      </c>
      <c r="F413" s="2" t="inlineStr">
        <is>
          <t>not_available</t>
        </is>
      </c>
      <c r="G413" s="2" t="inlineStr"/>
      <c r="H413" s="2" t="inlineStr"/>
      <c r="I413" s="2" t="inlineStr">
        <is>
          <t>null</t>
        </is>
      </c>
    </row>
    <row r="414" ht="42" customHeight="1">
      <c r="A414" s="2" t="inlineStr">
        <is>
          <t>Annual</t>
        </is>
      </c>
      <c r="B414" s="2" t="inlineStr">
        <is>
          <t>long_term_debt</t>
        </is>
      </c>
      <c r="C414" s="2" t="inlineStr">
        <is>
          <t>2017-10-29</t>
        </is>
      </c>
      <c r="D414" s="3" t="n">
        <v>17431000000</v>
      </c>
      <c r="E414" s="2" t="inlineStr">
        <is>
          <t>USD</t>
        </is>
      </c>
      <c r="F414" s="2" t="inlineStr">
        <is>
          <t>reported</t>
        </is>
      </c>
      <c r="G414" s="2" t="inlineStr">
        <is>
          <t>tag_conflict</t>
        </is>
      </c>
      <c r="H414" s="2" t="inlineStr">
        <is>
          <t>https://www.sec.gov/Archives/edgar/data/1730168/000173016818000084/0001730168-18-000084-index.html</t>
        </is>
      </c>
      <c r="I414" s="2" t="inlineStr">
        <is>
          <t>{"tag": "us-gaap:LongTermDebtNoncurrent", "form": "10-K", "accession": "0001730168-18-000084", "filed": "2018-12-21"}</t>
        </is>
      </c>
    </row>
    <row r="415" ht="42" customHeight="1">
      <c r="A415" s="2" t="inlineStr">
        <is>
          <t>Annual</t>
        </is>
      </c>
      <c r="B415" s="2" t="inlineStr">
        <is>
          <t>long_term_debt</t>
        </is>
      </c>
      <c r="C415" s="2" t="inlineStr">
        <is>
          <t>2018-11-04</t>
        </is>
      </c>
      <c r="D415" s="3" t="n">
        <v>17493000000</v>
      </c>
      <c r="E415" s="2" t="inlineStr">
        <is>
          <t>USD</t>
        </is>
      </c>
      <c r="F415" s="2" t="inlineStr">
        <is>
          <t>reported</t>
        </is>
      </c>
      <c r="G415" s="2" t="inlineStr"/>
      <c r="H415" s="2" t="inlineStr">
        <is>
          <t>https://www.sec.gov/Archives/edgar/data/1730168/000173016819000144/0001730168-19-000144-index.html</t>
        </is>
      </c>
      <c r="I415" s="2" t="inlineStr">
        <is>
          <t>{"tag": "us-gaap:LongTermDebtNoncurrent", "form": "10-K", "accession": "0001730168-19-000144", "filed": "2019-12-20"}</t>
        </is>
      </c>
    </row>
    <row r="416" ht="42" customHeight="1">
      <c r="A416" s="2" t="inlineStr">
        <is>
          <t>Annual</t>
        </is>
      </c>
      <c r="B416" s="2" t="inlineStr">
        <is>
          <t>long_term_debt</t>
        </is>
      </c>
      <c r="C416" s="2" t="inlineStr">
        <is>
          <t>2019-11-03</t>
        </is>
      </c>
      <c r="D416" s="3" t="n">
        <v>30011000000</v>
      </c>
      <c r="E416" s="2" t="inlineStr">
        <is>
          <t>USD</t>
        </is>
      </c>
      <c r="F416" s="2" t="inlineStr">
        <is>
          <t>reported</t>
        </is>
      </c>
      <c r="G416" s="2" t="inlineStr">
        <is>
          <t>tag_conflict</t>
        </is>
      </c>
      <c r="H416" s="2" t="inlineStr">
        <is>
          <t>https://www.sec.gov/Archives/edgar/data/1730168/000173016820000226/0001730168-20-000226-index.html</t>
        </is>
      </c>
      <c r="I416" s="2" t="inlineStr">
        <is>
          <t>{"tag": "us-gaap:LongTermDebtNoncurrent", "form": "10-K", "accession": "0001730168-20-000226", "filed": "2020-12-18"}</t>
        </is>
      </c>
    </row>
    <row r="417" ht="42" customHeight="1">
      <c r="A417" s="2" t="inlineStr">
        <is>
          <t>Annual</t>
        </is>
      </c>
      <c r="B417" s="2" t="inlineStr">
        <is>
          <t>long_term_debt</t>
        </is>
      </c>
      <c r="C417" s="2" t="inlineStr">
        <is>
          <t>2020-11-01</t>
        </is>
      </c>
      <c r="D417" s="3" t="n">
        <v>40235000000</v>
      </c>
      <c r="E417" s="2" t="inlineStr">
        <is>
          <t>USD</t>
        </is>
      </c>
      <c r="F417" s="2" t="inlineStr">
        <is>
          <t>reported</t>
        </is>
      </c>
      <c r="G417" s="2" t="inlineStr">
        <is>
          <t>tag_conflict</t>
        </is>
      </c>
      <c r="H417" s="2" t="inlineStr">
        <is>
          <t>https://www.sec.gov/Archives/edgar/data/1730168/000173016821000153/0001730168-21-000153-index.html</t>
        </is>
      </c>
      <c r="I417" s="2" t="inlineStr">
        <is>
          <t>{"tag": "us-gaap:LongTermDebtNoncurrent", "form": "10-K", "accession": "0001730168-21-000153", "filed": "2021-12-17"}</t>
        </is>
      </c>
    </row>
    <row r="418" ht="42" customHeight="1">
      <c r="A418" s="2" t="inlineStr">
        <is>
          <t>Annual</t>
        </is>
      </c>
      <c r="B418" s="2" t="inlineStr">
        <is>
          <t>long_term_debt</t>
        </is>
      </c>
      <c r="C418" s="2" t="inlineStr">
        <is>
          <t>2021-10-31</t>
        </is>
      </c>
      <c r="D418" s="3" t="n">
        <v>39440000000</v>
      </c>
      <c r="E418" s="2" t="inlineStr">
        <is>
          <t>USD</t>
        </is>
      </c>
      <c r="F418" s="2" t="inlineStr">
        <is>
          <t>reported</t>
        </is>
      </c>
      <c r="G418" s="2" t="inlineStr"/>
      <c r="H418" s="2" t="inlineStr">
        <is>
          <t>https://www.sec.gov/Archives/edgar/data/1730168/000173016821000153/0001730168-21-000153-index.html</t>
        </is>
      </c>
      <c r="I418" s="2" t="inlineStr">
        <is>
          <t>{"tag": "us-gaap:LongTermDebtNoncurrent", "form": "10-K", "accession": "0001730168-21-000153", "filed": "2021-12-17"}</t>
        </is>
      </c>
    </row>
    <row r="419" ht="42" customHeight="1">
      <c r="A419" s="2" t="inlineStr">
        <is>
          <t>Annual</t>
        </is>
      </c>
      <c r="B419" s="2" t="inlineStr">
        <is>
          <t>long_term_debt</t>
        </is>
      </c>
      <c r="C419" s="2" t="inlineStr">
        <is>
          <t>2022-10-30</t>
        </is>
      </c>
      <c r="D419" s="3" t="n">
        <v>39075000000</v>
      </c>
      <c r="E419" s="2" t="inlineStr">
        <is>
          <t>USD</t>
        </is>
      </c>
      <c r="F419" s="2" t="inlineStr">
        <is>
          <t>reported</t>
        </is>
      </c>
      <c r="G419" s="2" t="inlineStr"/>
      <c r="H419" s="2" t="inlineStr">
        <is>
          <t>https://www.sec.gov/Archives/edgar/data/1730168/000173016823000096/0001730168-23-000096-index.html</t>
        </is>
      </c>
      <c r="I419" s="2" t="inlineStr">
        <is>
          <t>{"tag": "us-gaap:LongTermDebtAndCapitalLeaseObligations", "form": "10-K", "accession": "0001730168-23-000096", "filed": "2023-12-14"}</t>
        </is>
      </c>
    </row>
    <row r="420" ht="42" customHeight="1">
      <c r="A420" s="2" t="inlineStr">
        <is>
          <t>Annual</t>
        </is>
      </c>
      <c r="B420" s="2" t="inlineStr">
        <is>
          <t>long_term_debt</t>
        </is>
      </c>
      <c r="C420" s="2" t="inlineStr">
        <is>
          <t>2023-10-29</t>
        </is>
      </c>
      <c r="D420" s="3" t="n">
        <v>37621000000</v>
      </c>
      <c r="E420" s="2" t="inlineStr">
        <is>
          <t>USD</t>
        </is>
      </c>
      <c r="F420" s="2" t="inlineStr">
        <is>
          <t>reported</t>
        </is>
      </c>
      <c r="G420" s="2" t="inlineStr"/>
      <c r="H420" s="2" t="inlineStr">
        <is>
          <t>https://www.sec.gov/Archives/edgar/data/1730168/000173016824000139/0001730168-24-000139-index.html</t>
        </is>
      </c>
      <c r="I420" s="2" t="inlineStr">
        <is>
          <t>{"tag": "us-gaap:LongTermDebtAndCapitalLeaseObligations", "form": "10-K", "accession": "0001730168-24-000139", "filed": "2024-12-20"}</t>
        </is>
      </c>
    </row>
    <row r="421" ht="42" customHeight="1">
      <c r="A421" s="2" t="inlineStr">
        <is>
          <t>Annual</t>
        </is>
      </c>
      <c r="B421" s="2" t="inlineStr">
        <is>
          <t>long_term_debt</t>
        </is>
      </c>
      <c r="C421" s="2" t="inlineStr">
        <is>
          <t>2024-11-03</t>
        </is>
      </c>
      <c r="D421" s="3" t="n">
        <v>66295000000</v>
      </c>
      <c r="E421" s="2" t="inlineStr">
        <is>
          <t>USD</t>
        </is>
      </c>
      <c r="F421" s="2" t="inlineStr">
        <is>
          <t>reported</t>
        </is>
      </c>
      <c r="G421" s="2" t="inlineStr"/>
      <c r="H421" s="2" t="inlineStr">
        <is>
          <t>https://www.sec.gov/Archives/edgar/data/1730168/000173016825000121/0001730168-25-000121-index.html</t>
        </is>
      </c>
      <c r="I421" s="2" t="inlineStr">
        <is>
          <t>{"tag": "us-gaap:LongTermDebtAndCapitalLeaseObligations", "form": "10-K", "accession": "0001730168-25-000121", "filed": "2025-12-18"}</t>
        </is>
      </c>
    </row>
    <row r="422" ht="42" customHeight="1">
      <c r="A422" s="2" t="inlineStr">
        <is>
          <t>Annual</t>
        </is>
      </c>
      <c r="B422" s="2" t="inlineStr">
        <is>
          <t>long_term_debt</t>
        </is>
      </c>
      <c r="C422" s="2" t="inlineStr">
        <is>
          <t>2025-11-02</t>
        </is>
      </c>
      <c r="D422" s="3" t="n">
        <v>61984000000</v>
      </c>
      <c r="E422" s="2" t="inlineStr">
        <is>
          <t>USD</t>
        </is>
      </c>
      <c r="F422" s="2" t="inlineStr">
        <is>
          <t>reported</t>
        </is>
      </c>
      <c r="G422" s="2" t="inlineStr"/>
      <c r="H422" s="2" t="inlineStr">
        <is>
          <t>https://www.sec.gov/Archives/edgar/data/1730168/000173016825000121/0001730168-25-000121-index.html</t>
        </is>
      </c>
      <c r="I422" s="2" t="inlineStr">
        <is>
          <t>{"tag": "us-gaap:LongTermDebtAndCapitalLeaseObligations", "form": "10-K", "accession": "0001730168-25-000121", "filed": "2025-12-18"}</t>
        </is>
      </c>
    </row>
    <row r="423" ht="42" customHeight="1">
      <c r="A423" s="2" t="inlineStr">
        <is>
          <t>Annual</t>
        </is>
      </c>
      <c r="B423" s="2" t="inlineStr">
        <is>
          <t>convertible_debt</t>
        </is>
      </c>
      <c r="C423" s="2" t="inlineStr">
        <is>
          <t>2016-10-30</t>
        </is>
      </c>
      <c r="D423" s="2" t="n"/>
      <c r="E423" s="2" t="inlineStr">
        <is>
          <t>USD</t>
        </is>
      </c>
      <c r="F423" s="2" t="inlineStr">
        <is>
          <t>not_available</t>
        </is>
      </c>
      <c r="G423" s="2" t="inlineStr"/>
      <c r="H423" s="2" t="inlineStr"/>
      <c r="I423" s="2" t="inlineStr">
        <is>
          <t>null</t>
        </is>
      </c>
    </row>
    <row r="424" ht="42" customHeight="1">
      <c r="A424" s="2" t="inlineStr">
        <is>
          <t>Annual</t>
        </is>
      </c>
      <c r="B424" s="2" t="inlineStr">
        <is>
          <t>convertible_debt</t>
        </is>
      </c>
      <c r="C424" s="2" t="inlineStr">
        <is>
          <t>2017-10-29</t>
        </is>
      </c>
      <c r="D424" s="2" t="n"/>
      <c r="E424" s="2" t="inlineStr">
        <is>
          <t>USD</t>
        </is>
      </c>
      <c r="F424" s="2" t="inlineStr">
        <is>
          <t>not_available</t>
        </is>
      </c>
      <c r="G424" s="2" t="inlineStr"/>
      <c r="H424" s="2" t="inlineStr"/>
      <c r="I424" s="2" t="inlineStr">
        <is>
          <t>null</t>
        </is>
      </c>
    </row>
    <row r="425" ht="42" customHeight="1">
      <c r="A425" s="2" t="inlineStr">
        <is>
          <t>Annual</t>
        </is>
      </c>
      <c r="B425" s="2" t="inlineStr">
        <is>
          <t>convertible_debt</t>
        </is>
      </c>
      <c r="C425" s="2" t="inlineStr">
        <is>
          <t>2018-11-04</t>
        </is>
      </c>
      <c r="D425" s="2" t="n"/>
      <c r="E425" s="2" t="inlineStr">
        <is>
          <t>USD</t>
        </is>
      </c>
      <c r="F425" s="2" t="inlineStr">
        <is>
          <t>not_available</t>
        </is>
      </c>
      <c r="G425" s="2" t="inlineStr"/>
      <c r="H425" s="2" t="inlineStr"/>
      <c r="I425" s="2" t="inlineStr">
        <is>
          <t>null</t>
        </is>
      </c>
    </row>
    <row r="426" ht="42" customHeight="1">
      <c r="A426" s="2" t="inlineStr">
        <is>
          <t>Annual</t>
        </is>
      </c>
      <c r="B426" s="2" t="inlineStr">
        <is>
          <t>convertible_debt</t>
        </is>
      </c>
      <c r="C426" s="2" t="inlineStr">
        <is>
          <t>2019-11-03</t>
        </is>
      </c>
      <c r="D426" s="2" t="n"/>
      <c r="E426" s="2" t="inlineStr">
        <is>
          <t>USD</t>
        </is>
      </c>
      <c r="F426" s="2" t="inlineStr">
        <is>
          <t>not_available</t>
        </is>
      </c>
      <c r="G426" s="2" t="inlineStr"/>
      <c r="H426" s="2" t="inlineStr"/>
      <c r="I426" s="2" t="inlineStr">
        <is>
          <t>null</t>
        </is>
      </c>
    </row>
    <row r="427" ht="42" customHeight="1">
      <c r="A427" s="2" t="inlineStr">
        <is>
          <t>Annual</t>
        </is>
      </c>
      <c r="B427" s="2" t="inlineStr">
        <is>
          <t>convertible_debt</t>
        </is>
      </c>
      <c r="C427" s="2" t="inlineStr">
        <is>
          <t>2020-11-01</t>
        </is>
      </c>
      <c r="D427" s="2" t="n"/>
      <c r="E427" s="2" t="inlineStr">
        <is>
          <t>USD</t>
        </is>
      </c>
      <c r="F427" s="2" t="inlineStr">
        <is>
          <t>not_available</t>
        </is>
      </c>
      <c r="G427" s="2" t="inlineStr"/>
      <c r="H427" s="2" t="inlineStr"/>
      <c r="I427" s="2" t="inlineStr">
        <is>
          <t>null</t>
        </is>
      </c>
    </row>
    <row r="428" ht="42" customHeight="1">
      <c r="A428" s="2" t="inlineStr">
        <is>
          <t>Annual</t>
        </is>
      </c>
      <c r="B428" s="2" t="inlineStr">
        <is>
          <t>convertible_debt</t>
        </is>
      </c>
      <c r="C428" s="2" t="inlineStr">
        <is>
          <t>2021-10-31</t>
        </is>
      </c>
      <c r="D428" s="2" t="n"/>
      <c r="E428" s="2" t="inlineStr">
        <is>
          <t>USD</t>
        </is>
      </c>
      <c r="F428" s="2" t="inlineStr">
        <is>
          <t>not_available</t>
        </is>
      </c>
      <c r="G428" s="2" t="inlineStr"/>
      <c r="H428" s="2" t="inlineStr"/>
      <c r="I428" s="2" t="inlineStr">
        <is>
          <t>null</t>
        </is>
      </c>
    </row>
    <row r="429" ht="42" customHeight="1">
      <c r="A429" s="2" t="inlineStr">
        <is>
          <t>Annual</t>
        </is>
      </c>
      <c r="B429" s="2" t="inlineStr">
        <is>
          <t>convertible_debt</t>
        </is>
      </c>
      <c r="C429" s="2" t="inlineStr">
        <is>
          <t>2022-10-30</t>
        </is>
      </c>
      <c r="D429" s="2" t="n"/>
      <c r="E429" s="2" t="inlineStr">
        <is>
          <t>USD</t>
        </is>
      </c>
      <c r="F429" s="2" t="inlineStr">
        <is>
          <t>not_available</t>
        </is>
      </c>
      <c r="G429" s="2" t="inlineStr"/>
      <c r="H429" s="2" t="inlineStr"/>
      <c r="I429" s="2" t="inlineStr">
        <is>
          <t>null</t>
        </is>
      </c>
    </row>
    <row r="430" ht="42" customHeight="1">
      <c r="A430" s="2" t="inlineStr">
        <is>
          <t>Annual</t>
        </is>
      </c>
      <c r="B430" s="2" t="inlineStr">
        <is>
          <t>convertible_debt</t>
        </is>
      </c>
      <c r="C430" s="2" t="inlineStr">
        <is>
          <t>2023-10-29</t>
        </is>
      </c>
      <c r="D430" s="2" t="n"/>
      <c r="E430" s="2" t="inlineStr">
        <is>
          <t>USD</t>
        </is>
      </c>
      <c r="F430" s="2" t="inlineStr">
        <is>
          <t>not_available</t>
        </is>
      </c>
      <c r="G430" s="2" t="inlineStr"/>
      <c r="H430" s="2" t="inlineStr"/>
      <c r="I430" s="2" t="inlineStr">
        <is>
          <t>null</t>
        </is>
      </c>
    </row>
    <row r="431" ht="42" customHeight="1">
      <c r="A431" s="2" t="inlineStr">
        <is>
          <t>Annual</t>
        </is>
      </c>
      <c r="B431" s="2" t="inlineStr">
        <is>
          <t>convertible_debt</t>
        </is>
      </c>
      <c r="C431" s="2" t="inlineStr">
        <is>
          <t>2024-11-03</t>
        </is>
      </c>
      <c r="D431" s="2" t="n"/>
      <c r="E431" s="2" t="inlineStr">
        <is>
          <t>USD</t>
        </is>
      </c>
      <c r="F431" s="2" t="inlineStr">
        <is>
          <t>not_available</t>
        </is>
      </c>
      <c r="G431" s="2" t="inlineStr"/>
      <c r="H431" s="2" t="inlineStr"/>
      <c r="I431" s="2" t="inlineStr">
        <is>
          <t>null</t>
        </is>
      </c>
    </row>
    <row r="432" ht="42" customHeight="1">
      <c r="A432" s="2" t="inlineStr">
        <is>
          <t>Annual</t>
        </is>
      </c>
      <c r="B432" s="2" t="inlineStr">
        <is>
          <t>convertible_debt</t>
        </is>
      </c>
      <c r="C432" s="2" t="inlineStr">
        <is>
          <t>2025-11-02</t>
        </is>
      </c>
      <c r="D432" s="2" t="n"/>
      <c r="E432" s="2" t="inlineStr">
        <is>
          <t>USD</t>
        </is>
      </c>
      <c r="F432" s="2" t="inlineStr">
        <is>
          <t>not_available</t>
        </is>
      </c>
      <c r="G432" s="2" t="inlineStr"/>
      <c r="H432" s="2" t="inlineStr"/>
      <c r="I432" s="2" t="inlineStr">
        <is>
          <t>null</t>
        </is>
      </c>
    </row>
    <row r="433" ht="42" customHeight="1">
      <c r="A433" s="2" t="inlineStr">
        <is>
          <t>Annual</t>
        </is>
      </c>
      <c r="B433" s="2" t="inlineStr">
        <is>
          <t>lease_liabilities</t>
        </is>
      </c>
      <c r="C433" s="2" t="inlineStr">
        <is>
          <t>2016-10-30</t>
        </is>
      </c>
      <c r="D433" s="2" t="n"/>
      <c r="E433" s="2" t="inlineStr">
        <is>
          <t>USD</t>
        </is>
      </c>
      <c r="F433" s="2" t="inlineStr">
        <is>
          <t>not_available</t>
        </is>
      </c>
      <c r="G433" s="2" t="inlineStr"/>
      <c r="H433" s="2" t="inlineStr"/>
      <c r="I433" s="2" t="inlineStr">
        <is>
          <t>null</t>
        </is>
      </c>
    </row>
    <row r="434" ht="42" customHeight="1">
      <c r="A434" s="2" t="inlineStr">
        <is>
          <t>Annual</t>
        </is>
      </c>
      <c r="B434" s="2" t="inlineStr">
        <is>
          <t>lease_liabilities</t>
        </is>
      </c>
      <c r="C434" s="2" t="inlineStr">
        <is>
          <t>2017-10-29</t>
        </is>
      </c>
      <c r="D434" s="2" t="n"/>
      <c r="E434" s="2" t="inlineStr">
        <is>
          <t>USD</t>
        </is>
      </c>
      <c r="F434" s="2" t="inlineStr">
        <is>
          <t>not_available</t>
        </is>
      </c>
      <c r="G434" s="2" t="inlineStr"/>
      <c r="H434" s="2" t="inlineStr"/>
      <c r="I434" s="2" t="inlineStr">
        <is>
          <t>null</t>
        </is>
      </c>
    </row>
    <row r="435" ht="42" customHeight="1">
      <c r="A435" s="2" t="inlineStr">
        <is>
          <t>Annual</t>
        </is>
      </c>
      <c r="B435" s="2" t="inlineStr">
        <is>
          <t>lease_liabilities</t>
        </is>
      </c>
      <c r="C435" s="2" t="inlineStr">
        <is>
          <t>2018-11-04</t>
        </is>
      </c>
      <c r="D435" s="2" t="n"/>
      <c r="E435" s="2" t="inlineStr">
        <is>
          <t>USD</t>
        </is>
      </c>
      <c r="F435" s="2" t="inlineStr">
        <is>
          <t>not_available</t>
        </is>
      </c>
      <c r="G435" s="2" t="inlineStr"/>
      <c r="H435" s="2" t="inlineStr"/>
      <c r="I435" s="2" t="inlineStr">
        <is>
          <t>null</t>
        </is>
      </c>
    </row>
    <row r="436" ht="42" customHeight="1">
      <c r="A436" s="2" t="inlineStr">
        <is>
          <t>Annual</t>
        </is>
      </c>
      <c r="B436" s="2" t="inlineStr">
        <is>
          <t>lease_liabilities</t>
        </is>
      </c>
      <c r="C436" s="2" t="inlineStr">
        <is>
          <t>2019-11-03</t>
        </is>
      </c>
      <c r="D436" s="2" t="n"/>
      <c r="E436" s="2" t="inlineStr">
        <is>
          <t>USD</t>
        </is>
      </c>
      <c r="F436" s="2" t="inlineStr">
        <is>
          <t>not_available</t>
        </is>
      </c>
      <c r="G436" s="2" t="inlineStr"/>
      <c r="H436" s="2" t="inlineStr"/>
      <c r="I436" s="2" t="inlineStr">
        <is>
          <t>null</t>
        </is>
      </c>
    </row>
    <row r="437" ht="42" customHeight="1">
      <c r="A437" s="2" t="inlineStr">
        <is>
          <t>Annual</t>
        </is>
      </c>
      <c r="B437" s="2" t="inlineStr">
        <is>
          <t>lease_liabilities</t>
        </is>
      </c>
      <c r="C437" s="2" t="inlineStr">
        <is>
          <t>2020-11-01</t>
        </is>
      </c>
      <c r="D437" s="3" t="n">
        <v>627000000</v>
      </c>
      <c r="E437" s="2" t="inlineStr">
        <is>
          <t>USD</t>
        </is>
      </c>
      <c r="F437" s="2" t="inlineStr">
        <is>
          <t>reported</t>
        </is>
      </c>
      <c r="G437" s="2" t="inlineStr">
        <is>
          <t>tag_conflict</t>
        </is>
      </c>
      <c r="H437" s="2" t="inlineStr">
        <is>
          <t>https://www.sec.gov/Archives/edgar/data/1730168/000173016820000226/0001730168-20-000226-index.html</t>
        </is>
      </c>
      <c r="I437" s="2" t="inlineStr">
        <is>
          <t>{"tag": "us-gaap:OperatingLeaseLiability", "form": "10-K", "accession": "0001730168-20-000226", "filed": "2020-12-18"}</t>
        </is>
      </c>
    </row>
    <row r="438" ht="42" customHeight="1">
      <c r="A438" s="2" t="inlineStr">
        <is>
          <t>Annual</t>
        </is>
      </c>
      <c r="B438" s="2" t="inlineStr">
        <is>
          <t>lease_liabilities</t>
        </is>
      </c>
      <c r="C438" s="2" t="inlineStr">
        <is>
          <t>2021-10-31</t>
        </is>
      </c>
      <c r="D438" s="3" t="n">
        <v>543000000</v>
      </c>
      <c r="E438" s="2" t="inlineStr">
        <is>
          <t>USD</t>
        </is>
      </c>
      <c r="F438" s="2" t="inlineStr">
        <is>
          <t>reported</t>
        </is>
      </c>
      <c r="G438" s="2" t="inlineStr">
        <is>
          <t>tag_conflict</t>
        </is>
      </c>
      <c r="H438" s="2" t="inlineStr">
        <is>
          <t>https://www.sec.gov/Archives/edgar/data/1730168/000173016821000153/0001730168-21-000153-index.html</t>
        </is>
      </c>
      <c r="I438" s="2" t="inlineStr">
        <is>
          <t>{"tag": "us-gaap:OperatingLeaseLiability", "form": "10-K", "accession": "0001730168-21-000153", "filed": "2021-12-17"}</t>
        </is>
      </c>
    </row>
    <row r="439" ht="42" customHeight="1">
      <c r="A439" s="2" t="inlineStr">
        <is>
          <t>Annual</t>
        </is>
      </c>
      <c r="B439" s="2" t="inlineStr">
        <is>
          <t>lease_liabilities</t>
        </is>
      </c>
      <c r="C439" s="2" t="inlineStr">
        <is>
          <t>2022-10-30</t>
        </is>
      </c>
      <c r="D439" s="3" t="n">
        <v>463000000</v>
      </c>
      <c r="E439" s="2" t="inlineStr">
        <is>
          <t>USD</t>
        </is>
      </c>
      <c r="F439" s="2" t="inlineStr">
        <is>
          <t>reported</t>
        </is>
      </c>
      <c r="G439" s="2" t="inlineStr">
        <is>
          <t>tag_conflict</t>
        </is>
      </c>
      <c r="H439" s="2" t="inlineStr">
        <is>
          <t>https://www.sec.gov/Archives/edgar/data/1730168/000173016822000118/0001730168-22-000118-index.html</t>
        </is>
      </c>
      <c r="I439" s="2" t="inlineStr">
        <is>
          <t>{"tag": "us-gaap:OperatingLeaseLiability", "form": "10-K", "accession": "0001730168-22-000118", "filed": "2022-12-16"}</t>
        </is>
      </c>
    </row>
    <row r="440" ht="42" customHeight="1">
      <c r="A440" s="2" t="inlineStr">
        <is>
          <t>Annual</t>
        </is>
      </c>
      <c r="B440" s="2" t="inlineStr">
        <is>
          <t>lease_liabilities</t>
        </is>
      </c>
      <c r="C440" s="2" t="inlineStr">
        <is>
          <t>2023-10-29</t>
        </is>
      </c>
      <c r="D440" s="3" t="n">
        <v>419000000</v>
      </c>
      <c r="E440" s="2" t="inlineStr">
        <is>
          <t>USD</t>
        </is>
      </c>
      <c r="F440" s="2" t="inlineStr">
        <is>
          <t>reported</t>
        </is>
      </c>
      <c r="G440" s="2" t="inlineStr">
        <is>
          <t>tag_conflict</t>
        </is>
      </c>
      <c r="H440" s="2" t="inlineStr">
        <is>
          <t>https://www.sec.gov/Archives/edgar/data/1730168/000173016823000096/0001730168-23-000096-index.html</t>
        </is>
      </c>
      <c r="I440" s="2" t="inlineStr">
        <is>
          <t>{"tag": "us-gaap:OperatingLeaseLiability", "form": "10-K", "accession": "0001730168-23-000096", "filed": "2023-12-14"}</t>
        </is>
      </c>
    </row>
    <row r="441" ht="42" customHeight="1">
      <c r="A441" s="2" t="inlineStr">
        <is>
          <t>Annual</t>
        </is>
      </c>
      <c r="B441" s="2" t="inlineStr">
        <is>
          <t>lease_liabilities</t>
        </is>
      </c>
      <c r="C441" s="2" t="inlineStr">
        <is>
          <t>2024-11-03</t>
        </is>
      </c>
      <c r="D441" s="3" t="n">
        <v>1350000000</v>
      </c>
      <c r="E441" s="2" t="inlineStr">
        <is>
          <t>USD</t>
        </is>
      </c>
      <c r="F441" s="2" t="inlineStr">
        <is>
          <t>reported</t>
        </is>
      </c>
      <c r="G441" s="2" t="inlineStr">
        <is>
          <t>tag_conflict</t>
        </is>
      </c>
      <c r="H441" s="2" t="inlineStr">
        <is>
          <t>https://www.sec.gov/Archives/edgar/data/1730168/000173016824000139/0001730168-24-000139-index.html</t>
        </is>
      </c>
      <c r="I441" s="2" t="inlineStr">
        <is>
          <t>{"tag": "us-gaap:OperatingLeaseLiability", "form": "10-K", "accession": "0001730168-24-000139", "filed": "2024-12-20"}</t>
        </is>
      </c>
    </row>
    <row r="442" ht="42" customHeight="1">
      <c r="A442" s="2" t="inlineStr">
        <is>
          <t>Annual</t>
        </is>
      </c>
      <c r="B442" s="2" t="inlineStr">
        <is>
          <t>lease_liabilities</t>
        </is>
      </c>
      <c r="C442" s="2" t="inlineStr">
        <is>
          <t>2025-11-02</t>
        </is>
      </c>
      <c r="D442" s="3" t="n">
        <v>1325000000</v>
      </c>
      <c r="E442" s="2" t="inlineStr">
        <is>
          <t>USD</t>
        </is>
      </c>
      <c r="F442" s="2" t="inlineStr">
        <is>
          <t>reported</t>
        </is>
      </c>
      <c r="G442" s="2" t="inlineStr">
        <is>
          <t>tag_conflict</t>
        </is>
      </c>
      <c r="H442" s="2" t="inlineStr">
        <is>
          <t>https://www.sec.gov/Archives/edgar/data/1730168/000173016825000121/0001730168-25-000121-index.html</t>
        </is>
      </c>
      <c r="I442" s="2" t="inlineStr">
        <is>
          <t>{"tag": "us-gaap:OperatingLeaseLiability", "form": "10-K", "accession": "0001730168-25-000121", "filed": "2025-12-18"}</t>
        </is>
      </c>
    </row>
    <row r="443" ht="42" customHeight="1">
      <c r="A443" s="2" t="inlineStr">
        <is>
          <t>Annual</t>
        </is>
      </c>
      <c r="B443" s="2" t="inlineStr">
        <is>
          <t>total_liabilities</t>
        </is>
      </c>
      <c r="C443" s="2" t="inlineStr">
        <is>
          <t>2016-10-30</t>
        </is>
      </c>
      <c r="D443" s="2" t="n"/>
      <c r="E443" s="2" t="inlineStr">
        <is>
          <t>USD</t>
        </is>
      </c>
      <c r="F443" s="2" t="inlineStr">
        <is>
          <t>not_available</t>
        </is>
      </c>
      <c r="G443" s="2" t="inlineStr"/>
      <c r="H443" s="2" t="inlineStr"/>
      <c r="I443" s="2" t="inlineStr">
        <is>
          <t>null</t>
        </is>
      </c>
    </row>
    <row r="444" ht="42" customHeight="1">
      <c r="A444" s="2" t="inlineStr">
        <is>
          <t>Annual</t>
        </is>
      </c>
      <c r="B444" s="2" t="inlineStr">
        <is>
          <t>total_liabilities</t>
        </is>
      </c>
      <c r="C444" s="2" t="inlineStr">
        <is>
          <t>2017-10-29</t>
        </is>
      </c>
      <c r="D444" s="3" t="n">
        <v>31232000000</v>
      </c>
      <c r="E444" s="2" t="inlineStr">
        <is>
          <t>USD</t>
        </is>
      </c>
      <c r="F444" s="2" t="inlineStr">
        <is>
          <t>reported</t>
        </is>
      </c>
      <c r="G444" s="2" t="inlineStr"/>
      <c r="H444" s="2" t="inlineStr">
        <is>
          <t>https://www.sec.gov/Archives/edgar/data/1730168/000173016818000084/0001730168-18-000084-index.html</t>
        </is>
      </c>
      <c r="I444" s="2" t="inlineStr">
        <is>
          <t>{"tag": "us-gaap:Liabilities", "form": "10-K", "accession": "0001730168-18-000084", "filed": "2018-12-21"}</t>
        </is>
      </c>
    </row>
    <row r="445" ht="42" customHeight="1">
      <c r="A445" s="2" t="inlineStr">
        <is>
          <t>Annual</t>
        </is>
      </c>
      <c r="B445" s="2" t="inlineStr">
        <is>
          <t>total_liabilities</t>
        </is>
      </c>
      <c r="C445" s="2" t="inlineStr">
        <is>
          <t>2018-11-04</t>
        </is>
      </c>
      <c r="D445" s="3" t="n">
        <v>23467000000</v>
      </c>
      <c r="E445" s="2" t="inlineStr">
        <is>
          <t>USD</t>
        </is>
      </c>
      <c r="F445" s="2" t="inlineStr">
        <is>
          <t>reported</t>
        </is>
      </c>
      <c r="G445" s="2" t="inlineStr"/>
      <c r="H445" s="2" t="inlineStr">
        <is>
          <t>https://www.sec.gov/Archives/edgar/data/1730168/000173016819000144/0001730168-19-000144-index.html</t>
        </is>
      </c>
      <c r="I445" s="2" t="inlineStr">
        <is>
          <t>{"tag": "us-gaap:Liabilities", "form": "10-K", "accession": "0001730168-19-000144", "filed": "2019-12-20"}</t>
        </is>
      </c>
    </row>
    <row r="446" ht="42" customHeight="1">
      <c r="A446" s="2" t="inlineStr">
        <is>
          <t>Annual</t>
        </is>
      </c>
      <c r="B446" s="2" t="inlineStr">
        <is>
          <t>total_liabilities</t>
        </is>
      </c>
      <c r="C446" s="2" t="inlineStr">
        <is>
          <t>2019-11-03</t>
        </is>
      </c>
      <c r="D446" s="3" t="n">
        <v>42523000000</v>
      </c>
      <c r="E446" s="2" t="inlineStr">
        <is>
          <t>USD</t>
        </is>
      </c>
      <c r="F446" s="2" t="inlineStr">
        <is>
          <t>reported</t>
        </is>
      </c>
      <c r="G446" s="2" t="inlineStr"/>
      <c r="H446" s="2" t="inlineStr">
        <is>
          <t>https://www.sec.gov/Archives/edgar/data/1730168/000173016820000226/0001730168-20-000226-index.html</t>
        </is>
      </c>
      <c r="I446" s="2" t="inlineStr">
        <is>
          <t>{"tag": "us-gaap:Liabilities", "form": "10-K", "accession": "0001730168-20-000226", "filed": "2020-12-18"}</t>
        </is>
      </c>
    </row>
    <row r="447" ht="42" customHeight="1">
      <c r="A447" s="2" t="inlineStr">
        <is>
          <t>Annual</t>
        </is>
      </c>
      <c r="B447" s="2" t="inlineStr">
        <is>
          <t>total_liabilities</t>
        </is>
      </c>
      <c r="C447" s="2" t="inlineStr">
        <is>
          <t>2020-11-01</t>
        </is>
      </c>
      <c r="D447" s="3" t="n">
        <v>52032000000</v>
      </c>
      <c r="E447" s="2" t="inlineStr">
        <is>
          <t>USD</t>
        </is>
      </c>
      <c r="F447" s="2" t="inlineStr">
        <is>
          <t>reported</t>
        </is>
      </c>
      <c r="G447" s="2" t="inlineStr"/>
      <c r="H447" s="2" t="inlineStr">
        <is>
          <t>https://www.sec.gov/Archives/edgar/data/1730168/000173016821000153/0001730168-21-000153-index.html</t>
        </is>
      </c>
      <c r="I447" s="2" t="inlineStr">
        <is>
          <t>{"tag": "us-gaap:Liabilities", "form": "10-K", "accession": "0001730168-21-000153", "filed": "2021-12-17"}</t>
        </is>
      </c>
    </row>
    <row r="448" ht="42" customHeight="1">
      <c r="A448" s="2" t="inlineStr">
        <is>
          <t>Annual</t>
        </is>
      </c>
      <c r="B448" s="2" t="inlineStr">
        <is>
          <t>total_liabilities</t>
        </is>
      </c>
      <c r="C448" s="2" t="inlineStr">
        <is>
          <t>2021-10-31</t>
        </is>
      </c>
      <c r="D448" s="3" t="n">
        <v>50581000000</v>
      </c>
      <c r="E448" s="2" t="inlineStr">
        <is>
          <t>USD</t>
        </is>
      </c>
      <c r="F448" s="2" t="inlineStr">
        <is>
          <t>reported</t>
        </is>
      </c>
      <c r="G448" s="2" t="inlineStr"/>
      <c r="H448" s="2" t="inlineStr">
        <is>
          <t>https://www.sec.gov/Archives/edgar/data/1730168/000173016822000118/0001730168-22-000118-index.html</t>
        </is>
      </c>
      <c r="I448" s="2" t="inlineStr">
        <is>
          <t>{"tag": "us-gaap:Liabilities", "form": "10-K", "accession": "0001730168-22-000118", "filed": "2022-12-16"}</t>
        </is>
      </c>
    </row>
    <row r="449" ht="42" customHeight="1">
      <c r="A449" s="2" t="inlineStr">
        <is>
          <t>Annual</t>
        </is>
      </c>
      <c r="B449" s="2" t="inlineStr">
        <is>
          <t>total_liabilities</t>
        </is>
      </c>
      <c r="C449" s="2" t="inlineStr">
        <is>
          <t>2022-10-30</t>
        </is>
      </c>
      <c r="D449" s="3" t="n">
        <v>50540000000</v>
      </c>
      <c r="E449" s="2" t="inlineStr">
        <is>
          <t>USD</t>
        </is>
      </c>
      <c r="F449" s="2" t="inlineStr">
        <is>
          <t>reported</t>
        </is>
      </c>
      <c r="G449" s="2" t="inlineStr"/>
      <c r="H449" s="2" t="inlineStr">
        <is>
          <t>https://www.sec.gov/Archives/edgar/data/1730168/000173016823000096/0001730168-23-000096-index.html</t>
        </is>
      </c>
      <c r="I449" s="2" t="inlineStr">
        <is>
          <t>{"tag": "us-gaap:Liabilities", "form": "10-K", "accession": "0001730168-23-000096", "filed": "2023-12-14"}</t>
        </is>
      </c>
    </row>
    <row r="450" ht="42" customHeight="1">
      <c r="A450" s="2" t="inlineStr">
        <is>
          <t>Annual</t>
        </is>
      </c>
      <c r="B450" s="2" t="inlineStr">
        <is>
          <t>total_liabilities</t>
        </is>
      </c>
      <c r="C450" s="2" t="inlineStr">
        <is>
          <t>2023-10-29</t>
        </is>
      </c>
      <c r="D450" s="3" t="n">
        <v>48873000000</v>
      </c>
      <c r="E450" s="2" t="inlineStr">
        <is>
          <t>USD</t>
        </is>
      </c>
      <c r="F450" s="2" t="inlineStr">
        <is>
          <t>reported</t>
        </is>
      </c>
      <c r="G450" s="2" t="inlineStr"/>
      <c r="H450" s="2" t="inlineStr">
        <is>
          <t>https://www.sec.gov/Archives/edgar/data/1730168/000173016824000139/0001730168-24-000139-index.html</t>
        </is>
      </c>
      <c r="I450" s="2" t="inlineStr">
        <is>
          <t>{"tag": "us-gaap:Liabilities", "form": "10-K", "accession": "0001730168-24-000139", "filed": "2024-12-20"}</t>
        </is>
      </c>
    </row>
    <row r="451" ht="42" customHeight="1">
      <c r="A451" s="2" t="inlineStr">
        <is>
          <t>Annual</t>
        </is>
      </c>
      <c r="B451" s="2" t="inlineStr">
        <is>
          <t>total_liabilities</t>
        </is>
      </c>
      <c r="C451" s="2" t="inlineStr">
        <is>
          <t>2024-11-03</t>
        </is>
      </c>
      <c r="D451" s="3" t="n">
        <v>97967000000</v>
      </c>
      <c r="E451" s="2" t="inlineStr">
        <is>
          <t>USD</t>
        </is>
      </c>
      <c r="F451" s="2" t="inlineStr">
        <is>
          <t>reported</t>
        </is>
      </c>
      <c r="G451" s="2" t="inlineStr"/>
      <c r="H451" s="2" t="inlineStr">
        <is>
          <t>https://www.sec.gov/Archives/edgar/data/1730168/000173016825000121/0001730168-25-000121-index.html</t>
        </is>
      </c>
      <c r="I451" s="2" t="inlineStr">
        <is>
          <t>{"tag": "us-gaap:Liabilities", "form": "10-K", "accession": "0001730168-25-000121", "filed": "2025-12-18"}</t>
        </is>
      </c>
    </row>
    <row r="452" ht="42" customHeight="1">
      <c r="A452" s="2" t="inlineStr">
        <is>
          <t>Annual</t>
        </is>
      </c>
      <c r="B452" s="2" t="inlineStr">
        <is>
          <t>total_liabilities</t>
        </is>
      </c>
      <c r="C452" s="2" t="inlineStr">
        <is>
          <t>2025-11-02</t>
        </is>
      </c>
      <c r="D452" s="3" t="n">
        <v>89800000000</v>
      </c>
      <c r="E452" s="2" t="inlineStr">
        <is>
          <t>USD</t>
        </is>
      </c>
      <c r="F452" s="2" t="inlineStr">
        <is>
          <t>reported</t>
        </is>
      </c>
      <c r="G452" s="2" t="inlineStr"/>
      <c r="H452" s="2" t="inlineStr">
        <is>
          <t>https://www.sec.gov/Archives/edgar/data/1730168/000173016825000121/0001730168-25-000121-index.html</t>
        </is>
      </c>
      <c r="I452" s="2" t="inlineStr">
        <is>
          <t>{"tag": "us-gaap:Liabilities", "form": "10-K", "accession": "0001730168-25-000121", "filed": "2025-12-18"}</t>
        </is>
      </c>
    </row>
    <row r="453" ht="42" customHeight="1">
      <c r="A453" s="2" t="inlineStr">
        <is>
          <t>Annual</t>
        </is>
      </c>
      <c r="B453" s="2" t="inlineStr">
        <is>
          <t>equity</t>
        </is>
      </c>
      <c r="C453" s="2" t="inlineStr">
        <is>
          <t>2016-10-30</t>
        </is>
      </c>
      <c r="D453" s="3" t="n">
        <v>21876000000</v>
      </c>
      <c r="E453" s="2" t="inlineStr">
        <is>
          <t>USD</t>
        </is>
      </c>
      <c r="F453" s="2" t="inlineStr">
        <is>
          <t>reported</t>
        </is>
      </c>
      <c r="G453" s="2" t="inlineStr"/>
      <c r="H453" s="2" t="inlineStr">
        <is>
          <t>https://www.sec.gov/Archives/edgar/data/1730168/000173016819000144/0001730168-19-000144-index.html</t>
        </is>
      </c>
      <c r="I453" s="2" t="inlineStr">
        <is>
          <t>{"tag": "us-gaap:StockholdersEquityIncludingPortionAttributableToNoncontrollingInterest", "form": "10-K", "accession": "0001730168-19-000144", "filed": "2019-12-20"}</t>
        </is>
      </c>
    </row>
    <row r="454" ht="42" customHeight="1">
      <c r="A454" s="2" t="inlineStr">
        <is>
          <t>Annual</t>
        </is>
      </c>
      <c r="B454" s="2" t="inlineStr">
        <is>
          <t>equity</t>
        </is>
      </c>
      <c r="C454" s="2" t="inlineStr">
        <is>
          <t>2017-10-29</t>
        </is>
      </c>
      <c r="D454" s="3" t="n">
        <v>20285000000</v>
      </c>
      <c r="E454" s="2" t="inlineStr">
        <is>
          <t>USD</t>
        </is>
      </c>
      <c r="F454" s="2" t="inlineStr">
        <is>
          <t>reported</t>
        </is>
      </c>
      <c r="G454" s="2" t="inlineStr">
        <is>
          <t>tag_conflict</t>
        </is>
      </c>
      <c r="H454" s="2" t="inlineStr">
        <is>
          <t>https://www.sec.gov/Archives/edgar/data/1730168/000173016818000084/0001730168-18-000084-index.html</t>
        </is>
      </c>
      <c r="I454" s="2" t="inlineStr">
        <is>
          <t>{"tag": "us-gaap:StockholdersEquity", "form": "10-K", "accession": "0001730168-18-000084", "filed": "2018-12-21"}</t>
        </is>
      </c>
    </row>
    <row r="455" ht="42" customHeight="1">
      <c r="A455" s="2" t="inlineStr">
        <is>
          <t>Annual</t>
        </is>
      </c>
      <c r="B455" s="2" t="inlineStr">
        <is>
          <t>equity</t>
        </is>
      </c>
      <c r="C455" s="2" t="inlineStr">
        <is>
          <t>2018-11-04</t>
        </is>
      </c>
      <c r="D455" s="3" t="n">
        <v>26657000000</v>
      </c>
      <c r="E455" s="2" t="inlineStr">
        <is>
          <t>USD</t>
        </is>
      </c>
      <c r="F455" s="2" t="inlineStr">
        <is>
          <t>reported</t>
        </is>
      </c>
      <c r="G455" s="2" t="inlineStr"/>
      <c r="H455" s="2" t="inlineStr">
        <is>
          <t>https://www.sec.gov/Archives/edgar/data/1730168/000173016819000144/0001730168-19-000144-index.html</t>
        </is>
      </c>
      <c r="I455" s="2" t="inlineStr">
        <is>
          <t>{"tag": "us-gaap:StockholdersEquity", "form": "10-K", "accession": "0001730168-19-000144", "filed": "2019-12-20"}</t>
        </is>
      </c>
    </row>
    <row r="456" ht="42" customHeight="1">
      <c r="A456" s="2" t="inlineStr">
        <is>
          <t>Annual</t>
        </is>
      </c>
      <c r="B456" s="2" t="inlineStr">
        <is>
          <t>equity</t>
        </is>
      </c>
      <c r="C456" s="2" t="inlineStr">
        <is>
          <t>2019-11-03</t>
        </is>
      </c>
      <c r="D456" s="3" t="n">
        <v>24941000000</v>
      </c>
      <c r="E456" s="2" t="inlineStr">
        <is>
          <t>USD</t>
        </is>
      </c>
      <c r="F456" s="2" t="inlineStr">
        <is>
          <t>reported</t>
        </is>
      </c>
      <c r="G456" s="2" t="inlineStr"/>
      <c r="H456" s="2" t="inlineStr">
        <is>
          <t>https://www.sec.gov/Archives/edgar/data/1730168/000173016819000144/0001730168-19-000144-index.html</t>
        </is>
      </c>
      <c r="I456" s="2" t="inlineStr">
        <is>
          <t>{"tag": "us-gaap:StockholdersEquity", "form": "10-K", "accession": "0001730168-19-000144", "filed": "2019-12-20"}</t>
        </is>
      </c>
    </row>
    <row r="457" ht="42" customHeight="1">
      <c r="A457" s="2" t="inlineStr">
        <is>
          <t>Annual</t>
        </is>
      </c>
      <c r="B457" s="2" t="inlineStr">
        <is>
          <t>equity</t>
        </is>
      </c>
      <c r="C457" s="2" t="inlineStr">
        <is>
          <t>2020-11-01</t>
        </is>
      </c>
      <c r="D457" s="3" t="n">
        <v>23874000000</v>
      </c>
      <c r="E457" s="2" t="inlineStr">
        <is>
          <t>USD</t>
        </is>
      </c>
      <c r="F457" s="2" t="inlineStr">
        <is>
          <t>reported</t>
        </is>
      </c>
      <c r="G457" s="2" t="inlineStr"/>
      <c r="H457" s="2" t="inlineStr">
        <is>
          <t>https://www.sec.gov/Archives/edgar/data/1730168/000173016823000096/0001730168-23-000096-index.html</t>
        </is>
      </c>
      <c r="I457" s="2" t="inlineStr">
        <is>
          <t>{"tag": "us-gaap:StockholdersEquityIncludingPortionAttributableToNoncontrollingInterest", "form": "10-K", "accession": "0001730168-23-000096", "filed": "2023-12-14"}</t>
        </is>
      </c>
    </row>
    <row r="458" ht="42" customHeight="1">
      <c r="A458" s="2" t="inlineStr">
        <is>
          <t>Annual</t>
        </is>
      </c>
      <c r="B458" s="2" t="inlineStr">
        <is>
          <t>equity</t>
        </is>
      </c>
      <c r="C458" s="2" t="inlineStr">
        <is>
          <t>2021-10-31</t>
        </is>
      </c>
      <c r="D458" s="3" t="n">
        <v>24962000000</v>
      </c>
      <c r="E458" s="2" t="inlineStr">
        <is>
          <t>USD</t>
        </is>
      </c>
      <c r="F458" s="2" t="inlineStr">
        <is>
          <t>reported</t>
        </is>
      </c>
      <c r="G458" s="2" t="inlineStr"/>
      <c r="H458" s="2" t="inlineStr">
        <is>
          <t>https://www.sec.gov/Archives/edgar/data/1730168/000173016824000139/0001730168-24-000139-index.html</t>
        </is>
      </c>
      <c r="I458" s="2" t="inlineStr">
        <is>
          <t>{"tag": "us-gaap:StockholdersEquityIncludingPortionAttributableToNoncontrollingInterest", "form": "10-K", "accession": "0001730168-24-000139", "filed": "2024-12-20"}</t>
        </is>
      </c>
    </row>
    <row r="459" ht="42" customHeight="1">
      <c r="A459" s="2" t="inlineStr">
        <is>
          <t>Annual</t>
        </is>
      </c>
      <c r="B459" s="2" t="inlineStr">
        <is>
          <t>equity</t>
        </is>
      </c>
      <c r="C459" s="2" t="inlineStr">
        <is>
          <t>2022-10-30</t>
        </is>
      </c>
      <c r="D459" s="3" t="n">
        <v>22709000000</v>
      </c>
      <c r="E459" s="2" t="inlineStr">
        <is>
          <t>USD</t>
        </is>
      </c>
      <c r="F459" s="2" t="inlineStr">
        <is>
          <t>reported</t>
        </is>
      </c>
      <c r="G459" s="2" t="inlineStr"/>
      <c r="H459" s="2" t="inlineStr">
        <is>
          <t>https://www.sec.gov/Archives/edgar/data/1730168/000173016825000121/0001730168-25-000121-index.html</t>
        </is>
      </c>
      <c r="I459" s="2" t="inlineStr">
        <is>
          <t>{"tag": "us-gaap:StockholdersEquityIncludingPortionAttributableToNoncontrollingInterest", "form": "10-K", "accession": "0001730168-25-000121", "filed": "2025-12-18"}</t>
        </is>
      </c>
    </row>
    <row r="460" ht="42" customHeight="1">
      <c r="A460" s="2" t="inlineStr">
        <is>
          <t>Annual</t>
        </is>
      </c>
      <c r="B460" s="2" t="inlineStr">
        <is>
          <t>equity</t>
        </is>
      </c>
      <c r="C460" s="2" t="inlineStr">
        <is>
          <t>2023-10-29</t>
        </is>
      </c>
      <c r="D460" s="3" t="n">
        <v>23988000000</v>
      </c>
      <c r="E460" s="2" t="inlineStr">
        <is>
          <t>USD</t>
        </is>
      </c>
      <c r="F460" s="2" t="inlineStr">
        <is>
          <t>reported</t>
        </is>
      </c>
      <c r="G460" s="2" t="inlineStr"/>
      <c r="H460" s="2" t="inlineStr">
        <is>
          <t>https://www.sec.gov/Archives/edgar/data/1730168/000173016825000121/0001730168-25-000121-index.html</t>
        </is>
      </c>
      <c r="I460" s="2" t="inlineStr">
        <is>
          <t>{"tag": "us-gaap:StockholdersEquityIncludingPortionAttributableToNoncontrollingInterest", "form": "10-K", "accession": "0001730168-25-000121", "filed": "2025-12-18"}</t>
        </is>
      </c>
    </row>
    <row r="461" ht="42" customHeight="1">
      <c r="A461" s="2" t="inlineStr">
        <is>
          <t>Annual</t>
        </is>
      </c>
      <c r="B461" s="2" t="inlineStr">
        <is>
          <t>equity</t>
        </is>
      </c>
      <c r="C461" s="2" t="inlineStr">
        <is>
          <t>2024-11-03</t>
        </is>
      </c>
      <c r="D461" s="3" t="n">
        <v>67678000000</v>
      </c>
      <c r="E461" s="2" t="inlineStr">
        <is>
          <t>USD</t>
        </is>
      </c>
      <c r="F461" s="2" t="inlineStr">
        <is>
          <t>reported</t>
        </is>
      </c>
      <c r="G461" s="2" t="inlineStr"/>
      <c r="H461" s="2" t="inlineStr">
        <is>
          <t>https://www.sec.gov/Archives/edgar/data/1730168/000173016825000121/0001730168-25-000121-index.html</t>
        </is>
      </c>
      <c r="I461" s="2" t="inlineStr">
        <is>
          <t>{"tag": "us-gaap:StockholdersEquityIncludingPortionAttributableToNoncontrollingInterest", "form": "10-K", "accession": "0001730168-25-000121", "filed": "2025-12-18"}</t>
        </is>
      </c>
    </row>
    <row r="462" ht="42" customHeight="1">
      <c r="A462" s="2" t="inlineStr">
        <is>
          <t>Annual</t>
        </is>
      </c>
      <c r="B462" s="2" t="inlineStr">
        <is>
          <t>equity</t>
        </is>
      </c>
      <c r="C462" s="2" t="inlineStr">
        <is>
          <t>2025-11-02</t>
        </is>
      </c>
      <c r="D462" s="3" t="n">
        <v>81292000000</v>
      </c>
      <c r="E462" s="2" t="inlineStr">
        <is>
          <t>USD</t>
        </is>
      </c>
      <c r="F462" s="2" t="inlineStr">
        <is>
          <t>reported</t>
        </is>
      </c>
      <c r="G462" s="2" t="inlineStr"/>
      <c r="H462" s="2" t="inlineStr">
        <is>
          <t>https://www.sec.gov/Archives/edgar/data/1730168/000173016825000121/0001730168-25-000121-index.html</t>
        </is>
      </c>
      <c r="I462" s="2" t="inlineStr">
        <is>
          <t>{"tag": "us-gaap:StockholdersEquityIncludingPortionAttributableToNoncontrollingInterest", "form": "10-K", "accession": "0001730168-25-000121", "filed": "2025-12-18"}</t>
        </is>
      </c>
    </row>
    <row r="463" ht="42" customHeight="1">
      <c r="A463" s="2" t="inlineStr">
        <is>
          <t>Annual</t>
        </is>
      </c>
      <c r="B463" s="2" t="inlineStr">
        <is>
          <t>minority_interest</t>
        </is>
      </c>
      <c r="C463" s="2" t="inlineStr">
        <is>
          <t>2016-10-30</t>
        </is>
      </c>
      <c r="D463" s="2" t="n"/>
      <c r="E463" s="2" t="inlineStr">
        <is>
          <t>USD</t>
        </is>
      </c>
      <c r="F463" s="2" t="inlineStr">
        <is>
          <t>not_available</t>
        </is>
      </c>
      <c r="G463" s="2" t="inlineStr"/>
      <c r="H463" s="2" t="inlineStr"/>
      <c r="I463" s="2" t="inlineStr">
        <is>
          <t>null</t>
        </is>
      </c>
    </row>
    <row r="464" ht="42" customHeight="1">
      <c r="A464" s="2" t="inlineStr">
        <is>
          <t>Annual</t>
        </is>
      </c>
      <c r="B464" s="2" t="inlineStr">
        <is>
          <t>minority_interest</t>
        </is>
      </c>
      <c r="C464" s="2" t="inlineStr">
        <is>
          <t>2017-10-29</t>
        </is>
      </c>
      <c r="D464" s="3" t="n">
        <v>2901000000</v>
      </c>
      <c r="E464" s="2" t="inlineStr">
        <is>
          <t>USD</t>
        </is>
      </c>
      <c r="F464" s="2" t="inlineStr">
        <is>
          <t>reported</t>
        </is>
      </c>
      <c r="G464" s="2" t="inlineStr"/>
      <c r="H464" s="2" t="inlineStr">
        <is>
          <t>https://www.sec.gov/Archives/edgar/data/1730168/000173016818000084/0001730168-18-000084-index.html</t>
        </is>
      </c>
      <c r="I464" s="2" t="inlineStr">
        <is>
          <t>{"tag": "us-gaap:MinorityInterest", "form": "10-K", "accession": "0001730168-18-000084", "filed": "2018-12-21"}</t>
        </is>
      </c>
    </row>
    <row r="465" ht="42" customHeight="1">
      <c r="A465" s="2" t="inlineStr">
        <is>
          <t>Annual</t>
        </is>
      </c>
      <c r="B465" s="2" t="inlineStr">
        <is>
          <t>minority_interest</t>
        </is>
      </c>
      <c r="C465" s="2" t="inlineStr">
        <is>
          <t>2018-11-04</t>
        </is>
      </c>
      <c r="D465" s="3" t="n">
        <v>0</v>
      </c>
      <c r="E465" s="2" t="inlineStr">
        <is>
          <t>USD</t>
        </is>
      </c>
      <c r="F465" s="2" t="inlineStr">
        <is>
          <t>reported</t>
        </is>
      </c>
      <c r="G465" s="2" t="inlineStr"/>
      <c r="H465" s="2" t="inlineStr">
        <is>
          <t>https://www.sec.gov/Archives/edgar/data/1730168/000173016818000084/0001730168-18-000084-index.html</t>
        </is>
      </c>
      <c r="I465" s="2" t="inlineStr">
        <is>
          <t>{"tag": "us-gaap:MinorityInterest", "form": "10-K", "accession": "0001730168-18-000084", "filed": "2018-12-21"}</t>
        </is>
      </c>
    </row>
    <row r="466" ht="42" customHeight="1">
      <c r="A466" s="2" t="inlineStr">
        <is>
          <t>Annual</t>
        </is>
      </c>
      <c r="B466" s="2" t="inlineStr">
        <is>
          <t>minority_interest</t>
        </is>
      </c>
      <c r="C466" s="2" t="inlineStr">
        <is>
          <t>2019-11-03</t>
        </is>
      </c>
      <c r="D466" s="2" t="n"/>
      <c r="E466" s="2" t="inlineStr">
        <is>
          <t>USD</t>
        </is>
      </c>
      <c r="F466" s="2" t="inlineStr">
        <is>
          <t>not_available</t>
        </is>
      </c>
      <c r="G466" s="2" t="inlineStr"/>
      <c r="H466" s="2" t="inlineStr"/>
      <c r="I466" s="2" t="inlineStr">
        <is>
          <t>null</t>
        </is>
      </c>
    </row>
    <row r="467" ht="42" customHeight="1">
      <c r="A467" s="2" t="inlineStr">
        <is>
          <t>Annual</t>
        </is>
      </c>
      <c r="B467" s="2" t="inlineStr">
        <is>
          <t>minority_interest</t>
        </is>
      </c>
      <c r="C467" s="2" t="inlineStr">
        <is>
          <t>2020-11-01</t>
        </is>
      </c>
      <c r="D467" s="2" t="n"/>
      <c r="E467" s="2" t="inlineStr">
        <is>
          <t>USD</t>
        </is>
      </c>
      <c r="F467" s="2" t="inlineStr">
        <is>
          <t>not_available</t>
        </is>
      </c>
      <c r="G467" s="2" t="inlineStr"/>
      <c r="H467" s="2" t="inlineStr"/>
      <c r="I467" s="2" t="inlineStr">
        <is>
          <t>null</t>
        </is>
      </c>
    </row>
    <row r="468" ht="42" customHeight="1">
      <c r="A468" s="2" t="inlineStr">
        <is>
          <t>Annual</t>
        </is>
      </c>
      <c r="B468" s="2" t="inlineStr">
        <is>
          <t>minority_interest</t>
        </is>
      </c>
      <c r="C468" s="2" t="inlineStr">
        <is>
          <t>2021-10-31</t>
        </is>
      </c>
      <c r="D468" s="2" t="n"/>
      <c r="E468" s="2" t="inlineStr">
        <is>
          <t>USD</t>
        </is>
      </c>
      <c r="F468" s="2" t="inlineStr">
        <is>
          <t>not_available</t>
        </is>
      </c>
      <c r="G468" s="2" t="inlineStr"/>
      <c r="H468" s="2" t="inlineStr"/>
      <c r="I468" s="2" t="inlineStr">
        <is>
          <t>null</t>
        </is>
      </c>
    </row>
    <row r="469" ht="42" customHeight="1">
      <c r="A469" s="2" t="inlineStr">
        <is>
          <t>Annual</t>
        </is>
      </c>
      <c r="B469" s="2" t="inlineStr">
        <is>
          <t>minority_interest</t>
        </is>
      </c>
      <c r="C469" s="2" t="inlineStr">
        <is>
          <t>2022-10-30</t>
        </is>
      </c>
      <c r="D469" s="2" t="n"/>
      <c r="E469" s="2" t="inlineStr">
        <is>
          <t>USD</t>
        </is>
      </c>
      <c r="F469" s="2" t="inlineStr">
        <is>
          <t>not_available</t>
        </is>
      </c>
      <c r="G469" s="2" t="inlineStr"/>
      <c r="H469" s="2" t="inlineStr"/>
      <c r="I469" s="2" t="inlineStr">
        <is>
          <t>null</t>
        </is>
      </c>
    </row>
    <row r="470" ht="42" customHeight="1">
      <c r="A470" s="2" t="inlineStr">
        <is>
          <t>Annual</t>
        </is>
      </c>
      <c r="B470" s="2" t="inlineStr">
        <is>
          <t>minority_interest</t>
        </is>
      </c>
      <c r="C470" s="2" t="inlineStr">
        <is>
          <t>2023-10-29</t>
        </is>
      </c>
      <c r="D470" s="2" t="n"/>
      <c r="E470" s="2" t="inlineStr">
        <is>
          <t>USD</t>
        </is>
      </c>
      <c r="F470" s="2" t="inlineStr">
        <is>
          <t>not_available</t>
        </is>
      </c>
      <c r="G470" s="2" t="inlineStr"/>
      <c r="H470" s="2" t="inlineStr"/>
      <c r="I470" s="2" t="inlineStr">
        <is>
          <t>null</t>
        </is>
      </c>
    </row>
    <row r="471" ht="42" customHeight="1">
      <c r="A471" s="2" t="inlineStr">
        <is>
          <t>Annual</t>
        </is>
      </c>
      <c r="B471" s="2" t="inlineStr">
        <is>
          <t>minority_interest</t>
        </is>
      </c>
      <c r="C471" s="2" t="inlineStr">
        <is>
          <t>2024-11-03</t>
        </is>
      </c>
      <c r="D471" s="2" t="n"/>
      <c r="E471" s="2" t="inlineStr">
        <is>
          <t>USD</t>
        </is>
      </c>
      <c r="F471" s="2" t="inlineStr">
        <is>
          <t>not_available</t>
        </is>
      </c>
      <c r="G471" s="2" t="inlineStr"/>
      <c r="H471" s="2" t="inlineStr"/>
      <c r="I471" s="2" t="inlineStr">
        <is>
          <t>null</t>
        </is>
      </c>
    </row>
    <row r="472" ht="42" customHeight="1">
      <c r="A472" s="2" t="inlineStr">
        <is>
          <t>Annual</t>
        </is>
      </c>
      <c r="B472" s="2" t="inlineStr">
        <is>
          <t>minority_interest</t>
        </is>
      </c>
      <c r="C472" s="2" t="inlineStr">
        <is>
          <t>2025-11-02</t>
        </is>
      </c>
      <c r="D472" s="2" t="n"/>
      <c r="E472" s="2" t="inlineStr">
        <is>
          <t>USD</t>
        </is>
      </c>
      <c r="F472" s="2" t="inlineStr">
        <is>
          <t>not_available</t>
        </is>
      </c>
      <c r="G472" s="2" t="inlineStr"/>
      <c r="H472" s="2" t="inlineStr"/>
      <c r="I472" s="2" t="inlineStr">
        <is>
          <t>null</t>
        </is>
      </c>
    </row>
    <row r="473" ht="42" customHeight="1">
      <c r="A473" s="2" t="inlineStr">
        <is>
          <t>Annual</t>
        </is>
      </c>
      <c r="B473" s="2" t="inlineStr">
        <is>
          <t>preferred</t>
        </is>
      </c>
      <c r="C473" s="2" t="inlineStr">
        <is>
          <t>2016-10-30</t>
        </is>
      </c>
      <c r="D473" s="2" t="n"/>
      <c r="E473" s="2" t="inlineStr">
        <is>
          <t>USD</t>
        </is>
      </c>
      <c r="F473" s="2" t="inlineStr">
        <is>
          <t>not_available</t>
        </is>
      </c>
      <c r="G473" s="2" t="inlineStr"/>
      <c r="H473" s="2" t="inlineStr"/>
      <c r="I473" s="2" t="inlineStr">
        <is>
          <t>null</t>
        </is>
      </c>
    </row>
    <row r="474" ht="42" customHeight="1">
      <c r="A474" s="2" t="inlineStr">
        <is>
          <t>Annual</t>
        </is>
      </c>
      <c r="B474" s="2" t="inlineStr">
        <is>
          <t>preferred</t>
        </is>
      </c>
      <c r="C474" s="2" t="inlineStr">
        <is>
          <t>2017-10-29</t>
        </is>
      </c>
      <c r="D474" s="3" t="n">
        <v>0</v>
      </c>
      <c r="E474" s="2" t="inlineStr">
        <is>
          <t>USD</t>
        </is>
      </c>
      <c r="F474" s="2" t="inlineStr">
        <is>
          <t>reported</t>
        </is>
      </c>
      <c r="G474" s="2" t="inlineStr"/>
      <c r="H474" s="2" t="inlineStr">
        <is>
          <t>https://www.sec.gov/Archives/edgar/data/1730168/000173016818000084/0001730168-18-000084-index.html</t>
        </is>
      </c>
      <c r="I474" s="2" t="inlineStr">
        <is>
          <t>{"tag": "us-gaap:PreferredStockValue", "form": "10-K", "accession": "0001730168-18-000084", "filed": "2018-12-21"}</t>
        </is>
      </c>
    </row>
    <row r="475" ht="42" customHeight="1">
      <c r="A475" s="2" t="inlineStr">
        <is>
          <t>Annual</t>
        </is>
      </c>
      <c r="B475" s="2" t="inlineStr">
        <is>
          <t>preferred</t>
        </is>
      </c>
      <c r="C475" s="2" t="inlineStr">
        <is>
          <t>2018-11-04</t>
        </is>
      </c>
      <c r="D475" s="3" t="n">
        <v>0</v>
      </c>
      <c r="E475" s="2" t="inlineStr">
        <is>
          <t>USD</t>
        </is>
      </c>
      <c r="F475" s="2" t="inlineStr">
        <is>
          <t>reported</t>
        </is>
      </c>
      <c r="G475" s="2" t="inlineStr"/>
      <c r="H475" s="2" t="inlineStr">
        <is>
          <t>https://www.sec.gov/Archives/edgar/data/1730168/000173016819000144/0001730168-19-000144-index.html</t>
        </is>
      </c>
      <c r="I475" s="2" t="inlineStr">
        <is>
          <t>{"tag": "us-gaap:PreferredStockValue", "form": "10-K", "accession": "0001730168-19-000144", "filed": "2019-12-20"}</t>
        </is>
      </c>
    </row>
    <row r="476" ht="42" customHeight="1">
      <c r="A476" s="2" t="inlineStr">
        <is>
          <t>Annual</t>
        </is>
      </c>
      <c r="B476" s="2" t="inlineStr">
        <is>
          <t>preferred</t>
        </is>
      </c>
      <c r="C476" s="2" t="inlineStr">
        <is>
          <t>2019-11-03</t>
        </is>
      </c>
      <c r="D476" s="3" t="n">
        <v>0</v>
      </c>
      <c r="E476" s="2" t="inlineStr">
        <is>
          <t>USD</t>
        </is>
      </c>
      <c r="F476" s="2" t="inlineStr">
        <is>
          <t>reported</t>
        </is>
      </c>
      <c r="G476" s="2" t="inlineStr"/>
      <c r="H476" s="2" t="inlineStr">
        <is>
          <t>https://www.sec.gov/Archives/edgar/data/1730168/000173016820000226/0001730168-20-000226-index.html</t>
        </is>
      </c>
      <c r="I476" s="2" t="inlineStr">
        <is>
          <t>{"tag": "us-gaap:PreferredStockValue", "form": "10-K", "accession": "0001730168-20-000226", "filed": "2020-12-18"}</t>
        </is>
      </c>
    </row>
    <row r="477" ht="42" customHeight="1">
      <c r="A477" s="2" t="inlineStr">
        <is>
          <t>Annual</t>
        </is>
      </c>
      <c r="B477" s="2" t="inlineStr">
        <is>
          <t>preferred</t>
        </is>
      </c>
      <c r="C477" s="2" t="inlineStr">
        <is>
          <t>2020-11-01</t>
        </is>
      </c>
      <c r="D477" s="3" t="n">
        <v>0</v>
      </c>
      <c r="E477" s="2" t="inlineStr">
        <is>
          <t>USD</t>
        </is>
      </c>
      <c r="F477" s="2" t="inlineStr">
        <is>
          <t>reported</t>
        </is>
      </c>
      <c r="G477" s="2" t="inlineStr"/>
      <c r="H477" s="2" t="inlineStr">
        <is>
          <t>https://www.sec.gov/Archives/edgar/data/1730168/000173016821000153/0001730168-21-000153-index.html</t>
        </is>
      </c>
      <c r="I477" s="2" t="inlineStr">
        <is>
          <t>{"tag": "us-gaap:PreferredStockValue", "form": "10-K", "accession": "0001730168-21-000153", "filed": "2021-12-17"}</t>
        </is>
      </c>
    </row>
    <row r="478" ht="42" customHeight="1">
      <c r="A478" s="2" t="inlineStr">
        <is>
          <t>Annual</t>
        </is>
      </c>
      <c r="B478" s="2" t="inlineStr">
        <is>
          <t>preferred</t>
        </is>
      </c>
      <c r="C478" s="2" t="inlineStr">
        <is>
          <t>2021-10-31</t>
        </is>
      </c>
      <c r="D478" s="3" t="n">
        <v>0</v>
      </c>
      <c r="E478" s="2" t="inlineStr">
        <is>
          <t>USD</t>
        </is>
      </c>
      <c r="F478" s="2" t="inlineStr">
        <is>
          <t>reported</t>
        </is>
      </c>
      <c r="G478" s="2" t="inlineStr"/>
      <c r="H478" s="2" t="inlineStr">
        <is>
          <t>https://www.sec.gov/Archives/edgar/data/1730168/000173016822000118/0001730168-22-000118-index.html</t>
        </is>
      </c>
      <c r="I478" s="2" t="inlineStr">
        <is>
          <t>{"tag": "us-gaap:PreferredStockValue", "form": "10-K", "accession": "0001730168-22-000118", "filed": "2022-12-16"}</t>
        </is>
      </c>
    </row>
    <row r="479" ht="42" customHeight="1">
      <c r="A479" s="2" t="inlineStr">
        <is>
          <t>Annual</t>
        </is>
      </c>
      <c r="B479" s="2" t="inlineStr">
        <is>
          <t>preferred</t>
        </is>
      </c>
      <c r="C479" s="2" t="inlineStr">
        <is>
          <t>2022-10-30</t>
        </is>
      </c>
      <c r="D479" s="3" t="n">
        <v>0</v>
      </c>
      <c r="E479" s="2" t="inlineStr">
        <is>
          <t>USD</t>
        </is>
      </c>
      <c r="F479" s="2" t="inlineStr">
        <is>
          <t>reported</t>
        </is>
      </c>
      <c r="G479" s="2" t="inlineStr"/>
      <c r="H479" s="2" t="inlineStr">
        <is>
          <t>https://www.sec.gov/Archives/edgar/data/1730168/000173016823000096/0001730168-23-000096-index.html</t>
        </is>
      </c>
      <c r="I479" s="2" t="inlineStr">
        <is>
          <t>{"tag": "us-gaap:PreferredStockValue", "form": "10-K", "accession": "0001730168-23-000096", "filed": "2023-12-14"}</t>
        </is>
      </c>
    </row>
    <row r="480" ht="42" customHeight="1">
      <c r="A480" s="2" t="inlineStr">
        <is>
          <t>Annual</t>
        </is>
      </c>
      <c r="B480" s="2" t="inlineStr">
        <is>
          <t>preferred</t>
        </is>
      </c>
      <c r="C480" s="2" t="inlineStr">
        <is>
          <t>2023-10-29</t>
        </is>
      </c>
      <c r="D480" s="3" t="n">
        <v>0</v>
      </c>
      <c r="E480" s="2" t="inlineStr">
        <is>
          <t>USD</t>
        </is>
      </c>
      <c r="F480" s="2" t="inlineStr">
        <is>
          <t>reported</t>
        </is>
      </c>
      <c r="G480" s="2" t="inlineStr"/>
      <c r="H480" s="2" t="inlineStr">
        <is>
          <t>https://www.sec.gov/Archives/edgar/data/1730168/000173016824000139/0001730168-24-000139-index.html</t>
        </is>
      </c>
      <c r="I480" s="2" t="inlineStr">
        <is>
          <t>{"tag": "us-gaap:PreferredStockValue", "form": "10-K", "accession": "0001730168-24-000139", "filed": "2024-12-20"}</t>
        </is>
      </c>
    </row>
    <row r="481" ht="42" customHeight="1">
      <c r="A481" s="2" t="inlineStr">
        <is>
          <t>Annual</t>
        </is>
      </c>
      <c r="B481" s="2" t="inlineStr">
        <is>
          <t>preferred</t>
        </is>
      </c>
      <c r="C481" s="2" t="inlineStr">
        <is>
          <t>2024-11-03</t>
        </is>
      </c>
      <c r="D481" s="3" t="n">
        <v>0</v>
      </c>
      <c r="E481" s="2" t="inlineStr">
        <is>
          <t>USD</t>
        </is>
      </c>
      <c r="F481" s="2" t="inlineStr">
        <is>
          <t>reported</t>
        </is>
      </c>
      <c r="G481" s="2" t="inlineStr"/>
      <c r="H481" s="2" t="inlineStr">
        <is>
          <t>https://www.sec.gov/Archives/edgar/data/1730168/000173016825000121/0001730168-25-000121-index.html</t>
        </is>
      </c>
      <c r="I481" s="2" t="inlineStr">
        <is>
          <t>{"tag": "us-gaap:PreferredStockValue", "form": "10-K", "accession": "0001730168-25-000121", "filed": "2025-12-18"}</t>
        </is>
      </c>
    </row>
    <row r="482" ht="42" customHeight="1">
      <c r="A482" s="2" t="inlineStr">
        <is>
          <t>Annual</t>
        </is>
      </c>
      <c r="B482" s="2" t="inlineStr">
        <is>
          <t>preferred</t>
        </is>
      </c>
      <c r="C482" s="2" t="inlineStr">
        <is>
          <t>2025-11-02</t>
        </is>
      </c>
      <c r="D482" s="3" t="n">
        <v>0</v>
      </c>
      <c r="E482" s="2" t="inlineStr">
        <is>
          <t>USD</t>
        </is>
      </c>
      <c r="F482" s="2" t="inlineStr">
        <is>
          <t>reported</t>
        </is>
      </c>
      <c r="G482" s="2" t="inlineStr"/>
      <c r="H482" s="2" t="inlineStr">
        <is>
          <t>https://www.sec.gov/Archives/edgar/data/1730168/000173016825000121/0001730168-25-000121-index.html</t>
        </is>
      </c>
      <c r="I482" s="2" t="inlineStr">
        <is>
          <t>{"tag": "us-gaap:PreferredStockValue", "form": "10-K", "accession": "0001730168-25-000121", "filed": "2025-12-18"}</t>
        </is>
      </c>
    </row>
    <row r="483" ht="42" customHeight="1">
      <c r="A483" s="2" t="inlineStr">
        <is>
          <t>Annual</t>
        </is>
      </c>
      <c r="B483" s="2" t="inlineStr">
        <is>
          <t>shares_outstanding</t>
        </is>
      </c>
      <c r="C483" s="2" t="inlineStr">
        <is>
          <t>2016-10-30</t>
        </is>
      </c>
      <c r="D483" s="2" t="n"/>
      <c r="E483" s="2" t="inlineStr">
        <is>
          <t>shares</t>
        </is>
      </c>
      <c r="F483" s="2" t="inlineStr">
        <is>
          <t>not_available</t>
        </is>
      </c>
      <c r="G483" s="2" t="inlineStr"/>
      <c r="H483" s="2" t="inlineStr"/>
      <c r="I483" s="2" t="inlineStr">
        <is>
          <t>null</t>
        </is>
      </c>
    </row>
    <row r="484" ht="42" customHeight="1">
      <c r="A484" s="2" t="inlineStr">
        <is>
          <t>Annual</t>
        </is>
      </c>
      <c r="B484" s="2" t="inlineStr">
        <is>
          <t>shares_outstanding</t>
        </is>
      </c>
      <c r="C484" s="2" t="inlineStr">
        <is>
          <t>2017-10-29</t>
        </is>
      </c>
      <c r="D484" s="3" t="n">
        <v>4087321550</v>
      </c>
      <c r="E484" s="2" t="inlineStr">
        <is>
          <t>shares</t>
        </is>
      </c>
      <c r="F484" s="2" t="inlineStr">
        <is>
          <t>reported</t>
        </is>
      </c>
      <c r="G484" s="2" t="inlineStr">
        <is>
          <t>split_adjusted</t>
        </is>
      </c>
      <c r="H484" s="2" t="inlineStr">
        <is>
          <t>https://www.sec.gov/Archives/edgar/data/1730168/000173016818000084/0001730168-18-000084-index.html</t>
        </is>
      </c>
      <c r="I484" s="2" t="inlineStr">
        <is>
          <t>{"tag": "us-gaap:CommonStockSharesOutstanding", "form": "10-K", "accession": "0001730168-18-000084", "filed": "2018-12-21"}</t>
        </is>
      </c>
    </row>
    <row r="485" ht="42" customHeight="1">
      <c r="A485" s="2" t="inlineStr">
        <is>
          <t>Annual</t>
        </is>
      </c>
      <c r="B485" s="2" t="inlineStr">
        <is>
          <t>shares_outstanding</t>
        </is>
      </c>
      <c r="C485" s="2" t="inlineStr">
        <is>
          <t>2018-11-04</t>
        </is>
      </c>
      <c r="D485" s="3" t="n">
        <v>4076376180</v>
      </c>
      <c r="E485" s="2" t="inlineStr">
        <is>
          <t>shares</t>
        </is>
      </c>
      <c r="F485" s="2" t="inlineStr">
        <is>
          <t>reported</t>
        </is>
      </c>
      <c r="G485" s="2" t="inlineStr">
        <is>
          <t>split_adjusted</t>
        </is>
      </c>
      <c r="H485" s="2" t="inlineStr">
        <is>
          <t>https://www.sec.gov/Archives/edgar/data/1730168/000173016819000144/0001730168-19-000144-index.html</t>
        </is>
      </c>
      <c r="I485" s="2" t="inlineStr">
        <is>
          <t>{"tag": "us-gaap:CommonStockSharesOutstanding", "form": "10-K", "accession": "0001730168-19-000144", "filed": "2019-12-20"}</t>
        </is>
      </c>
    </row>
    <row r="486" ht="42" customHeight="1">
      <c r="A486" s="2" t="inlineStr">
        <is>
          <t>Annual</t>
        </is>
      </c>
      <c r="B486" s="2" t="inlineStr">
        <is>
          <t>shares_outstanding</t>
        </is>
      </c>
      <c r="C486" s="2" t="inlineStr">
        <is>
          <t>2019-11-03</t>
        </is>
      </c>
      <c r="D486" s="3" t="n">
        <v>3980000000</v>
      </c>
      <c r="E486" s="2" t="inlineStr">
        <is>
          <t>shares</t>
        </is>
      </c>
      <c r="F486" s="2" t="inlineStr">
        <is>
          <t>reported</t>
        </is>
      </c>
      <c r="G486" s="2" t="inlineStr">
        <is>
          <t>restated, split_adjusted</t>
        </is>
      </c>
      <c r="H486" s="2" t="inlineStr">
        <is>
          <t>https://www.sec.gov/Archives/edgar/data/1730168/000173016820000226/0001730168-20-000226-index.html</t>
        </is>
      </c>
      <c r="I486" s="2" t="inlineStr">
        <is>
          <t>{"tag": "us-gaap:CommonStockSharesOutstanding", "form": "10-K", "accession": "0001730168-20-000226", "filed": "2020-12-18"}</t>
        </is>
      </c>
    </row>
    <row r="487" ht="42" customHeight="1">
      <c r="A487" s="2" t="inlineStr">
        <is>
          <t>Annual</t>
        </is>
      </c>
      <c r="B487" s="2" t="inlineStr">
        <is>
          <t>shares_outstanding</t>
        </is>
      </c>
      <c r="C487" s="2" t="inlineStr">
        <is>
          <t>2020-11-01</t>
        </is>
      </c>
      <c r="D487" s="3" t="n">
        <v>4070000000</v>
      </c>
      <c r="E487" s="2" t="inlineStr">
        <is>
          <t>shares</t>
        </is>
      </c>
      <c r="F487" s="2" t="inlineStr">
        <is>
          <t>reported</t>
        </is>
      </c>
      <c r="G487" s="2" t="inlineStr">
        <is>
          <t>split_adjusted</t>
        </is>
      </c>
      <c r="H487" s="2" t="inlineStr">
        <is>
          <t>https://www.sec.gov/Archives/edgar/data/1730168/000173016821000153/0001730168-21-000153-index.html</t>
        </is>
      </c>
      <c r="I487" s="2" t="inlineStr">
        <is>
          <t>{"tag": "us-gaap:CommonStockSharesOutstanding", "form": "10-K", "accession": "0001730168-21-000153", "filed": "2021-12-17"}</t>
        </is>
      </c>
    </row>
    <row r="488" ht="42" customHeight="1">
      <c r="A488" s="2" t="inlineStr">
        <is>
          <t>Annual</t>
        </is>
      </c>
      <c r="B488" s="2" t="inlineStr">
        <is>
          <t>shares_outstanding</t>
        </is>
      </c>
      <c r="C488" s="2" t="inlineStr">
        <is>
          <t>2021-10-31</t>
        </is>
      </c>
      <c r="D488" s="3" t="n">
        <v>4130000000</v>
      </c>
      <c r="E488" s="2" t="inlineStr">
        <is>
          <t>shares</t>
        </is>
      </c>
      <c r="F488" s="2" t="inlineStr">
        <is>
          <t>reported</t>
        </is>
      </c>
      <c r="G488" s="2" t="inlineStr">
        <is>
          <t>split_adjusted</t>
        </is>
      </c>
      <c r="H488" s="2" t="inlineStr">
        <is>
          <t>https://www.sec.gov/Archives/edgar/data/1730168/000173016822000118/0001730168-22-000118-index.html</t>
        </is>
      </c>
      <c r="I488" s="2" t="inlineStr">
        <is>
          <t>{"tag": "us-gaap:CommonStockSharesOutstanding", "form": "10-K", "accession": "0001730168-22-000118", "filed": "2022-12-16"}</t>
        </is>
      </c>
    </row>
    <row r="489" ht="42" customHeight="1">
      <c r="A489" s="2" t="inlineStr">
        <is>
          <t>Annual</t>
        </is>
      </c>
      <c r="B489" s="2" t="inlineStr">
        <is>
          <t>shares_outstanding</t>
        </is>
      </c>
      <c r="C489" s="2" t="inlineStr">
        <is>
          <t>2022-10-30</t>
        </is>
      </c>
      <c r="D489" s="3" t="n">
        <v>4180000000</v>
      </c>
      <c r="E489" s="2" t="inlineStr">
        <is>
          <t>shares</t>
        </is>
      </c>
      <c r="F489" s="2" t="inlineStr">
        <is>
          <t>reported</t>
        </is>
      </c>
      <c r="G489" s="2" t="inlineStr">
        <is>
          <t>split_adjusted</t>
        </is>
      </c>
      <c r="H489" s="2" t="inlineStr">
        <is>
          <t>https://www.sec.gov/Archives/edgar/data/1730168/000173016823000096/0001730168-23-000096-index.html</t>
        </is>
      </c>
      <c r="I489" s="2" t="inlineStr">
        <is>
          <t>{"tag": "us-gaap:CommonStockSharesOutstanding", "form": "10-K", "accession": "0001730168-23-000096", "filed": "2023-12-14"}</t>
        </is>
      </c>
    </row>
    <row r="490" ht="42" customHeight="1">
      <c r="A490" s="2" t="inlineStr">
        <is>
          <t>Annual</t>
        </is>
      </c>
      <c r="B490" s="2" t="inlineStr">
        <is>
          <t>shares_outstanding</t>
        </is>
      </c>
      <c r="C490" s="2" t="inlineStr">
        <is>
          <t>2023-10-29</t>
        </is>
      </c>
      <c r="D490" s="3" t="n">
        <v>4139000000</v>
      </c>
      <c r="E490" s="2" t="inlineStr">
        <is>
          <t>shares</t>
        </is>
      </c>
      <c r="F490" s="2" t="inlineStr">
        <is>
          <t>reported</t>
        </is>
      </c>
      <c r="G490" s="2" t="inlineStr">
        <is>
          <t>split_adjusted</t>
        </is>
      </c>
      <c r="H490" s="2" t="inlineStr">
        <is>
          <t>https://www.sec.gov/Archives/edgar/data/1730168/000173016824000139/0001730168-24-000139-index.html</t>
        </is>
      </c>
      <c r="I490" s="2" t="inlineStr">
        <is>
          <t>{"tag": "us-gaap:CommonStockSharesOutstanding", "form": "10-K", "accession": "0001730168-24-000139", "filed": "2024-12-20"}</t>
        </is>
      </c>
    </row>
    <row r="491" ht="42" customHeight="1">
      <c r="A491" s="2" t="inlineStr">
        <is>
          <t>Annual</t>
        </is>
      </c>
      <c r="B491" s="2" t="inlineStr">
        <is>
          <t>shares_outstanding</t>
        </is>
      </c>
      <c r="C491" s="2" t="inlineStr">
        <is>
          <t>2024-11-03</t>
        </is>
      </c>
      <c r="D491" s="3" t="n">
        <v>4686000000</v>
      </c>
      <c r="E491" s="2" t="inlineStr">
        <is>
          <t>shares</t>
        </is>
      </c>
      <c r="F491" s="2" t="inlineStr">
        <is>
          <t>reported</t>
        </is>
      </c>
      <c r="G491" s="2" t="inlineStr"/>
      <c r="H491" s="2" t="inlineStr">
        <is>
          <t>https://www.sec.gov/Archives/edgar/data/1730168/000173016825000121/0001730168-25-000121-index.html</t>
        </is>
      </c>
      <c r="I491" s="2" t="inlineStr">
        <is>
          <t>{"tag": "us-gaap:CommonStockSharesOutstanding", "form": "10-K", "accession": "0001730168-25-000121", "filed": "2025-12-18"}</t>
        </is>
      </c>
    </row>
    <row r="492" ht="42" customHeight="1">
      <c r="A492" s="2" t="inlineStr">
        <is>
          <t>Annual</t>
        </is>
      </c>
      <c r="B492" s="2" t="inlineStr">
        <is>
          <t>shares_outstanding</t>
        </is>
      </c>
      <c r="C492" s="2" t="inlineStr">
        <is>
          <t>2025-11-02</t>
        </is>
      </c>
      <c r="D492" s="3" t="n">
        <v>4741000000</v>
      </c>
      <c r="E492" s="2" t="inlineStr">
        <is>
          <t>shares</t>
        </is>
      </c>
      <c r="F492" s="2" t="inlineStr">
        <is>
          <t>reported</t>
        </is>
      </c>
      <c r="G492" s="2" t="inlineStr"/>
      <c r="H492" s="2" t="inlineStr">
        <is>
          <t>https://www.sec.gov/Archives/edgar/data/1730168/000173016825000121/0001730168-25-000121-index.html</t>
        </is>
      </c>
      <c r="I492" s="2" t="inlineStr">
        <is>
          <t>{"tag": "us-gaap:CommonStockSharesOutstanding", "form": "10-K", "accession": "0001730168-25-000121", "filed": "2025-12-18"}</t>
        </is>
      </c>
    </row>
    <row r="493" ht="42" customHeight="1">
      <c r="A493" s="2" t="inlineStr">
        <is>
          <t>Annual</t>
        </is>
      </c>
      <c r="B493" s="2" t="inlineStr">
        <is>
          <t>maturity_y1</t>
        </is>
      </c>
      <c r="C493" s="2" t="inlineStr">
        <is>
          <t>2016-10-30</t>
        </is>
      </c>
      <c r="D493" s="2" t="n"/>
      <c r="E493" s="2" t="inlineStr">
        <is>
          <t>USD</t>
        </is>
      </c>
      <c r="F493" s="2" t="inlineStr">
        <is>
          <t>not_available</t>
        </is>
      </c>
      <c r="G493" s="2" t="inlineStr"/>
      <c r="H493" s="2" t="inlineStr"/>
      <c r="I493" s="2" t="inlineStr">
        <is>
          <t>null</t>
        </is>
      </c>
    </row>
    <row r="494" ht="42" customHeight="1">
      <c r="A494" s="2" t="inlineStr">
        <is>
          <t>Annual</t>
        </is>
      </c>
      <c r="B494" s="2" t="inlineStr">
        <is>
          <t>maturity_y1</t>
        </is>
      </c>
      <c r="C494" s="2" t="inlineStr">
        <is>
          <t>2017-10-29</t>
        </is>
      </c>
      <c r="D494" s="2" t="n"/>
      <c r="E494" s="2" t="inlineStr">
        <is>
          <t>USD</t>
        </is>
      </c>
      <c r="F494" s="2" t="inlineStr">
        <is>
          <t>not_available</t>
        </is>
      </c>
      <c r="G494" s="2" t="inlineStr"/>
      <c r="H494" s="2" t="inlineStr"/>
      <c r="I494" s="2" t="inlineStr">
        <is>
          <t>null</t>
        </is>
      </c>
    </row>
    <row r="495" ht="42" customHeight="1">
      <c r="A495" s="2" t="inlineStr">
        <is>
          <t>Annual</t>
        </is>
      </c>
      <c r="B495" s="2" t="inlineStr">
        <is>
          <t>maturity_y1</t>
        </is>
      </c>
      <c r="C495" s="2" t="inlineStr">
        <is>
          <t>2018-11-04</t>
        </is>
      </c>
      <c r="D495" s="3" t="n">
        <v>0</v>
      </c>
      <c r="E495" s="2" t="inlineStr">
        <is>
          <t>USD</t>
        </is>
      </c>
      <c r="F495" s="2" t="inlineStr">
        <is>
          <t>reported</t>
        </is>
      </c>
      <c r="G495" s="2" t="inlineStr"/>
      <c r="H495" s="2" t="inlineStr">
        <is>
          <t>https://www.sec.gov/Archives/edgar/data/1730168/000173016818000084/0001730168-18-000084-index.html</t>
        </is>
      </c>
      <c r="I495" s="2" t="inlineStr">
        <is>
          <t>{"tag": "us-gaap:LongTermDebtMaturitiesRepaymentsOfPrincipalInNextTwelveMonths", "form": "10-K", "accession": "0001730168-18-000084", "filed": "2018-12-21"}</t>
        </is>
      </c>
    </row>
    <row r="496" ht="42" customHeight="1">
      <c r="A496" s="2" t="inlineStr">
        <is>
          <t>Annual</t>
        </is>
      </c>
      <c r="B496" s="2" t="inlineStr">
        <is>
          <t>maturity_y1</t>
        </is>
      </c>
      <c r="C496" s="2" t="inlineStr">
        <is>
          <t>2019-11-03</t>
        </is>
      </c>
      <c r="D496" s="3" t="n">
        <v>4537000000</v>
      </c>
      <c r="E496" s="2" t="inlineStr">
        <is>
          <t>USD</t>
        </is>
      </c>
      <c r="F496" s="2" t="inlineStr">
        <is>
          <t>reported</t>
        </is>
      </c>
      <c r="G496" s="2" t="inlineStr"/>
      <c r="H496" s="2" t="inlineStr">
        <is>
          <t>https://www.sec.gov/Archives/edgar/data/1730168/000173016819000144/0001730168-19-000144-index.html</t>
        </is>
      </c>
      <c r="I496" s="2" t="inlineStr">
        <is>
          <t>{"tag": "us-gaap:LongTermDebtMaturitiesRepaymentsOfPrincipalInNextTwelveMonths", "form": "10-K", "accession": "0001730168-19-000144", "filed": "2019-12-20"}</t>
        </is>
      </c>
    </row>
    <row r="497" ht="42" customHeight="1">
      <c r="A497" s="2" t="inlineStr">
        <is>
          <t>Annual</t>
        </is>
      </c>
      <c r="B497" s="2" t="inlineStr">
        <is>
          <t>maturity_y1</t>
        </is>
      </c>
      <c r="C497" s="2" t="inlineStr">
        <is>
          <t>2020-11-01</t>
        </is>
      </c>
      <c r="D497" s="2" t="n"/>
      <c r="E497" s="2" t="inlineStr">
        <is>
          <t>USD</t>
        </is>
      </c>
      <c r="F497" s="2" t="inlineStr">
        <is>
          <t>not_available</t>
        </is>
      </c>
      <c r="G497" s="2" t="inlineStr"/>
      <c r="H497" s="2" t="inlineStr"/>
      <c r="I497" s="2" t="inlineStr">
        <is>
          <t>null</t>
        </is>
      </c>
    </row>
    <row r="498" ht="42" customHeight="1">
      <c r="A498" s="2" t="inlineStr">
        <is>
          <t>Annual</t>
        </is>
      </c>
      <c r="B498" s="2" t="inlineStr">
        <is>
          <t>maturity_y1</t>
        </is>
      </c>
      <c r="C498" s="2" t="inlineStr">
        <is>
          <t>2021-10-31</t>
        </is>
      </c>
      <c r="D498" s="3" t="n">
        <v>264000000</v>
      </c>
      <c r="E498" s="2" t="inlineStr">
        <is>
          <t>USD</t>
        </is>
      </c>
      <c r="F498" s="2" t="inlineStr">
        <is>
          <t>reported</t>
        </is>
      </c>
      <c r="G498" s="2" t="inlineStr"/>
      <c r="H498" s="2" t="inlineStr">
        <is>
          <t>https://www.sec.gov/Archives/edgar/data/1730168/000173016821000153/0001730168-21-000153-index.html</t>
        </is>
      </c>
      <c r="I498" s="2" t="inlineStr">
        <is>
          <t>{"tag": "us-gaap:LongTermDebtMaturitiesRepaymentsOfPrincipalInNextTwelveMonths", "form": "10-K", "accession": "0001730168-21-000153", "filed": "2021-12-17"}</t>
        </is>
      </c>
    </row>
    <row r="499" ht="42" customHeight="1">
      <c r="A499" s="2" t="inlineStr">
        <is>
          <t>Annual</t>
        </is>
      </c>
      <c r="B499" s="2" t="inlineStr">
        <is>
          <t>maturity_y1</t>
        </is>
      </c>
      <c r="C499" s="2" t="inlineStr">
        <is>
          <t>2022-10-30</t>
        </is>
      </c>
      <c r="D499" s="3" t="n">
        <v>403000000</v>
      </c>
      <c r="E499" s="2" t="inlineStr">
        <is>
          <t>USD</t>
        </is>
      </c>
      <c r="F499" s="2" t="inlineStr">
        <is>
          <t>reported</t>
        </is>
      </c>
      <c r="G499" s="2" t="inlineStr"/>
      <c r="H499" s="2" t="inlineStr">
        <is>
          <t>https://www.sec.gov/Archives/edgar/data/1730168/000173016822000118/0001730168-22-000118-index.html</t>
        </is>
      </c>
      <c r="I499" s="2" t="inlineStr">
        <is>
          <t>{"tag": "us-gaap:LongTermDebtMaturitiesRepaymentsOfPrincipalInNextTwelveMonths", "form": "10-K", "accession": "0001730168-22-000118", "filed": "2022-12-16"}</t>
        </is>
      </c>
    </row>
    <row r="500" ht="42" customHeight="1">
      <c r="A500" s="2" t="inlineStr">
        <is>
          <t>Annual</t>
        </is>
      </c>
      <c r="B500" s="2" t="inlineStr">
        <is>
          <t>maturity_y1</t>
        </is>
      </c>
      <c r="C500" s="2" t="inlineStr">
        <is>
          <t>2023-10-29</t>
        </is>
      </c>
      <c r="D500" s="3" t="n">
        <v>1563000000</v>
      </c>
      <c r="E500" s="2" t="inlineStr">
        <is>
          <t>USD</t>
        </is>
      </c>
      <c r="F500" s="2" t="inlineStr">
        <is>
          <t>reported</t>
        </is>
      </c>
      <c r="G500" s="2" t="inlineStr"/>
      <c r="H500" s="2" t="inlineStr">
        <is>
          <t>https://www.sec.gov/Archives/edgar/data/1730168/000173016823000096/0001730168-23-000096-index.html</t>
        </is>
      </c>
      <c r="I500" s="2" t="inlineStr">
        <is>
          <t>{"tag": "us-gaap:LongTermDebtMaturitiesRepaymentsOfPrincipalInNextTwelveMonths", "form": "10-K", "accession": "0001730168-23-000096", "filed": "2023-12-14"}</t>
        </is>
      </c>
    </row>
    <row r="501" ht="42" customHeight="1">
      <c r="A501" s="2" t="inlineStr">
        <is>
          <t>Annual</t>
        </is>
      </c>
      <c r="B501" s="2" t="inlineStr">
        <is>
          <t>maturity_y1</t>
        </is>
      </c>
      <c r="C501" s="2" t="inlineStr">
        <is>
          <t>2024-11-03</t>
        </is>
      </c>
      <c r="D501" s="3" t="n">
        <v>1245000000</v>
      </c>
      <c r="E501" s="2" t="inlineStr">
        <is>
          <t>USD</t>
        </is>
      </c>
      <c r="F501" s="2" t="inlineStr">
        <is>
          <t>reported</t>
        </is>
      </c>
      <c r="G501" s="2" t="inlineStr"/>
      <c r="H501" s="2" t="inlineStr">
        <is>
          <t>https://www.sec.gov/Archives/edgar/data/1730168/000173016824000139/0001730168-24-000139-index.html</t>
        </is>
      </c>
      <c r="I501" s="2" t="inlineStr">
        <is>
          <t>{"tag": "us-gaap:LongTermDebtMaturitiesRepaymentsOfPrincipalInNextTwelveMonths", "form": "10-K", "accession": "0001730168-24-000139", "filed": "2024-12-20"}</t>
        </is>
      </c>
    </row>
    <row r="502" ht="42" customHeight="1">
      <c r="A502" s="2" t="inlineStr">
        <is>
          <t>Annual</t>
        </is>
      </c>
      <c r="B502" s="2" t="inlineStr">
        <is>
          <t>maturity_y1</t>
        </is>
      </c>
      <c r="C502" s="2" t="inlineStr">
        <is>
          <t>2025-11-02</t>
        </is>
      </c>
      <c r="D502" s="3" t="n">
        <v>3152000000</v>
      </c>
      <c r="E502" s="2" t="inlineStr">
        <is>
          <t>USD</t>
        </is>
      </c>
      <c r="F502" s="2" t="inlineStr">
        <is>
          <t>reported</t>
        </is>
      </c>
      <c r="G502" s="2" t="inlineStr"/>
      <c r="H502" s="2" t="inlineStr">
        <is>
          <t>https://www.sec.gov/Archives/edgar/data/1730168/000173016825000121/0001730168-25-000121-index.html</t>
        </is>
      </c>
      <c r="I502" s="2" t="inlineStr">
        <is>
          <t>{"tag": "us-gaap:LongTermDebtMaturitiesRepaymentsOfPrincipalInNextTwelveMonths", "form": "10-K", "accession": "0001730168-25-000121", "filed": "2025-12-18"}</t>
        </is>
      </c>
    </row>
    <row r="503" ht="42" customHeight="1">
      <c r="A503" s="2" t="inlineStr">
        <is>
          <t>Annual</t>
        </is>
      </c>
      <c r="B503" s="2" t="inlineStr">
        <is>
          <t>maturity_y2</t>
        </is>
      </c>
      <c r="C503" s="2" t="inlineStr">
        <is>
          <t>2016-10-30</t>
        </is>
      </c>
      <c r="D503" s="2" t="n"/>
      <c r="E503" s="2" t="inlineStr">
        <is>
          <t>USD</t>
        </is>
      </c>
      <c r="F503" s="2" t="inlineStr">
        <is>
          <t>not_available</t>
        </is>
      </c>
      <c r="G503" s="2" t="inlineStr"/>
      <c r="H503" s="2" t="inlineStr"/>
      <c r="I503" s="2" t="inlineStr">
        <is>
          <t>null</t>
        </is>
      </c>
    </row>
    <row r="504" ht="42" customHeight="1">
      <c r="A504" s="2" t="inlineStr">
        <is>
          <t>Annual</t>
        </is>
      </c>
      <c r="B504" s="2" t="inlineStr">
        <is>
          <t>maturity_y2</t>
        </is>
      </c>
      <c r="C504" s="2" t="inlineStr">
        <is>
          <t>2017-10-29</t>
        </is>
      </c>
      <c r="D504" s="2" t="n"/>
      <c r="E504" s="2" t="inlineStr">
        <is>
          <t>USD</t>
        </is>
      </c>
      <c r="F504" s="2" t="inlineStr">
        <is>
          <t>not_available</t>
        </is>
      </c>
      <c r="G504" s="2" t="inlineStr"/>
      <c r="H504" s="2" t="inlineStr"/>
      <c r="I504" s="2" t="inlineStr">
        <is>
          <t>null</t>
        </is>
      </c>
    </row>
    <row r="505" ht="42" customHeight="1">
      <c r="A505" s="2" t="inlineStr">
        <is>
          <t>Annual</t>
        </is>
      </c>
      <c r="B505" s="2" t="inlineStr">
        <is>
          <t>maturity_y2</t>
        </is>
      </c>
      <c r="C505" s="2" t="inlineStr">
        <is>
          <t>2018-11-04</t>
        </is>
      </c>
      <c r="D505" s="3" t="n">
        <v>2787000000</v>
      </c>
      <c r="E505" s="2" t="inlineStr">
        <is>
          <t>USD</t>
        </is>
      </c>
      <c r="F505" s="2" t="inlineStr">
        <is>
          <t>reported</t>
        </is>
      </c>
      <c r="G505" s="2" t="inlineStr"/>
      <c r="H505" s="2" t="inlineStr">
        <is>
          <t>https://www.sec.gov/Archives/edgar/data/1730168/000173016818000084/0001730168-18-000084-index.html</t>
        </is>
      </c>
      <c r="I505" s="2" t="inlineStr">
        <is>
          <t>{"tag": "us-gaap:LongTermDebtMaturitiesRepaymentsOfPrincipalInYearTwo", "form": "10-K", "accession": "0001730168-18-000084", "filed": "2018-12-21"}</t>
        </is>
      </c>
    </row>
    <row r="506" ht="42" customHeight="1">
      <c r="A506" s="2" t="inlineStr">
        <is>
          <t>Annual</t>
        </is>
      </c>
      <c r="B506" s="2" t="inlineStr">
        <is>
          <t>maturity_y2</t>
        </is>
      </c>
      <c r="C506" s="2" t="inlineStr">
        <is>
          <t>2019-11-03</t>
        </is>
      </c>
      <c r="D506" s="3" t="n">
        <v>2750000000</v>
      </c>
      <c r="E506" s="2" t="inlineStr">
        <is>
          <t>USD</t>
        </is>
      </c>
      <c r="F506" s="2" t="inlineStr">
        <is>
          <t>reported</t>
        </is>
      </c>
      <c r="G506" s="2" t="inlineStr"/>
      <c r="H506" s="2" t="inlineStr">
        <is>
          <t>https://www.sec.gov/Archives/edgar/data/1730168/000173016819000144/0001730168-19-000144-index.html</t>
        </is>
      </c>
      <c r="I506" s="2" t="inlineStr">
        <is>
          <t>{"tag": "us-gaap:LongTermDebtMaturitiesRepaymentsOfPrincipalInYearTwo", "form": "10-K", "accession": "0001730168-19-000144", "filed": "2019-12-20"}</t>
        </is>
      </c>
    </row>
    <row r="507" ht="42" customHeight="1">
      <c r="A507" s="2" t="inlineStr">
        <is>
          <t>Annual</t>
        </is>
      </c>
      <c r="B507" s="2" t="inlineStr">
        <is>
          <t>maturity_y2</t>
        </is>
      </c>
      <c r="C507" s="2" t="inlineStr">
        <is>
          <t>2020-11-01</t>
        </is>
      </c>
      <c r="D507" s="3" t="n">
        <v>1827000000</v>
      </c>
      <c r="E507" s="2" t="inlineStr">
        <is>
          <t>USD</t>
        </is>
      </c>
      <c r="F507" s="2" t="inlineStr">
        <is>
          <t>reported</t>
        </is>
      </c>
      <c r="G507" s="2" t="inlineStr"/>
      <c r="H507" s="2" t="inlineStr">
        <is>
          <t>https://www.sec.gov/Archives/edgar/data/1730168/000173016820000226/0001730168-20-000226-index.html</t>
        </is>
      </c>
      <c r="I507" s="2" t="inlineStr">
        <is>
          <t>{"tag": "us-gaap:LongTermDebtMaturitiesRepaymentsOfPrincipalInYearTwo", "form": "10-K", "accession": "0001730168-20-000226", "filed": "2020-12-18"}</t>
        </is>
      </c>
    </row>
    <row r="508" ht="42" customHeight="1">
      <c r="A508" s="2" t="inlineStr">
        <is>
          <t>Annual</t>
        </is>
      </c>
      <c r="B508" s="2" t="inlineStr">
        <is>
          <t>maturity_y2</t>
        </is>
      </c>
      <c r="C508" s="2" t="inlineStr">
        <is>
          <t>2021-10-31</t>
        </is>
      </c>
      <c r="D508" s="3" t="n">
        <v>403000000</v>
      </c>
      <c r="E508" s="2" t="inlineStr">
        <is>
          <t>USD</t>
        </is>
      </c>
      <c r="F508" s="2" t="inlineStr">
        <is>
          <t>reported</t>
        </is>
      </c>
      <c r="G508" s="2" t="inlineStr"/>
      <c r="H508" s="2" t="inlineStr">
        <is>
          <t>https://www.sec.gov/Archives/edgar/data/1730168/000173016821000153/0001730168-21-000153-index.html</t>
        </is>
      </c>
      <c r="I508" s="2" t="inlineStr">
        <is>
          <t>{"tag": "us-gaap:LongTermDebtMaturitiesRepaymentsOfPrincipalInYearTwo", "form": "10-K", "accession": "0001730168-21-000153", "filed": "2021-12-17"}</t>
        </is>
      </c>
    </row>
    <row r="509" ht="42" customHeight="1">
      <c r="A509" s="2" t="inlineStr">
        <is>
          <t>Annual</t>
        </is>
      </c>
      <c r="B509" s="2" t="inlineStr">
        <is>
          <t>maturity_y2</t>
        </is>
      </c>
      <c r="C509" s="2" t="inlineStr">
        <is>
          <t>2022-10-30</t>
        </is>
      </c>
      <c r="D509" s="3" t="n">
        <v>1563000000</v>
      </c>
      <c r="E509" s="2" t="inlineStr">
        <is>
          <t>USD</t>
        </is>
      </c>
      <c r="F509" s="2" t="inlineStr">
        <is>
          <t>reported</t>
        </is>
      </c>
      <c r="G509" s="2" t="inlineStr"/>
      <c r="H509" s="2" t="inlineStr">
        <is>
          <t>https://www.sec.gov/Archives/edgar/data/1730168/000173016822000118/0001730168-22-000118-index.html</t>
        </is>
      </c>
      <c r="I509" s="2" t="inlineStr">
        <is>
          <t>{"tag": "us-gaap:LongTermDebtMaturitiesRepaymentsOfPrincipalInYearTwo", "form": "10-K", "accession": "0001730168-22-000118", "filed": "2022-12-16"}</t>
        </is>
      </c>
    </row>
    <row r="510" ht="42" customHeight="1">
      <c r="A510" s="2" t="inlineStr">
        <is>
          <t>Annual</t>
        </is>
      </c>
      <c r="B510" s="2" t="inlineStr">
        <is>
          <t>maturity_y2</t>
        </is>
      </c>
      <c r="C510" s="2" t="inlineStr">
        <is>
          <t>2023-10-29</t>
        </is>
      </c>
      <c r="D510" s="3" t="n">
        <v>495000000</v>
      </c>
      <c r="E510" s="2" t="inlineStr">
        <is>
          <t>USD</t>
        </is>
      </c>
      <c r="F510" s="2" t="inlineStr">
        <is>
          <t>reported</t>
        </is>
      </c>
      <c r="G510" s="2" t="inlineStr"/>
      <c r="H510" s="2" t="inlineStr">
        <is>
          <t>https://www.sec.gov/Archives/edgar/data/1730168/000173016823000096/0001730168-23-000096-index.html</t>
        </is>
      </c>
      <c r="I510" s="2" t="inlineStr">
        <is>
          <t>{"tag": "us-gaap:LongTermDebtMaturitiesRepaymentsOfPrincipalInYearTwo", "form": "10-K", "accession": "0001730168-23-000096", "filed": "2023-12-14"}</t>
        </is>
      </c>
    </row>
    <row r="511" ht="42" customHeight="1">
      <c r="A511" s="2" t="inlineStr">
        <is>
          <t>Annual</t>
        </is>
      </c>
      <c r="B511" s="2" t="inlineStr">
        <is>
          <t>maturity_y2</t>
        </is>
      </c>
      <c r="C511" s="2" t="inlineStr">
        <is>
          <t>2024-11-03</t>
        </is>
      </c>
      <c r="D511" s="3" t="n">
        <v>3152000000</v>
      </c>
      <c r="E511" s="2" t="inlineStr">
        <is>
          <t>USD</t>
        </is>
      </c>
      <c r="F511" s="2" t="inlineStr">
        <is>
          <t>reported</t>
        </is>
      </c>
      <c r="G511" s="2" t="inlineStr"/>
      <c r="H511" s="2" t="inlineStr">
        <is>
          <t>https://www.sec.gov/Archives/edgar/data/1730168/000173016824000139/0001730168-24-000139-index.html</t>
        </is>
      </c>
      <c r="I511" s="2" t="inlineStr">
        <is>
          <t>{"tag": "us-gaap:LongTermDebtMaturitiesRepaymentsOfPrincipalInYearTwo", "form": "10-K", "accession": "0001730168-24-000139", "filed": "2024-12-20"}</t>
        </is>
      </c>
    </row>
    <row r="512" ht="42" customHeight="1">
      <c r="A512" s="2" t="inlineStr">
        <is>
          <t>Annual</t>
        </is>
      </c>
      <c r="B512" s="2" t="inlineStr">
        <is>
          <t>maturity_y2</t>
        </is>
      </c>
      <c r="C512" s="2" t="inlineStr">
        <is>
          <t>2025-11-02</t>
        </is>
      </c>
      <c r="D512" s="3" t="n">
        <v>2500000000</v>
      </c>
      <c r="E512" s="2" t="inlineStr">
        <is>
          <t>USD</t>
        </is>
      </c>
      <c r="F512" s="2" t="inlineStr">
        <is>
          <t>reported</t>
        </is>
      </c>
      <c r="G512" s="2" t="inlineStr"/>
      <c r="H512" s="2" t="inlineStr">
        <is>
          <t>https://www.sec.gov/Archives/edgar/data/1730168/000173016825000121/0001730168-25-000121-index.html</t>
        </is>
      </c>
      <c r="I512" s="2" t="inlineStr">
        <is>
          <t>{"tag": "us-gaap:LongTermDebtMaturitiesRepaymentsOfPrincipalInYearTwo", "form": "10-K", "accession": "0001730168-25-000121", "filed": "2025-12-18"}</t>
        </is>
      </c>
    </row>
    <row r="513" ht="42" customHeight="1">
      <c r="A513" s="2" t="inlineStr">
        <is>
          <t>Annual</t>
        </is>
      </c>
      <c r="B513" s="2" t="inlineStr">
        <is>
          <t>maturity_y3</t>
        </is>
      </c>
      <c r="C513" s="2" t="inlineStr">
        <is>
          <t>2016-10-30</t>
        </is>
      </c>
      <c r="D513" s="2" t="n"/>
      <c r="E513" s="2" t="inlineStr">
        <is>
          <t>USD</t>
        </is>
      </c>
      <c r="F513" s="2" t="inlineStr">
        <is>
          <t>not_available</t>
        </is>
      </c>
      <c r="G513" s="2" t="inlineStr"/>
      <c r="H513" s="2" t="inlineStr"/>
      <c r="I513" s="2" t="inlineStr">
        <is>
          <t>null</t>
        </is>
      </c>
    </row>
    <row r="514" ht="42" customHeight="1">
      <c r="A514" s="2" t="inlineStr">
        <is>
          <t>Annual</t>
        </is>
      </c>
      <c r="B514" s="2" t="inlineStr">
        <is>
          <t>maturity_y3</t>
        </is>
      </c>
      <c r="C514" s="2" t="inlineStr">
        <is>
          <t>2017-10-29</t>
        </is>
      </c>
      <c r="D514" s="2" t="n"/>
      <c r="E514" s="2" t="inlineStr">
        <is>
          <t>USD</t>
        </is>
      </c>
      <c r="F514" s="2" t="inlineStr">
        <is>
          <t>not_available</t>
        </is>
      </c>
      <c r="G514" s="2" t="inlineStr"/>
      <c r="H514" s="2" t="inlineStr"/>
      <c r="I514" s="2" t="inlineStr">
        <is>
          <t>null</t>
        </is>
      </c>
    </row>
    <row r="515" ht="42" customHeight="1">
      <c r="A515" s="2" t="inlineStr">
        <is>
          <t>Annual</t>
        </is>
      </c>
      <c r="B515" s="2" t="inlineStr">
        <is>
          <t>maturity_y3</t>
        </is>
      </c>
      <c r="C515" s="2" t="inlineStr">
        <is>
          <t>2018-11-04</t>
        </is>
      </c>
      <c r="D515" s="3" t="n">
        <v>750000000</v>
      </c>
      <c r="E515" s="2" t="inlineStr">
        <is>
          <t>USD</t>
        </is>
      </c>
      <c r="F515" s="2" t="inlineStr">
        <is>
          <t>reported</t>
        </is>
      </c>
      <c r="G515" s="2" t="inlineStr"/>
      <c r="H515" s="2" t="inlineStr">
        <is>
          <t>https://www.sec.gov/Archives/edgar/data/1730168/000173016818000084/0001730168-18-000084-index.html</t>
        </is>
      </c>
      <c r="I515" s="2" t="inlineStr">
        <is>
          <t>{"tag": "us-gaap:LongTermDebtMaturitiesRepaymentsOfPrincipalInYearThree", "form": "10-K", "accession": "0001730168-18-000084", "filed": "2018-12-21"}</t>
        </is>
      </c>
    </row>
    <row r="516" ht="42" customHeight="1">
      <c r="A516" s="2" t="inlineStr">
        <is>
          <t>Annual</t>
        </is>
      </c>
      <c r="B516" s="2" t="inlineStr">
        <is>
          <t>maturity_y3</t>
        </is>
      </c>
      <c r="C516" s="2" t="inlineStr">
        <is>
          <t>2019-11-03</t>
        </is>
      </c>
      <c r="D516" s="3" t="n">
        <v>5509000000</v>
      </c>
      <c r="E516" s="2" t="inlineStr">
        <is>
          <t>USD</t>
        </is>
      </c>
      <c r="F516" s="2" t="inlineStr">
        <is>
          <t>reported</t>
        </is>
      </c>
      <c r="G516" s="2" t="inlineStr"/>
      <c r="H516" s="2" t="inlineStr">
        <is>
          <t>https://www.sec.gov/Archives/edgar/data/1730168/000173016819000144/0001730168-19-000144-index.html</t>
        </is>
      </c>
      <c r="I516" s="2" t="inlineStr">
        <is>
          <t>{"tag": "us-gaap:LongTermDebtMaturitiesRepaymentsOfPrincipalInYearThree", "form": "10-K", "accession": "0001730168-19-000144", "filed": "2019-12-20"}</t>
        </is>
      </c>
    </row>
    <row r="517" ht="42" customHeight="1">
      <c r="A517" s="2" t="inlineStr">
        <is>
          <t>Annual</t>
        </is>
      </c>
      <c r="B517" s="2" t="inlineStr">
        <is>
          <t>maturity_y3</t>
        </is>
      </c>
      <c r="C517" s="2" t="inlineStr">
        <is>
          <t>2020-11-01</t>
        </is>
      </c>
      <c r="D517" s="3" t="n">
        <v>3069000000</v>
      </c>
      <c r="E517" s="2" t="inlineStr">
        <is>
          <t>USD</t>
        </is>
      </c>
      <c r="F517" s="2" t="inlineStr">
        <is>
          <t>reported</t>
        </is>
      </c>
      <c r="G517" s="2" t="inlineStr"/>
      <c r="H517" s="2" t="inlineStr">
        <is>
          <t>https://www.sec.gov/Archives/edgar/data/1730168/000173016820000226/0001730168-20-000226-index.html</t>
        </is>
      </c>
      <c r="I517" s="2" t="inlineStr">
        <is>
          <t>{"tag": "us-gaap:LongTermDebtMaturitiesRepaymentsOfPrincipalInYearThree", "form": "10-K", "accession": "0001730168-20-000226", "filed": "2020-12-18"}</t>
        </is>
      </c>
    </row>
    <row r="518" ht="42" customHeight="1">
      <c r="A518" s="2" t="inlineStr">
        <is>
          <t>Annual</t>
        </is>
      </c>
      <c r="B518" s="2" t="inlineStr">
        <is>
          <t>maturity_y3</t>
        </is>
      </c>
      <c r="C518" s="2" t="inlineStr">
        <is>
          <t>2021-10-31</t>
        </is>
      </c>
      <c r="D518" s="3" t="n">
        <v>1563000000</v>
      </c>
      <c r="E518" s="2" t="inlineStr">
        <is>
          <t>USD</t>
        </is>
      </c>
      <c r="F518" s="2" t="inlineStr">
        <is>
          <t>reported</t>
        </is>
      </c>
      <c r="G518" s="2" t="inlineStr"/>
      <c r="H518" s="2" t="inlineStr">
        <is>
          <t>https://www.sec.gov/Archives/edgar/data/1730168/000173016821000153/0001730168-21-000153-index.html</t>
        </is>
      </c>
      <c r="I518" s="2" t="inlineStr">
        <is>
          <t>{"tag": "us-gaap:LongTermDebtMaturitiesRepaymentsOfPrincipalInYearThree", "form": "10-K", "accession": "0001730168-21-000153", "filed": "2021-12-17"}</t>
        </is>
      </c>
    </row>
    <row r="519" ht="42" customHeight="1">
      <c r="A519" s="2" t="inlineStr">
        <is>
          <t>Annual</t>
        </is>
      </c>
      <c r="B519" s="2" t="inlineStr">
        <is>
          <t>maturity_y3</t>
        </is>
      </c>
      <c r="C519" s="2" t="inlineStr">
        <is>
          <t>2022-10-30</t>
        </is>
      </c>
      <c r="D519" s="3" t="n">
        <v>495000000</v>
      </c>
      <c r="E519" s="2" t="inlineStr">
        <is>
          <t>USD</t>
        </is>
      </c>
      <c r="F519" s="2" t="inlineStr">
        <is>
          <t>reported</t>
        </is>
      </c>
      <c r="G519" s="2" t="inlineStr"/>
      <c r="H519" s="2" t="inlineStr">
        <is>
          <t>https://www.sec.gov/Archives/edgar/data/1730168/000173016822000118/0001730168-22-000118-index.html</t>
        </is>
      </c>
      <c r="I519" s="2" t="inlineStr">
        <is>
          <t>{"tag": "us-gaap:LongTermDebtMaturitiesRepaymentsOfPrincipalInYearThree", "form": "10-K", "accession": "0001730168-22-000118", "filed": "2022-12-16"}</t>
        </is>
      </c>
    </row>
    <row r="520" ht="42" customHeight="1">
      <c r="A520" s="2" t="inlineStr">
        <is>
          <t>Annual</t>
        </is>
      </c>
      <c r="B520" s="2" t="inlineStr">
        <is>
          <t>maturity_y3</t>
        </is>
      </c>
      <c r="C520" s="2" t="inlineStr">
        <is>
          <t>2023-10-29</t>
        </is>
      </c>
      <c r="D520" s="3" t="n">
        <v>1652000000</v>
      </c>
      <c r="E520" s="2" t="inlineStr">
        <is>
          <t>USD</t>
        </is>
      </c>
      <c r="F520" s="2" t="inlineStr">
        <is>
          <t>reported</t>
        </is>
      </c>
      <c r="G520" s="2" t="inlineStr"/>
      <c r="H520" s="2" t="inlineStr">
        <is>
          <t>https://www.sec.gov/Archives/edgar/data/1730168/000173016823000096/0001730168-23-000096-index.html</t>
        </is>
      </c>
      <c r="I520" s="2" t="inlineStr">
        <is>
          <t>{"tag": "us-gaap:LongTermDebtMaturitiesRepaymentsOfPrincipalInYearThree", "form": "10-K", "accession": "0001730168-23-000096", "filed": "2023-12-14"}</t>
        </is>
      </c>
    </row>
    <row r="521" ht="42" customHeight="1">
      <c r="A521" s="2" t="inlineStr">
        <is>
          <t>Annual</t>
        </is>
      </c>
      <c r="B521" s="2" t="inlineStr">
        <is>
          <t>maturity_y3</t>
        </is>
      </c>
      <c r="C521" s="2" t="inlineStr">
        <is>
          <t>2024-11-03</t>
        </is>
      </c>
      <c r="D521" s="3" t="n">
        <v>11732000000</v>
      </c>
      <c r="E521" s="2" t="inlineStr">
        <is>
          <t>USD</t>
        </is>
      </c>
      <c r="F521" s="2" t="inlineStr">
        <is>
          <t>reported</t>
        </is>
      </c>
      <c r="G521" s="2" t="inlineStr"/>
      <c r="H521" s="2" t="inlineStr">
        <is>
          <t>https://www.sec.gov/Archives/edgar/data/1730168/000173016824000139/0001730168-24-000139-index.html</t>
        </is>
      </c>
      <c r="I521" s="2" t="inlineStr">
        <is>
          <t>{"tag": "us-gaap:LongTermDebtMaturitiesRepaymentsOfPrincipalInYearThree", "form": "10-K", "accession": "0001730168-24-000139", "filed": "2024-12-20"}</t>
        </is>
      </c>
    </row>
    <row r="522" ht="42" customHeight="1">
      <c r="A522" s="2" t="inlineStr">
        <is>
          <t>Annual</t>
        </is>
      </c>
      <c r="B522" s="2" t="inlineStr">
        <is>
          <t>maturity_y3</t>
        </is>
      </c>
      <c r="C522" s="2" t="inlineStr">
        <is>
          <t>2025-11-02</t>
        </is>
      </c>
      <c r="D522" s="3" t="n">
        <v>7120000000</v>
      </c>
      <c r="E522" s="2" t="inlineStr">
        <is>
          <t>USD</t>
        </is>
      </c>
      <c r="F522" s="2" t="inlineStr">
        <is>
          <t>reported</t>
        </is>
      </c>
      <c r="G522" s="2" t="inlineStr"/>
      <c r="H522" s="2" t="inlineStr">
        <is>
          <t>https://www.sec.gov/Archives/edgar/data/1730168/000173016825000121/0001730168-25-000121-index.html</t>
        </is>
      </c>
      <c r="I522" s="2" t="inlineStr">
        <is>
          <t>{"tag": "us-gaap:LongTermDebtMaturitiesRepaymentsOfPrincipalInYearThree", "form": "10-K", "accession": "0001730168-25-000121", "filed": "2025-12-18"}</t>
        </is>
      </c>
    </row>
    <row r="523" ht="42" customHeight="1">
      <c r="A523" s="2" t="inlineStr">
        <is>
          <t>Annual</t>
        </is>
      </c>
      <c r="B523" s="2" t="inlineStr">
        <is>
          <t>maturity_y4</t>
        </is>
      </c>
      <c r="C523" s="2" t="inlineStr">
        <is>
          <t>2016-10-30</t>
        </is>
      </c>
      <c r="D523" s="2" t="n"/>
      <c r="E523" s="2" t="inlineStr">
        <is>
          <t>USD</t>
        </is>
      </c>
      <c r="F523" s="2" t="inlineStr">
        <is>
          <t>not_available</t>
        </is>
      </c>
      <c r="G523" s="2" t="inlineStr"/>
      <c r="H523" s="2" t="inlineStr"/>
      <c r="I523" s="2" t="inlineStr">
        <is>
          <t>null</t>
        </is>
      </c>
    </row>
    <row r="524" ht="42" customHeight="1">
      <c r="A524" s="2" t="inlineStr">
        <is>
          <t>Annual</t>
        </is>
      </c>
      <c r="B524" s="2" t="inlineStr">
        <is>
          <t>maturity_y4</t>
        </is>
      </c>
      <c r="C524" s="2" t="inlineStr">
        <is>
          <t>2017-10-29</t>
        </is>
      </c>
      <c r="D524" s="2" t="n"/>
      <c r="E524" s="2" t="inlineStr">
        <is>
          <t>USD</t>
        </is>
      </c>
      <c r="F524" s="2" t="inlineStr">
        <is>
          <t>not_available</t>
        </is>
      </c>
      <c r="G524" s="2" t="inlineStr"/>
      <c r="H524" s="2" t="inlineStr"/>
      <c r="I524" s="2" t="inlineStr">
        <is>
          <t>null</t>
        </is>
      </c>
    </row>
    <row r="525" ht="42" customHeight="1">
      <c r="A525" s="2" t="inlineStr">
        <is>
          <t>Annual</t>
        </is>
      </c>
      <c r="B525" s="2" t="inlineStr">
        <is>
          <t>maturity_y4</t>
        </is>
      </c>
      <c r="C525" s="2" t="inlineStr">
        <is>
          <t>2018-11-04</t>
        </is>
      </c>
      <c r="D525" s="3" t="n">
        <v>3509000000</v>
      </c>
      <c r="E525" s="2" t="inlineStr">
        <is>
          <t>USD</t>
        </is>
      </c>
      <c r="F525" s="2" t="inlineStr">
        <is>
          <t>reported</t>
        </is>
      </c>
      <c r="G525" s="2" t="inlineStr"/>
      <c r="H525" s="2" t="inlineStr">
        <is>
          <t>https://www.sec.gov/Archives/edgar/data/1730168/000173016818000084/0001730168-18-000084-index.html</t>
        </is>
      </c>
      <c r="I525" s="2" t="inlineStr">
        <is>
          <t>{"tag": "us-gaap:LongTermDebtMaturitiesRepaymentsOfPrincipalInYearFour", "form": "10-K", "accession": "0001730168-18-000084", "filed": "2018-12-21"}</t>
        </is>
      </c>
    </row>
    <row r="526" ht="42" customHeight="1">
      <c r="A526" s="2" t="inlineStr">
        <is>
          <t>Annual</t>
        </is>
      </c>
      <c r="B526" s="2" t="inlineStr">
        <is>
          <t>maturity_y4</t>
        </is>
      </c>
      <c r="C526" s="2" t="inlineStr">
        <is>
          <t>2019-11-03</t>
        </is>
      </c>
      <c r="D526" s="3" t="n">
        <v>1250000000</v>
      </c>
      <c r="E526" s="2" t="inlineStr">
        <is>
          <t>USD</t>
        </is>
      </c>
      <c r="F526" s="2" t="inlineStr">
        <is>
          <t>reported</t>
        </is>
      </c>
      <c r="G526" s="2" t="inlineStr"/>
      <c r="H526" s="2" t="inlineStr">
        <is>
          <t>https://www.sec.gov/Archives/edgar/data/1730168/000173016819000144/0001730168-19-000144-index.html</t>
        </is>
      </c>
      <c r="I526" s="2" t="inlineStr">
        <is>
          <t>{"tag": "us-gaap:LongTermDebtMaturitiesRepaymentsOfPrincipalInYearFour", "form": "10-K", "accession": "0001730168-19-000144", "filed": "2019-12-20"}</t>
        </is>
      </c>
    </row>
    <row r="527" ht="42" customHeight="1">
      <c r="A527" s="2" t="inlineStr">
        <is>
          <t>Annual</t>
        </is>
      </c>
      <c r="B527" s="2" t="inlineStr">
        <is>
          <t>maturity_y4</t>
        </is>
      </c>
      <c r="C527" s="2" t="inlineStr">
        <is>
          <t>2020-11-01</t>
        </is>
      </c>
      <c r="D527" s="3" t="n">
        <v>3403000000</v>
      </c>
      <c r="E527" s="2" t="inlineStr">
        <is>
          <t>USD</t>
        </is>
      </c>
      <c r="F527" s="2" t="inlineStr">
        <is>
          <t>reported</t>
        </is>
      </c>
      <c r="G527" s="2" t="inlineStr"/>
      <c r="H527" s="2" t="inlineStr">
        <is>
          <t>https://www.sec.gov/Archives/edgar/data/1730168/000173016820000226/0001730168-20-000226-index.html</t>
        </is>
      </c>
      <c r="I527" s="2" t="inlineStr">
        <is>
          <t>{"tag": "us-gaap:LongTermDebtMaturitiesRepaymentsOfPrincipalInYearFour", "form": "10-K", "accession": "0001730168-20-000226", "filed": "2020-12-18"}</t>
        </is>
      </c>
    </row>
    <row r="528" ht="42" customHeight="1">
      <c r="A528" s="2" t="inlineStr">
        <is>
          <t>Annual</t>
        </is>
      </c>
      <c r="B528" s="2" t="inlineStr">
        <is>
          <t>maturity_y4</t>
        </is>
      </c>
      <c r="C528" s="2" t="inlineStr">
        <is>
          <t>2021-10-31</t>
        </is>
      </c>
      <c r="D528" s="3" t="n">
        <v>1515000000</v>
      </c>
      <c r="E528" s="2" t="inlineStr">
        <is>
          <t>USD</t>
        </is>
      </c>
      <c r="F528" s="2" t="inlineStr">
        <is>
          <t>reported</t>
        </is>
      </c>
      <c r="G528" s="2" t="inlineStr"/>
      <c r="H528" s="2" t="inlineStr">
        <is>
          <t>https://www.sec.gov/Archives/edgar/data/1730168/000173016821000153/0001730168-21-000153-index.html</t>
        </is>
      </c>
      <c r="I528" s="2" t="inlineStr">
        <is>
          <t>{"tag": "us-gaap:LongTermDebtMaturitiesRepaymentsOfPrincipalInYearFour", "form": "10-K", "accession": "0001730168-21-000153", "filed": "2021-12-17"}</t>
        </is>
      </c>
    </row>
    <row r="529" ht="42" customHeight="1">
      <c r="A529" s="2" t="inlineStr">
        <is>
          <t>Annual</t>
        </is>
      </c>
      <c r="B529" s="2" t="inlineStr">
        <is>
          <t>maturity_y4</t>
        </is>
      </c>
      <c r="C529" s="2" t="inlineStr">
        <is>
          <t>2022-10-30</t>
        </is>
      </c>
      <c r="D529" s="3" t="n">
        <v>1652000000</v>
      </c>
      <c r="E529" s="2" t="inlineStr">
        <is>
          <t>USD</t>
        </is>
      </c>
      <c r="F529" s="2" t="inlineStr">
        <is>
          <t>reported</t>
        </is>
      </c>
      <c r="G529" s="2" t="inlineStr"/>
      <c r="H529" s="2" t="inlineStr">
        <is>
          <t>https://www.sec.gov/Archives/edgar/data/1730168/000173016822000118/0001730168-22-000118-index.html</t>
        </is>
      </c>
      <c r="I529" s="2" t="inlineStr">
        <is>
          <t>{"tag": "us-gaap:LongTermDebtMaturitiesRepaymentsOfPrincipalInYearFour", "form": "10-K", "accession": "0001730168-22-000118", "filed": "2022-12-16"}</t>
        </is>
      </c>
    </row>
    <row r="530" ht="42" customHeight="1">
      <c r="A530" s="2" t="inlineStr">
        <is>
          <t>Annual</t>
        </is>
      </c>
      <c r="B530" s="2" t="inlineStr">
        <is>
          <t>maturity_y4</t>
        </is>
      </c>
      <c r="C530" s="2" t="inlineStr">
        <is>
          <t>2023-10-29</t>
        </is>
      </c>
      <c r="D530" s="3" t="n">
        <v>3137000000</v>
      </c>
      <c r="E530" s="2" t="inlineStr">
        <is>
          <t>USD</t>
        </is>
      </c>
      <c r="F530" s="2" t="inlineStr">
        <is>
          <t>reported</t>
        </is>
      </c>
      <c r="G530" s="2" t="inlineStr"/>
      <c r="H530" s="2" t="inlineStr">
        <is>
          <t>https://www.sec.gov/Archives/edgar/data/1730168/000173016823000096/0001730168-23-000096-index.html</t>
        </is>
      </c>
      <c r="I530" s="2" t="inlineStr">
        <is>
          <t>{"tag": "us-gaap:LongTermDebtMaturitiesRepaymentsOfPrincipalInYearFour", "form": "10-K", "accession": "0001730168-23-000096", "filed": "2023-12-14"}</t>
        </is>
      </c>
    </row>
    <row r="531" ht="42" customHeight="1">
      <c r="A531" s="2" t="inlineStr">
        <is>
          <t>Annual</t>
        </is>
      </c>
      <c r="B531" s="2" t="inlineStr">
        <is>
          <t>maturity_y4</t>
        </is>
      </c>
      <c r="C531" s="2" t="inlineStr">
        <is>
          <t>2024-11-03</t>
        </is>
      </c>
      <c r="D531" s="3" t="n">
        <v>4270000000</v>
      </c>
      <c r="E531" s="2" t="inlineStr">
        <is>
          <t>USD</t>
        </is>
      </c>
      <c r="F531" s="2" t="inlineStr">
        <is>
          <t>reported</t>
        </is>
      </c>
      <c r="G531" s="2" t="inlineStr"/>
      <c r="H531" s="2" t="inlineStr">
        <is>
          <t>https://www.sec.gov/Archives/edgar/data/1730168/000173016824000139/0001730168-24-000139-index.html</t>
        </is>
      </c>
      <c r="I531" s="2" t="inlineStr">
        <is>
          <t>{"tag": "us-gaap:LongTermDebtMaturitiesRepaymentsOfPrincipalInYearFour", "form": "10-K", "accession": "0001730168-24-000139", "filed": "2024-12-20"}</t>
        </is>
      </c>
    </row>
    <row r="532" ht="42" customHeight="1">
      <c r="A532" s="2" t="inlineStr">
        <is>
          <t>Annual</t>
        </is>
      </c>
      <c r="B532" s="2" t="inlineStr">
        <is>
          <t>maturity_y4</t>
        </is>
      </c>
      <c r="C532" s="2" t="inlineStr">
        <is>
          <t>2025-11-02</t>
        </is>
      </c>
      <c r="D532" s="3" t="n">
        <v>4655000000</v>
      </c>
      <c r="E532" s="2" t="inlineStr">
        <is>
          <t>USD</t>
        </is>
      </c>
      <c r="F532" s="2" t="inlineStr">
        <is>
          <t>reported</t>
        </is>
      </c>
      <c r="G532" s="2" t="inlineStr"/>
      <c r="H532" s="2" t="inlineStr">
        <is>
          <t>https://www.sec.gov/Archives/edgar/data/1730168/000173016825000121/0001730168-25-000121-index.html</t>
        </is>
      </c>
      <c r="I532" s="2" t="inlineStr">
        <is>
          <t>{"tag": "us-gaap:LongTermDebtMaturitiesRepaymentsOfPrincipalInYearFour", "form": "10-K", "accession": "0001730168-25-000121", "filed": "2025-12-18"}</t>
        </is>
      </c>
    </row>
    <row r="533" ht="42" customHeight="1">
      <c r="A533" s="2" t="inlineStr">
        <is>
          <t>Annual</t>
        </is>
      </c>
      <c r="B533" s="2" t="inlineStr">
        <is>
          <t>maturity_y5</t>
        </is>
      </c>
      <c r="C533" s="2" t="inlineStr">
        <is>
          <t>2016-10-30</t>
        </is>
      </c>
      <c r="D533" s="2" t="n"/>
      <c r="E533" s="2" t="inlineStr">
        <is>
          <t>USD</t>
        </is>
      </c>
      <c r="F533" s="2" t="inlineStr">
        <is>
          <t>not_available</t>
        </is>
      </c>
      <c r="G533" s="2" t="inlineStr"/>
      <c r="H533" s="2" t="inlineStr"/>
      <c r="I533" s="2" t="inlineStr">
        <is>
          <t>null</t>
        </is>
      </c>
    </row>
    <row r="534" ht="42" customHeight="1">
      <c r="A534" s="2" t="inlineStr">
        <is>
          <t>Annual</t>
        </is>
      </c>
      <c r="B534" s="2" t="inlineStr">
        <is>
          <t>maturity_y5</t>
        </is>
      </c>
      <c r="C534" s="2" t="inlineStr">
        <is>
          <t>2017-10-29</t>
        </is>
      </c>
      <c r="D534" s="2" t="n"/>
      <c r="E534" s="2" t="inlineStr">
        <is>
          <t>USD</t>
        </is>
      </c>
      <c r="F534" s="2" t="inlineStr">
        <is>
          <t>not_available</t>
        </is>
      </c>
      <c r="G534" s="2" t="inlineStr"/>
      <c r="H534" s="2" t="inlineStr"/>
      <c r="I534" s="2" t="inlineStr">
        <is>
          <t>null</t>
        </is>
      </c>
    </row>
    <row r="535" ht="42" customHeight="1">
      <c r="A535" s="2" t="inlineStr">
        <is>
          <t>Annual</t>
        </is>
      </c>
      <c r="B535" s="2" t="inlineStr">
        <is>
          <t>maturity_y5</t>
        </is>
      </c>
      <c r="C535" s="2" t="inlineStr">
        <is>
          <t>2018-11-04</t>
        </is>
      </c>
      <c r="D535" s="3" t="n">
        <v>1000000000</v>
      </c>
      <c r="E535" s="2" t="inlineStr">
        <is>
          <t>USD</t>
        </is>
      </c>
      <c r="F535" s="2" t="inlineStr">
        <is>
          <t>reported</t>
        </is>
      </c>
      <c r="G535" s="2" t="inlineStr"/>
      <c r="H535" s="2" t="inlineStr">
        <is>
          <t>https://www.sec.gov/Archives/edgar/data/1730168/000173016818000084/0001730168-18-000084-index.html</t>
        </is>
      </c>
      <c r="I535" s="2" t="inlineStr">
        <is>
          <t>{"tag": "us-gaap:LongTermDebtMaturitiesRepaymentsOfPrincipalInYearFive", "form": "10-K", "accession": "0001730168-18-000084", "filed": "2018-12-21"}</t>
        </is>
      </c>
    </row>
    <row r="536" ht="42" customHeight="1">
      <c r="A536" s="2" t="inlineStr">
        <is>
          <t>Annual</t>
        </is>
      </c>
      <c r="B536" s="2" t="inlineStr">
        <is>
          <t>maturity_y5</t>
        </is>
      </c>
      <c r="C536" s="2" t="inlineStr">
        <is>
          <t>2019-11-03</t>
        </is>
      </c>
      <c r="D536" s="3" t="n">
        <v>5307000000</v>
      </c>
      <c r="E536" s="2" t="inlineStr">
        <is>
          <t>USD</t>
        </is>
      </c>
      <c r="F536" s="2" t="inlineStr">
        <is>
          <t>reported</t>
        </is>
      </c>
      <c r="G536" s="2" t="inlineStr"/>
      <c r="H536" s="2" t="inlineStr">
        <is>
          <t>https://www.sec.gov/Archives/edgar/data/1730168/000173016819000144/0001730168-19-000144-index.html</t>
        </is>
      </c>
      <c r="I536" s="2" t="inlineStr">
        <is>
          <t>{"tag": "us-gaap:LongTermDebtMaturitiesRepaymentsOfPrincipalInYearFive", "form": "10-K", "accession": "0001730168-19-000144", "filed": "2019-12-20"}</t>
        </is>
      </c>
    </row>
    <row r="537" ht="42" customHeight="1">
      <c r="A537" s="2" t="inlineStr">
        <is>
          <t>Annual</t>
        </is>
      </c>
      <c r="B537" s="2" t="inlineStr">
        <is>
          <t>maturity_y5</t>
        </is>
      </c>
      <c r="C537" s="2" t="inlineStr">
        <is>
          <t>2020-11-01</t>
        </is>
      </c>
      <c r="D537" s="3" t="n">
        <v>7319000000</v>
      </c>
      <c r="E537" s="2" t="inlineStr">
        <is>
          <t>USD</t>
        </is>
      </c>
      <c r="F537" s="2" t="inlineStr">
        <is>
          <t>reported</t>
        </is>
      </c>
      <c r="G537" s="2" t="inlineStr"/>
      <c r="H537" s="2" t="inlineStr">
        <is>
          <t>https://www.sec.gov/Archives/edgar/data/1730168/000173016820000226/0001730168-20-000226-index.html</t>
        </is>
      </c>
      <c r="I537" s="2" t="inlineStr">
        <is>
          <t>{"tag": "us-gaap:LongTermDebtMaturitiesRepaymentsOfPrincipalInYearFive", "form": "10-K", "accession": "0001730168-20-000226", "filed": "2020-12-18"}</t>
        </is>
      </c>
    </row>
    <row r="538" ht="42" customHeight="1">
      <c r="A538" s="2" t="inlineStr">
        <is>
          <t>Annual</t>
        </is>
      </c>
      <c r="B538" s="2" t="inlineStr">
        <is>
          <t>maturity_y5</t>
        </is>
      </c>
      <c r="C538" s="2" t="inlineStr">
        <is>
          <t>2021-10-31</t>
        </is>
      </c>
      <c r="D538" s="3" t="n">
        <v>2596000000</v>
      </c>
      <c r="E538" s="2" t="inlineStr">
        <is>
          <t>USD</t>
        </is>
      </c>
      <c r="F538" s="2" t="inlineStr">
        <is>
          <t>reported</t>
        </is>
      </c>
      <c r="G538" s="2" t="inlineStr"/>
      <c r="H538" s="2" t="inlineStr">
        <is>
          <t>https://www.sec.gov/Archives/edgar/data/1730168/000173016821000153/0001730168-21-000153-index.html</t>
        </is>
      </c>
      <c r="I538" s="2" t="inlineStr">
        <is>
          <t>{"tag": "us-gaap:LongTermDebtMaturitiesRepaymentsOfPrincipalInYearFive", "form": "10-K", "accession": "0001730168-21-000153", "filed": "2021-12-17"}</t>
        </is>
      </c>
    </row>
    <row r="539" ht="42" customHeight="1">
      <c r="A539" s="2" t="inlineStr">
        <is>
          <t>Annual</t>
        </is>
      </c>
      <c r="B539" s="2" t="inlineStr">
        <is>
          <t>maturity_y5</t>
        </is>
      </c>
      <c r="C539" s="2" t="inlineStr">
        <is>
          <t>2022-10-30</t>
        </is>
      </c>
      <c r="D539" s="3" t="n">
        <v>3137000000</v>
      </c>
      <c r="E539" s="2" t="inlineStr">
        <is>
          <t>USD</t>
        </is>
      </c>
      <c r="F539" s="2" t="inlineStr">
        <is>
          <t>reported</t>
        </is>
      </c>
      <c r="G539" s="2" t="inlineStr"/>
      <c r="H539" s="2" t="inlineStr">
        <is>
          <t>https://www.sec.gov/Archives/edgar/data/1730168/000173016822000118/0001730168-22-000118-index.html</t>
        </is>
      </c>
      <c r="I539" s="2" t="inlineStr">
        <is>
          <t>{"tag": "us-gaap:LongTermDebtMaturitiesRepaymentsOfPrincipalInYearFive", "form": "10-K", "accession": "0001730168-22-000118", "filed": "2022-12-16"}</t>
        </is>
      </c>
    </row>
    <row r="540" ht="42" customHeight="1">
      <c r="A540" s="2" t="inlineStr">
        <is>
          <t>Annual</t>
        </is>
      </c>
      <c r="B540" s="2" t="inlineStr">
        <is>
          <t>maturity_y5</t>
        </is>
      </c>
      <c r="C540" s="2" t="inlineStr">
        <is>
          <t>2023-10-29</t>
        </is>
      </c>
      <c r="D540" s="3" t="n">
        <v>2645000000</v>
      </c>
      <c r="E540" s="2" t="inlineStr">
        <is>
          <t>USD</t>
        </is>
      </c>
      <c r="F540" s="2" t="inlineStr">
        <is>
          <t>reported</t>
        </is>
      </c>
      <c r="G540" s="2" t="inlineStr"/>
      <c r="H540" s="2" t="inlineStr">
        <is>
          <t>https://www.sec.gov/Archives/edgar/data/1730168/000173016823000096/0001730168-23-000096-index.html</t>
        </is>
      </c>
      <c r="I540" s="2" t="inlineStr">
        <is>
          <t>{"tag": "us-gaap:LongTermDebtMaturitiesRepaymentsOfPrincipalInYearFive", "form": "10-K", "accession": "0001730168-23-000096", "filed": "2023-12-14"}</t>
        </is>
      </c>
    </row>
    <row r="541" ht="42" customHeight="1">
      <c r="A541" s="2" t="inlineStr">
        <is>
          <t>Annual</t>
        </is>
      </c>
      <c r="B541" s="2" t="inlineStr">
        <is>
          <t>maturity_y5</t>
        </is>
      </c>
      <c r="C541" s="2" t="inlineStr">
        <is>
          <t>2024-11-03</t>
        </is>
      </c>
      <c r="D541" s="3" t="n">
        <v>12655000000</v>
      </c>
      <c r="E541" s="2" t="inlineStr">
        <is>
          <t>USD</t>
        </is>
      </c>
      <c r="F541" s="2" t="inlineStr">
        <is>
          <t>reported</t>
        </is>
      </c>
      <c r="G541" s="2" t="inlineStr"/>
      <c r="H541" s="2" t="inlineStr">
        <is>
          <t>https://www.sec.gov/Archives/edgar/data/1730168/000173016824000139/0001730168-24-000139-index.html</t>
        </is>
      </c>
      <c r="I541" s="2" t="inlineStr">
        <is>
          <t>{"tag": "us-gaap:LongTermDebtMaturitiesRepaymentsOfPrincipalInYearFive", "form": "10-K", "accession": "0001730168-24-000139", "filed": "2024-12-20"}</t>
        </is>
      </c>
    </row>
    <row r="542" ht="42" customHeight="1">
      <c r="A542" s="2" t="inlineStr">
        <is>
          <t>Annual</t>
        </is>
      </c>
      <c r="B542" s="2" t="inlineStr">
        <is>
          <t>maturity_y5</t>
        </is>
      </c>
      <c r="C542" s="2" t="inlineStr">
        <is>
          <t>2025-11-02</t>
        </is>
      </c>
      <c r="D542" s="3" t="n">
        <v>6406000000</v>
      </c>
      <c r="E542" s="2" t="inlineStr">
        <is>
          <t>USD</t>
        </is>
      </c>
      <c r="F542" s="2" t="inlineStr">
        <is>
          <t>reported</t>
        </is>
      </c>
      <c r="G542" s="2" t="inlineStr"/>
      <c r="H542" s="2" t="inlineStr">
        <is>
          <t>https://www.sec.gov/Archives/edgar/data/1730168/000173016825000121/0001730168-25-000121-index.html</t>
        </is>
      </c>
      <c r="I542" s="2" t="inlineStr">
        <is>
          <t>{"tag": "us-gaap:LongTermDebtMaturitiesRepaymentsOfPrincipalInYearFive", "form": "10-K", "accession": "0001730168-25-000121", "filed": "2025-12-18"}</t>
        </is>
      </c>
    </row>
    <row r="543" ht="42" customHeight="1">
      <c r="A543" s="2" t="inlineStr">
        <is>
          <t>Annual</t>
        </is>
      </c>
      <c r="B543" s="2" t="inlineStr">
        <is>
          <t>maturity_after_y5</t>
        </is>
      </c>
      <c r="C543" s="2" t="inlineStr">
        <is>
          <t>2016-10-30</t>
        </is>
      </c>
      <c r="D543" s="2" t="n"/>
      <c r="E543" s="2" t="inlineStr">
        <is>
          <t>USD</t>
        </is>
      </c>
      <c r="F543" s="2" t="inlineStr">
        <is>
          <t>not_available</t>
        </is>
      </c>
      <c r="G543" s="2" t="inlineStr"/>
      <c r="H543" s="2" t="inlineStr"/>
      <c r="I543" s="2" t="inlineStr">
        <is>
          <t>null</t>
        </is>
      </c>
    </row>
    <row r="544" ht="42" customHeight="1">
      <c r="A544" s="2" t="inlineStr">
        <is>
          <t>Annual</t>
        </is>
      </c>
      <c r="B544" s="2" t="inlineStr">
        <is>
          <t>maturity_after_y5</t>
        </is>
      </c>
      <c r="C544" s="2" t="inlineStr">
        <is>
          <t>2017-10-29</t>
        </is>
      </c>
      <c r="D544" s="2" t="n"/>
      <c r="E544" s="2" t="inlineStr">
        <is>
          <t>USD</t>
        </is>
      </c>
      <c r="F544" s="2" t="inlineStr">
        <is>
          <t>not_available</t>
        </is>
      </c>
      <c r="G544" s="2" t="inlineStr"/>
      <c r="H544" s="2" t="inlineStr"/>
      <c r="I544" s="2" t="inlineStr">
        <is>
          <t>null</t>
        </is>
      </c>
    </row>
    <row r="545" ht="42" customHeight="1">
      <c r="A545" s="2" t="inlineStr">
        <is>
          <t>Annual</t>
        </is>
      </c>
      <c r="B545" s="2" t="inlineStr">
        <is>
          <t>maturity_after_y5</t>
        </is>
      </c>
      <c r="C545" s="2" t="inlineStr">
        <is>
          <t>2018-11-04</t>
        </is>
      </c>
      <c r="D545" s="3" t="n">
        <v>9563000000</v>
      </c>
      <c r="E545" s="2" t="inlineStr">
        <is>
          <t>USD</t>
        </is>
      </c>
      <c r="F545" s="2" t="inlineStr">
        <is>
          <t>reported</t>
        </is>
      </c>
      <c r="G545" s="2" t="inlineStr"/>
      <c r="H545" s="2" t="inlineStr">
        <is>
          <t>https://www.sec.gov/Archives/edgar/data/1730168/000173016818000084/0001730168-18-000084-index.html</t>
        </is>
      </c>
      <c r="I545" s="2" t="inlineStr">
        <is>
          <t>{"tag": "us-gaap:LongTermDebtMaturitiesRepaymentsOfPrincipalAfterYearFive", "form": "10-K", "accession": "0001730168-18-000084", "filed": "2018-12-21"}</t>
        </is>
      </c>
    </row>
    <row r="546" ht="42" customHeight="1">
      <c r="A546" s="2" t="inlineStr">
        <is>
          <t>Annual</t>
        </is>
      </c>
      <c r="B546" s="2" t="inlineStr">
        <is>
          <t>maturity_after_y5</t>
        </is>
      </c>
      <c r="C546" s="2" t="inlineStr">
        <is>
          <t>2019-11-03</t>
        </is>
      </c>
      <c r="D546" s="3" t="n">
        <v>13706000000</v>
      </c>
      <c r="E546" s="2" t="inlineStr">
        <is>
          <t>USD</t>
        </is>
      </c>
      <c r="F546" s="2" t="inlineStr">
        <is>
          <t>reported</t>
        </is>
      </c>
      <c r="G546" s="2" t="inlineStr"/>
      <c r="H546" s="2" t="inlineStr">
        <is>
          <t>https://www.sec.gov/Archives/edgar/data/1730168/000173016819000144/0001730168-19-000144-index.html</t>
        </is>
      </c>
      <c r="I546" s="2" t="inlineStr">
        <is>
          <t>{"tag": "us-gaap:LongTermDebtMaturitiesRepaymentsOfPrincipalAfterYearFive", "form": "10-K", "accession": "0001730168-19-000144", "filed": "2019-12-20"}</t>
        </is>
      </c>
    </row>
    <row r="547" ht="42" customHeight="1">
      <c r="A547" s="2" t="inlineStr">
        <is>
          <t>Annual</t>
        </is>
      </c>
      <c r="B547" s="2" t="inlineStr">
        <is>
          <t>maturity_after_y5</t>
        </is>
      </c>
      <c r="C547" s="2" t="inlineStr">
        <is>
          <t>2020-11-01</t>
        </is>
      </c>
      <c r="D547" s="3" t="n">
        <v>25073000000</v>
      </c>
      <c r="E547" s="2" t="inlineStr">
        <is>
          <t>USD</t>
        </is>
      </c>
      <c r="F547" s="2" t="inlineStr">
        <is>
          <t>reported</t>
        </is>
      </c>
      <c r="G547" s="2" t="inlineStr"/>
      <c r="H547" s="2" t="inlineStr">
        <is>
          <t>https://www.sec.gov/Archives/edgar/data/1730168/000173016820000226/0001730168-20-000226-index.html</t>
        </is>
      </c>
      <c r="I547" s="2" t="inlineStr">
        <is>
          <t>{"tag": "us-gaap:LongTermDebtMaturitiesRepaymentsOfPrincipalAfterYearFive", "form": "10-K", "accession": "0001730168-20-000226", "filed": "2020-12-18"}</t>
        </is>
      </c>
    </row>
    <row r="548" ht="42" customHeight="1">
      <c r="A548" s="2" t="inlineStr">
        <is>
          <t>Annual</t>
        </is>
      </c>
      <c r="B548" s="2" t="inlineStr">
        <is>
          <t>maturity_after_y5</t>
        </is>
      </c>
      <c r="C548" s="2" t="inlineStr">
        <is>
          <t>2021-10-31</t>
        </is>
      </c>
      <c r="D548" s="3" t="n">
        <v>35158000000</v>
      </c>
      <c r="E548" s="2" t="inlineStr">
        <is>
          <t>USD</t>
        </is>
      </c>
      <c r="F548" s="2" t="inlineStr">
        <is>
          <t>reported</t>
        </is>
      </c>
      <c r="G548" s="2" t="inlineStr"/>
      <c r="H548" s="2" t="inlineStr">
        <is>
          <t>https://www.sec.gov/Archives/edgar/data/1730168/000173016821000153/0001730168-21-000153-index.html</t>
        </is>
      </c>
      <c r="I548" s="2" t="inlineStr">
        <is>
          <t>{"tag": "us-gaap:LongTermDebtMaturitiesRepaymentsOfPrincipalAfterYearFive", "form": "10-K", "accession": "0001730168-21-000153", "filed": "2021-12-17"}</t>
        </is>
      </c>
    </row>
    <row r="549" ht="42" customHeight="1">
      <c r="A549" s="2" t="inlineStr">
        <is>
          <t>Annual</t>
        </is>
      </c>
      <c r="B549" s="2" t="inlineStr">
        <is>
          <t>maturity_after_y5</t>
        </is>
      </c>
      <c r="C549" s="2" t="inlineStr">
        <is>
          <t>2022-10-30</t>
        </is>
      </c>
      <c r="D549" s="3" t="n">
        <v>33968000000</v>
      </c>
      <c r="E549" s="2" t="inlineStr">
        <is>
          <t>USD</t>
        </is>
      </c>
      <c r="F549" s="2" t="inlineStr">
        <is>
          <t>reported</t>
        </is>
      </c>
      <c r="G549" s="2" t="inlineStr"/>
      <c r="H549" s="2" t="inlineStr">
        <is>
          <t>https://www.sec.gov/Archives/edgar/data/1730168/000173016822000118/0001730168-22-000118-index.html</t>
        </is>
      </c>
      <c r="I549" s="2" t="inlineStr">
        <is>
          <t>{"tag": "us-gaap:LongTermDebtMaturitiesRepaymentsOfPrincipalAfterYearFive", "form": "10-K", "accession": "0001730168-22-000118", "filed": "2022-12-16"}</t>
        </is>
      </c>
    </row>
    <row r="550" ht="42" customHeight="1">
      <c r="A550" s="2" t="inlineStr">
        <is>
          <t>Annual</t>
        </is>
      </c>
      <c r="B550" s="2" t="inlineStr">
        <is>
          <t>maturity_after_y5</t>
        </is>
      </c>
      <c r="C550" s="2" t="inlineStr">
        <is>
          <t>2023-10-29</t>
        </is>
      </c>
      <c r="D550" s="3" t="n">
        <v>31323000000</v>
      </c>
      <c r="E550" s="2" t="inlineStr">
        <is>
          <t>USD</t>
        </is>
      </c>
      <c r="F550" s="2" t="inlineStr">
        <is>
          <t>reported</t>
        </is>
      </c>
      <c r="G550" s="2" t="inlineStr"/>
      <c r="H550" s="2" t="inlineStr">
        <is>
          <t>https://www.sec.gov/Archives/edgar/data/1730168/000173016823000096/0001730168-23-000096-index.html</t>
        </is>
      </c>
      <c r="I550" s="2" t="inlineStr">
        <is>
          <t>{"tag": "us-gaap:LongTermDebtMaturitiesRepaymentsOfPrincipalAfterYearFive", "form": "10-K", "accession": "0001730168-23-000096", "filed": "2023-12-14"}</t>
        </is>
      </c>
    </row>
    <row r="551" ht="42" customHeight="1">
      <c r="A551" s="2" t="inlineStr">
        <is>
          <t>Annual</t>
        </is>
      </c>
      <c r="B551" s="2" t="inlineStr">
        <is>
          <t>maturity_after_y5</t>
        </is>
      </c>
      <c r="C551" s="2" t="inlineStr">
        <is>
          <t>2024-11-03</t>
        </is>
      </c>
      <c r="D551" s="3" t="n">
        <v>36793000000</v>
      </c>
      <c r="E551" s="2" t="inlineStr">
        <is>
          <t>USD</t>
        </is>
      </c>
      <c r="F551" s="2" t="inlineStr">
        <is>
          <t>reported</t>
        </is>
      </c>
      <c r="G551" s="2" t="inlineStr"/>
      <c r="H551" s="2" t="inlineStr">
        <is>
          <t>https://www.sec.gov/Archives/edgar/data/1730168/000173016824000139/0001730168-24-000139-index.html</t>
        </is>
      </c>
      <c r="I551" s="2" t="inlineStr">
        <is>
          <t>{"tag": "us-gaap:LongTermDebtMaturitiesRepaymentsOfPrincipalAfterYearFive", "form": "10-K", "accession": "0001730168-24-000139", "filed": "2024-12-20"}</t>
        </is>
      </c>
    </row>
    <row r="552" ht="42" customHeight="1">
      <c r="A552" s="2" t="inlineStr">
        <is>
          <t>Annual</t>
        </is>
      </c>
      <c r="B552" s="2" t="inlineStr">
        <is>
          <t>maturity_after_y5</t>
        </is>
      </c>
      <c r="C552" s="2" t="inlineStr">
        <is>
          <t>2025-11-02</t>
        </is>
      </c>
      <c r="D552" s="3" t="n">
        <v>43287000000</v>
      </c>
      <c r="E552" s="2" t="inlineStr">
        <is>
          <t>USD</t>
        </is>
      </c>
      <c r="F552" s="2" t="inlineStr">
        <is>
          <t>reported</t>
        </is>
      </c>
      <c r="G552" s="2" t="inlineStr"/>
      <c r="H552" s="2" t="inlineStr">
        <is>
          <t>https://www.sec.gov/Archives/edgar/data/1730168/000173016825000121/0001730168-25-000121-index.html</t>
        </is>
      </c>
      <c r="I552" s="2" t="inlineStr">
        <is>
          <t>{"tag": "us-gaap:LongTermDebtMaturitiesRepaymentsOfPrincipalAfterYearFive", "form": "10-K", "accession": "0001730168-25-000121", "filed": "2025-12-18"}</t>
        </is>
      </c>
    </row>
    <row r="553" ht="42" customHeight="1">
      <c r="A553" s="2" t="inlineStr">
        <is>
          <t>Interim</t>
        </is>
      </c>
      <c r="B553" s="2" t="inlineStr">
        <is>
          <t>cash_sti</t>
        </is>
      </c>
      <c r="C553" s="2" t="inlineStr">
        <is>
          <t>2026-08-02</t>
        </is>
      </c>
      <c r="D553" s="3" t="n">
        <v>23975000000</v>
      </c>
      <c r="E553" s="2" t="inlineStr">
        <is>
          <t>USD</t>
        </is>
      </c>
      <c r="F553" s="2" t="inlineStr">
        <is>
          <t>constructed</t>
        </is>
      </c>
      <c r="G553" s="2" t="inlineStr">
        <is>
          <t>constructed</t>
        </is>
      </c>
      <c r="H553" s="2" t="inlineStr">
        <is>
          <t>https://www.sec.gov/Archives/edgar/data/1730168/000173016826000080/0001730168-26-000080-index.html</t>
        </is>
      </c>
      <c r="I553" s="2" t="inlineStr">
        <is>
          <t>{"parts": [{"tag": "us-gaap:CashAndCashEquivalentsAtCarryingValue", "value": 23975000000.0, "sign": 1, "accession": "0001730168-26-000080"}]}</t>
        </is>
      </c>
    </row>
    <row r="554" ht="42" customHeight="1">
      <c r="A554" s="2" t="inlineStr">
        <is>
          <t>Interim</t>
        </is>
      </c>
      <c r="B554" s="2" t="inlineStr">
        <is>
          <t>receivables</t>
        </is>
      </c>
      <c r="C554" s="2" t="inlineStr">
        <is>
          <t>2026-08-02</t>
        </is>
      </c>
      <c r="D554" s="3" t="n">
        <v>13707000000</v>
      </c>
      <c r="E554" s="2" t="inlineStr">
        <is>
          <t>USD</t>
        </is>
      </c>
      <c r="F554" s="2" t="inlineStr">
        <is>
          <t>reported</t>
        </is>
      </c>
      <c r="G554" s="2" t="inlineStr"/>
      <c r="H554" s="2" t="inlineStr">
        <is>
          <t>https://www.sec.gov/Archives/edgar/data/1730168/000173016826000080/0001730168-26-000080-index.html</t>
        </is>
      </c>
      <c r="I554" s="2" t="inlineStr">
        <is>
          <t>{"tag": "us-gaap:AccountsReceivableNetCurrent", "form": "10-Q", "accession": "0001730168-26-000080", "filed": "2026-09-10"}</t>
        </is>
      </c>
    </row>
    <row r="555" ht="42" customHeight="1">
      <c r="A555" s="2" t="inlineStr">
        <is>
          <t>Interim</t>
        </is>
      </c>
      <c r="B555" s="2" t="inlineStr">
        <is>
          <t>inventory</t>
        </is>
      </c>
      <c r="C555" s="2" t="inlineStr">
        <is>
          <t>2026-08-02</t>
        </is>
      </c>
      <c r="D555" s="3" t="n">
        <v>4523000000</v>
      </c>
      <c r="E555" s="2" t="inlineStr">
        <is>
          <t>USD</t>
        </is>
      </c>
      <c r="F555" s="2" t="inlineStr">
        <is>
          <t>reported</t>
        </is>
      </c>
      <c r="G555" s="2" t="inlineStr"/>
      <c r="H555" s="2" t="inlineStr">
        <is>
          <t>https://www.sec.gov/Archives/edgar/data/1730168/000173016826000080/0001730168-26-000080-index.html</t>
        </is>
      </c>
      <c r="I555" s="2" t="inlineStr">
        <is>
          <t>{"tag": "us-gaap:InventoryNet", "form": "10-Q", "accession": "0001730168-26-000080", "filed": "2026-09-10"}</t>
        </is>
      </c>
    </row>
    <row r="556" ht="42" customHeight="1">
      <c r="A556" s="2" t="inlineStr">
        <is>
          <t>Interim</t>
        </is>
      </c>
      <c r="B556" s="2" t="inlineStr">
        <is>
          <t>current_assets</t>
        </is>
      </c>
      <c r="C556" s="2" t="inlineStr">
        <is>
          <t>2026-08-02</t>
        </is>
      </c>
      <c r="D556" s="3" t="n">
        <v>52173000000</v>
      </c>
      <c r="E556" s="2" t="inlineStr">
        <is>
          <t>USD</t>
        </is>
      </c>
      <c r="F556" s="2" t="inlineStr">
        <is>
          <t>reported</t>
        </is>
      </c>
      <c r="G556" s="2" t="inlineStr"/>
      <c r="H556" s="2" t="inlineStr">
        <is>
          <t>https://www.sec.gov/Archives/edgar/data/1730168/000173016826000080/0001730168-26-000080-index.html</t>
        </is>
      </c>
      <c r="I556" s="2" t="inlineStr">
        <is>
          <t>{"tag": "us-gaap:AssetsCurrent", "form": "10-Q", "accession": "0001730168-26-000080", "filed": "2026-09-10"}</t>
        </is>
      </c>
    </row>
    <row r="557" ht="42" customHeight="1">
      <c r="A557" s="2" t="inlineStr">
        <is>
          <t>Interim</t>
        </is>
      </c>
      <c r="B557" s="2" t="inlineStr">
        <is>
          <t>ppe</t>
        </is>
      </c>
      <c r="C557" s="2" t="inlineStr">
        <is>
          <t>2026-08-02</t>
        </is>
      </c>
      <c r="D557" s="3" t="n">
        <v>3144000000</v>
      </c>
      <c r="E557" s="2" t="inlineStr">
        <is>
          <t>USD</t>
        </is>
      </c>
      <c r="F557" s="2" t="inlineStr">
        <is>
          <t>reported</t>
        </is>
      </c>
      <c r="G557" s="2" t="inlineStr"/>
      <c r="H557" s="2" t="inlineStr">
        <is>
          <t>https://www.sec.gov/Archives/edgar/data/1730168/000173016826000080/0001730168-26-000080-index.html</t>
        </is>
      </c>
      <c r="I557" s="2" t="inlineStr">
        <is>
          <t>{"tag": "us-gaap:PropertyPlantAndEquipmentNet", "form": "10-Q", "accession": "0001730168-26-000080", "filed": "2026-09-10"}</t>
        </is>
      </c>
    </row>
    <row r="558" ht="42" customHeight="1">
      <c r="A558" s="2" t="inlineStr">
        <is>
          <t>Interim</t>
        </is>
      </c>
      <c r="B558" s="2" t="inlineStr">
        <is>
          <t>goodwill</t>
        </is>
      </c>
      <c r="C558" s="2" t="inlineStr">
        <is>
          <t>2026-08-02</t>
        </is>
      </c>
      <c r="D558" s="3" t="n">
        <v>97801000000</v>
      </c>
      <c r="E558" s="2" t="inlineStr">
        <is>
          <t>USD</t>
        </is>
      </c>
      <c r="F558" s="2" t="inlineStr">
        <is>
          <t>reported</t>
        </is>
      </c>
      <c r="G558" s="2" t="inlineStr"/>
      <c r="H558" s="2" t="inlineStr">
        <is>
          <t>https://www.sec.gov/Archives/edgar/data/1730168/000173016826000080/0001730168-26-000080-index.html</t>
        </is>
      </c>
      <c r="I558" s="2" t="inlineStr">
        <is>
          <t>{"tag": "us-gaap:Goodwill", "form": "10-Q", "accession": "0001730168-26-000080", "filed": "2026-09-10"}</t>
        </is>
      </c>
    </row>
    <row r="559" ht="42" customHeight="1">
      <c r="A559" s="2" t="inlineStr">
        <is>
          <t>Interim</t>
        </is>
      </c>
      <c r="B559" s="2" t="inlineStr">
        <is>
          <t>intangibles</t>
        </is>
      </c>
      <c r="C559" s="2" t="inlineStr">
        <is>
          <t>2026-08-02</t>
        </is>
      </c>
      <c r="D559" s="3" t="n">
        <v>26325000000</v>
      </c>
      <c r="E559" s="2" t="inlineStr">
        <is>
          <t>USD</t>
        </is>
      </c>
      <c r="F559" s="2" t="inlineStr">
        <is>
          <t>reported</t>
        </is>
      </c>
      <c r="G559" s="2" t="inlineStr"/>
      <c r="H559" s="2" t="inlineStr">
        <is>
          <t>https://www.sec.gov/Archives/edgar/data/1730168/000173016826000080/0001730168-26-000080-index.html</t>
        </is>
      </c>
      <c r="I559" s="2" t="inlineStr">
        <is>
          <t>{"tag": "us-gaap:IntangibleAssetsNetExcludingGoodwill", "form": "10-Q", "accession": "0001730168-26-000080", "filed": "2026-09-10"}</t>
        </is>
      </c>
    </row>
    <row r="560" ht="42" customHeight="1">
      <c r="A560" s="2" t="inlineStr">
        <is>
          <t>Interim</t>
        </is>
      </c>
      <c r="B560" s="2" t="inlineStr">
        <is>
          <t>total_assets</t>
        </is>
      </c>
      <c r="C560" s="2" t="inlineStr">
        <is>
          <t>2026-08-02</t>
        </is>
      </c>
      <c r="D560" s="3" t="n">
        <v>188148000000</v>
      </c>
      <c r="E560" s="2" t="inlineStr">
        <is>
          <t>USD</t>
        </is>
      </c>
      <c r="F560" s="2" t="inlineStr">
        <is>
          <t>reported</t>
        </is>
      </c>
      <c r="G560" s="2" t="inlineStr"/>
      <c r="H560" s="2" t="inlineStr">
        <is>
          <t>https://www.sec.gov/Archives/edgar/data/1730168/000173016826000080/0001730168-26-000080-index.html</t>
        </is>
      </c>
      <c r="I560" s="2" t="inlineStr">
        <is>
          <t>{"tag": "us-gaap:Assets", "form": "10-Q", "accession": "0001730168-26-000080", "filed": "2026-09-10"}</t>
        </is>
      </c>
    </row>
    <row r="561" ht="42" customHeight="1">
      <c r="A561" s="2" t="inlineStr">
        <is>
          <t>Interim</t>
        </is>
      </c>
      <c r="B561" s="2" t="inlineStr">
        <is>
          <t>payables</t>
        </is>
      </c>
      <c r="C561" s="2" t="inlineStr">
        <is>
          <t>2026-08-02</t>
        </is>
      </c>
      <c r="D561" s="3" t="n">
        <v>4000000000</v>
      </c>
      <c r="E561" s="2" t="inlineStr">
        <is>
          <t>USD</t>
        </is>
      </c>
      <c r="F561" s="2" t="inlineStr">
        <is>
          <t>reported</t>
        </is>
      </c>
      <c r="G561" s="2" t="inlineStr"/>
      <c r="H561" s="2" t="inlineStr">
        <is>
          <t>https://www.sec.gov/Archives/edgar/data/1730168/000173016826000080/0001730168-26-000080-index.html</t>
        </is>
      </c>
      <c r="I561" s="2" t="inlineStr">
        <is>
          <t>{"tag": "us-gaap:AccountsPayableCurrent", "form": "10-Q", "accession": "0001730168-26-000080", "filed": "2026-09-10"}</t>
        </is>
      </c>
    </row>
    <row r="562" ht="42" customHeight="1">
      <c r="A562" s="2" t="inlineStr">
        <is>
          <t>Interim</t>
        </is>
      </c>
      <c r="B562" s="2" t="inlineStr">
        <is>
          <t>current_liabilities</t>
        </is>
      </c>
      <c r="C562" s="2" t="inlineStr">
        <is>
          <t>2026-08-02</t>
        </is>
      </c>
      <c r="D562" s="3" t="n">
        <v>20838000000</v>
      </c>
      <c r="E562" s="2" t="inlineStr">
        <is>
          <t>USD</t>
        </is>
      </c>
      <c r="F562" s="2" t="inlineStr">
        <is>
          <t>reported</t>
        </is>
      </c>
      <c r="G562" s="2" t="inlineStr"/>
      <c r="H562" s="2" t="inlineStr">
        <is>
          <t>https://www.sec.gov/Archives/edgar/data/1730168/000173016826000080/0001730168-26-000080-index.html</t>
        </is>
      </c>
      <c r="I562" s="2" t="inlineStr">
        <is>
          <t>{"tag": "us-gaap:LiabilitiesCurrent", "form": "10-Q", "accession": "0001730168-26-000080", "filed": "2026-09-10"}</t>
        </is>
      </c>
    </row>
    <row r="563" ht="42" customHeight="1">
      <c r="A563" s="2" t="inlineStr">
        <is>
          <t>Interim</t>
        </is>
      </c>
      <c r="B563" s="2" t="inlineStr">
        <is>
          <t>short_term_debt</t>
        </is>
      </c>
      <c r="C563" s="2" t="inlineStr">
        <is>
          <t>2026-08-02</t>
        </is>
      </c>
      <c r="D563" s="3" t="n">
        <v>2252000000</v>
      </c>
      <c r="E563" s="2" t="inlineStr">
        <is>
          <t>USD</t>
        </is>
      </c>
      <c r="F563" s="2" t="inlineStr">
        <is>
          <t>reported</t>
        </is>
      </c>
      <c r="G563" s="2" t="inlineStr"/>
      <c r="H563" s="2" t="inlineStr">
        <is>
          <t>https://www.sec.gov/Archives/edgar/data/1730168/000173016826000080/0001730168-26-000080-index.html</t>
        </is>
      </c>
      <c r="I563" s="2" t="inlineStr">
        <is>
          <t>{"tag": "us-gaap:DebtCurrent", "form": "10-Q", "accession": "0001730168-26-000080", "filed": "2026-09-10"}</t>
        </is>
      </c>
    </row>
    <row r="564" ht="42" customHeight="1">
      <c r="A564" s="2" t="inlineStr">
        <is>
          <t>Interim</t>
        </is>
      </c>
      <c r="B564" s="2" t="inlineStr">
        <is>
          <t>long_term_debt</t>
        </is>
      </c>
      <c r="C564" s="2" t="inlineStr">
        <is>
          <t>2026-08-02</t>
        </is>
      </c>
      <c r="D564" s="3" t="n">
        <v>57167000000</v>
      </c>
      <c r="E564" s="2" t="inlineStr">
        <is>
          <t>USD</t>
        </is>
      </c>
      <c r="F564" s="2" t="inlineStr">
        <is>
          <t>reported</t>
        </is>
      </c>
      <c r="G564" s="2" t="inlineStr"/>
      <c r="H564" s="2" t="inlineStr">
        <is>
          <t>https://www.sec.gov/Archives/edgar/data/1730168/000173016826000080/0001730168-26-000080-index.html</t>
        </is>
      </c>
      <c r="I564" s="2" t="inlineStr">
        <is>
          <t>{"tag": "us-gaap:LongTermDebtNoncurrent", "form": "10-Q", "accession": "0001730168-26-000080", "filed": "2026-09-10"}</t>
        </is>
      </c>
    </row>
    <row r="565" ht="42" customHeight="1">
      <c r="A565" s="2" t="inlineStr">
        <is>
          <t>Interim</t>
        </is>
      </c>
      <c r="B565" s="2" t="inlineStr">
        <is>
          <t>convertible_debt</t>
        </is>
      </c>
      <c r="C565" s="2" t="inlineStr">
        <is>
          <t>2026-08-02</t>
        </is>
      </c>
      <c r="D565" s="2" t="n"/>
      <c r="E565" s="2" t="inlineStr">
        <is>
          <t>USD</t>
        </is>
      </c>
      <c r="F565" s="2" t="inlineStr">
        <is>
          <t>not_available</t>
        </is>
      </c>
      <c r="G565" s="2" t="inlineStr"/>
      <c r="H565" s="2" t="inlineStr"/>
      <c r="I565" s="2" t="inlineStr">
        <is>
          <t>null</t>
        </is>
      </c>
    </row>
    <row r="566" ht="42" customHeight="1">
      <c r="A566" s="2" t="inlineStr">
        <is>
          <t>Interim</t>
        </is>
      </c>
      <c r="B566" s="2" t="inlineStr">
        <is>
          <t>lease_liabilities</t>
        </is>
      </c>
      <c r="C566" s="2" t="inlineStr">
        <is>
          <t>2026-08-02</t>
        </is>
      </c>
      <c r="D566" s="2" t="n"/>
      <c r="E566" s="2" t="inlineStr">
        <is>
          <t>USD</t>
        </is>
      </c>
      <c r="F566" s="2" t="inlineStr">
        <is>
          <t>not_available</t>
        </is>
      </c>
      <c r="G566" s="2" t="inlineStr"/>
      <c r="H566" s="2" t="inlineStr"/>
      <c r="I566" s="2" t="inlineStr">
        <is>
          <t>null</t>
        </is>
      </c>
    </row>
    <row r="567" ht="42" customHeight="1">
      <c r="A567" s="2" t="inlineStr">
        <is>
          <t>Interim</t>
        </is>
      </c>
      <c r="B567" s="2" t="inlineStr">
        <is>
          <t>total_liabilities</t>
        </is>
      </c>
      <c r="C567" s="2" t="inlineStr">
        <is>
          <t>2026-08-02</t>
        </is>
      </c>
      <c r="D567" s="3" t="n">
        <v>88458000000</v>
      </c>
      <c r="E567" s="2" t="inlineStr">
        <is>
          <t>USD</t>
        </is>
      </c>
      <c r="F567" s="2" t="inlineStr">
        <is>
          <t>reported</t>
        </is>
      </c>
      <c r="G567" s="2" t="inlineStr"/>
      <c r="H567" s="2" t="inlineStr">
        <is>
          <t>https://www.sec.gov/Archives/edgar/data/1730168/000173016826000080/0001730168-26-000080-index.html</t>
        </is>
      </c>
      <c r="I567" s="2" t="inlineStr">
        <is>
          <t>{"tag": "us-gaap:Liabilities", "form": "10-Q", "accession": "0001730168-26-000080", "filed": "2026-09-10"}</t>
        </is>
      </c>
    </row>
    <row r="568" ht="42" customHeight="1">
      <c r="A568" s="2" t="inlineStr">
        <is>
          <t>Interim</t>
        </is>
      </c>
      <c r="B568" s="2" t="inlineStr">
        <is>
          <t>equity</t>
        </is>
      </c>
      <c r="C568" s="2" t="inlineStr">
        <is>
          <t>2026-08-02</t>
        </is>
      </c>
      <c r="D568" s="3" t="n">
        <v>99690000000</v>
      </c>
      <c r="E568" s="2" t="inlineStr">
        <is>
          <t>USD</t>
        </is>
      </c>
      <c r="F568" s="2" t="inlineStr">
        <is>
          <t>reported</t>
        </is>
      </c>
      <c r="G568" s="2" t="inlineStr"/>
      <c r="H568" s="2" t="inlineStr">
        <is>
          <t>https://www.sec.gov/Archives/edgar/data/1730168/000173016826000080/0001730168-26-000080-index.html</t>
        </is>
      </c>
      <c r="I568" s="2" t="inlineStr">
        <is>
          <t>{"tag": "us-gaap:StockholdersEquityIncludingPortionAttributableToNoncontrollingInterest", "form": "10-Q", "accession": "0001730168-26-000080", "filed": "2026-09-10"}</t>
        </is>
      </c>
    </row>
    <row r="569" ht="42" customHeight="1">
      <c r="A569" s="2" t="inlineStr">
        <is>
          <t>Interim</t>
        </is>
      </c>
      <c r="B569" s="2" t="inlineStr">
        <is>
          <t>minority_interest</t>
        </is>
      </c>
      <c r="C569" s="2" t="inlineStr">
        <is>
          <t>2026-08-02</t>
        </is>
      </c>
      <c r="D569" s="2" t="n"/>
      <c r="E569" s="2" t="inlineStr">
        <is>
          <t>USD</t>
        </is>
      </c>
      <c r="F569" s="2" t="inlineStr">
        <is>
          <t>not_available</t>
        </is>
      </c>
      <c r="G569" s="2" t="inlineStr"/>
      <c r="H569" s="2" t="inlineStr"/>
      <c r="I569" s="2" t="inlineStr">
        <is>
          <t>null</t>
        </is>
      </c>
    </row>
    <row r="570" ht="42" customHeight="1">
      <c r="A570" s="2" t="inlineStr">
        <is>
          <t>Interim</t>
        </is>
      </c>
      <c r="B570" s="2" t="inlineStr">
        <is>
          <t>preferred</t>
        </is>
      </c>
      <c r="C570" s="2" t="inlineStr">
        <is>
          <t>2026-08-02</t>
        </is>
      </c>
      <c r="D570" s="3" t="n">
        <v>0</v>
      </c>
      <c r="E570" s="2" t="inlineStr">
        <is>
          <t>USD</t>
        </is>
      </c>
      <c r="F570" s="2" t="inlineStr">
        <is>
          <t>reported</t>
        </is>
      </c>
      <c r="G570" s="2" t="inlineStr"/>
      <c r="H570" s="2" t="inlineStr">
        <is>
          <t>https://www.sec.gov/Archives/edgar/data/1730168/000173016826000080/0001730168-26-000080-index.html</t>
        </is>
      </c>
      <c r="I570" s="2" t="inlineStr">
        <is>
          <t>{"tag": "us-gaap:PreferredStockValue", "form": "10-Q", "accession": "0001730168-26-000080", "filed": "2026-09-10"}</t>
        </is>
      </c>
    </row>
    <row r="571" ht="42" customHeight="1">
      <c r="A571" s="2" t="inlineStr">
        <is>
          <t>Interim</t>
        </is>
      </c>
      <c r="B571" s="2" t="inlineStr">
        <is>
          <t>shares_outstanding</t>
        </is>
      </c>
      <c r="C571" s="2" t="inlineStr">
        <is>
          <t>2026-08-02</t>
        </is>
      </c>
      <c r="D571" s="3" t="n">
        <v>4774000000</v>
      </c>
      <c r="E571" s="2" t="inlineStr">
        <is>
          <t>shares</t>
        </is>
      </c>
      <c r="F571" s="2" t="inlineStr">
        <is>
          <t>reported</t>
        </is>
      </c>
      <c r="G571" s="2" t="inlineStr"/>
      <c r="H571" s="2" t="inlineStr">
        <is>
          <t>https://www.sec.gov/Archives/edgar/data/1730168/000173016826000080/0001730168-26-000080-index.html</t>
        </is>
      </c>
      <c r="I571" s="2" t="inlineStr">
        <is>
          <t>{"tag": "us-gaap:CommonStockSharesOutstanding", "form": "10-Q", "accession": "0001730168-26-000080", "filed": "2026-09-10"}</t>
        </is>
      </c>
    </row>
    <row r="572" ht="42" customHeight="1">
      <c r="A572" s="2" t="inlineStr">
        <is>
          <t>Interim</t>
        </is>
      </c>
      <c r="B572" s="2" t="inlineStr">
        <is>
          <t>maturity_y1</t>
        </is>
      </c>
      <c r="C572" s="2" t="inlineStr">
        <is>
          <t>2026-08-02</t>
        </is>
      </c>
      <c r="D572" s="3" t="n">
        <v>0</v>
      </c>
      <c r="E572" s="2" t="inlineStr">
        <is>
          <t>USD</t>
        </is>
      </c>
      <c r="F572" s="2" t="inlineStr">
        <is>
          <t>reported</t>
        </is>
      </c>
      <c r="G572" s="2" t="inlineStr"/>
      <c r="H572" s="2" t="inlineStr">
        <is>
          <t>https://www.sec.gov/Archives/edgar/data/1730168/000173016826000080/0001730168-26-000080-index.html</t>
        </is>
      </c>
      <c r="I572" s="2" t="inlineStr">
        <is>
          <t>{"tag": "us-gaap:LongTermDebtMaturitiesRepaymentsOfPrincipalInNextTwelveMonths", "form": "10-Q", "accession": "0001730168-26-000080", "filed": "2026-09-10"}</t>
        </is>
      </c>
    </row>
    <row r="573" ht="42" customHeight="1">
      <c r="A573" s="2" t="inlineStr">
        <is>
          <t>Interim</t>
        </is>
      </c>
      <c r="B573" s="2" t="inlineStr">
        <is>
          <t>maturity_y2</t>
        </is>
      </c>
      <c r="C573" s="2" t="inlineStr">
        <is>
          <t>2026-08-02</t>
        </is>
      </c>
      <c r="D573" s="3" t="n">
        <v>5127000000</v>
      </c>
      <c r="E573" s="2" t="inlineStr">
        <is>
          <t>USD</t>
        </is>
      </c>
      <c r="F573" s="2" t="inlineStr">
        <is>
          <t>reported</t>
        </is>
      </c>
      <c r="G573" s="2" t="inlineStr"/>
      <c r="H573" s="2" t="inlineStr">
        <is>
          <t>https://www.sec.gov/Archives/edgar/data/1730168/000173016826000080/0001730168-26-000080-index.html</t>
        </is>
      </c>
      <c r="I573" s="2" t="inlineStr">
        <is>
          <t>{"tag": "us-gaap:LongTermDebtMaturitiesRepaymentsOfPrincipalInYearTwo", "form": "10-Q", "accession": "0001730168-26-000080", "filed": "2026-09-10"}</t>
        </is>
      </c>
    </row>
    <row r="574" ht="42" customHeight="1">
      <c r="A574" s="2" t="inlineStr">
        <is>
          <t>Interim</t>
        </is>
      </c>
      <c r="B574" s="2" t="inlineStr">
        <is>
          <t>maturity_y3</t>
        </is>
      </c>
      <c r="C574" s="2" t="inlineStr">
        <is>
          <t>2026-08-02</t>
        </is>
      </c>
      <c r="D574" s="3" t="n">
        <v>2405000000</v>
      </c>
      <c r="E574" s="2" t="inlineStr">
        <is>
          <t>USD</t>
        </is>
      </c>
      <c r="F574" s="2" t="inlineStr">
        <is>
          <t>reported</t>
        </is>
      </c>
      <c r="G574" s="2" t="inlineStr"/>
      <c r="H574" s="2" t="inlineStr">
        <is>
          <t>https://www.sec.gov/Archives/edgar/data/1730168/000173016826000080/0001730168-26-000080-index.html</t>
        </is>
      </c>
      <c r="I574" s="2" t="inlineStr">
        <is>
          <t>{"tag": "us-gaap:LongTermDebtMaturitiesRepaymentsOfPrincipalInYearThree", "form": "10-Q", "accession": "0001730168-26-000080", "filed": "2026-09-10"}</t>
        </is>
      </c>
    </row>
    <row r="575" ht="42" customHeight="1">
      <c r="A575" s="2" t="inlineStr">
        <is>
          <t>Interim</t>
        </is>
      </c>
      <c r="B575" s="2" t="inlineStr">
        <is>
          <t>maturity_y4</t>
        </is>
      </c>
      <c r="C575" s="2" t="inlineStr">
        <is>
          <t>2026-08-02</t>
        </is>
      </c>
      <c r="D575" s="3" t="n">
        <v>6406000000</v>
      </c>
      <c r="E575" s="2" t="inlineStr">
        <is>
          <t>USD</t>
        </is>
      </c>
      <c r="F575" s="2" t="inlineStr">
        <is>
          <t>reported</t>
        </is>
      </c>
      <c r="G575" s="2" t="inlineStr"/>
      <c r="H575" s="2" t="inlineStr">
        <is>
          <t>https://www.sec.gov/Archives/edgar/data/1730168/000173016826000080/0001730168-26-000080-index.html</t>
        </is>
      </c>
      <c r="I575" s="2" t="inlineStr">
        <is>
          <t>{"tag": "us-gaap:LongTermDebtMaturitiesRepaymentsOfPrincipalInYearFour", "form": "10-Q", "accession": "0001730168-26-000080", "filed": "2026-09-10"}</t>
        </is>
      </c>
    </row>
    <row r="576" ht="42" customHeight="1">
      <c r="A576" s="2" t="inlineStr">
        <is>
          <t>Interim</t>
        </is>
      </c>
      <c r="B576" s="2" t="inlineStr">
        <is>
          <t>maturity_y5</t>
        </is>
      </c>
      <c r="C576" s="2" t="inlineStr">
        <is>
          <t>2026-08-02</t>
        </is>
      </c>
      <c r="D576" s="2" t="n"/>
      <c r="E576" s="2" t="inlineStr">
        <is>
          <t>USD</t>
        </is>
      </c>
      <c r="F576" s="2" t="inlineStr">
        <is>
          <t>not_available</t>
        </is>
      </c>
      <c r="G576" s="2" t="inlineStr"/>
      <c r="H576" s="2" t="inlineStr"/>
      <c r="I576" s="2" t="inlineStr">
        <is>
          <t>null</t>
        </is>
      </c>
    </row>
    <row r="577" ht="42" customHeight="1">
      <c r="A577" s="2" t="inlineStr">
        <is>
          <t>Interim</t>
        </is>
      </c>
      <c r="B577" s="2" t="inlineStr">
        <is>
          <t>maturity_after_y5</t>
        </is>
      </c>
      <c r="C577" s="2" t="inlineStr">
        <is>
          <t>2026-08-02</t>
        </is>
      </c>
      <c r="D577" s="2" t="n"/>
      <c r="E577" s="2" t="inlineStr">
        <is>
          <t>USD</t>
        </is>
      </c>
      <c r="F577" s="2" t="inlineStr">
        <is>
          <t>not_available</t>
        </is>
      </c>
      <c r="G577" s="2" t="inlineStr"/>
      <c r="H577" s="2" t="inlineStr"/>
      <c r="I577" s="2" t="inlineStr">
        <is>
          <t>null</t>
        </is>
      </c>
    </row>
    <row r="578" ht="42" customHeight="1">
      <c r="A578" s="2" t="inlineStr">
        <is>
          <t>Cover page</t>
        </is>
      </c>
      <c r="B578" s="2" t="inlineStr">
        <is>
          <t>cover_shares_outstanding</t>
        </is>
      </c>
      <c r="C578" s="2" t="inlineStr">
        <is>
          <t>2026-08-28</t>
        </is>
      </c>
      <c r="D578" s="3" t="n">
        <v>4773629865</v>
      </c>
      <c r="E578" s="2" t="inlineStr">
        <is>
          <t>shares</t>
        </is>
      </c>
      <c r="F578" s="2" t="inlineStr">
        <is>
          <t>reported</t>
        </is>
      </c>
      <c r="G578" s="2" t="inlineStr"/>
      <c r="H578" s="2" t="inlineStr">
        <is>
          <t>https://www.sec.gov/Archives/edgar/data/1730168/000173016826000080/0001730168-26-000080-index.html</t>
        </is>
      </c>
      <c r="I578" s="2" t="inlineStr">
        <is>
          <t>{"tag": "dei:EntityCommonStockSharesOutstanding", "form": "10-Q", "accession": "0001730168-26-000080", "filed": "2026-09-10"}</t>
        </is>
      </c>
    </row>
  </sheetData>
  <autoFilter ref="A1:I578"/>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49"/>
  <sheetViews>
    <sheetView showGridLines="0" workbookViewId="0">
      <pane ySplit="1" topLeftCell="A2" activePane="bottomLeft" state="frozen"/>
      <selection pane="bottomLeft" activeCell="A1" sqref="A1"/>
    </sheetView>
  </sheetViews>
  <sheetFormatPr baseColWidth="8" defaultRowHeight="15"/>
  <cols>
    <col width="30" customWidth="1" min="1" max="1"/>
    <col width="27"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2" customHeight="1">
      <c r="A1" s="1" t="inlineStr">
        <is>
          <t>Name</t>
        </is>
      </c>
      <c r="B1" s="1" t="inlineStr">
        <is>
          <t>Item</t>
        </is>
      </c>
      <c r="C1" s="1" t="inlineStr">
        <is>
          <t>Unit</t>
        </is>
      </c>
      <c r="D1" s="1" t="inlineStr">
        <is>
          <t>2016-10-30</t>
        </is>
      </c>
      <c r="E1" s="1" t="inlineStr">
        <is>
          <t>2017-10-29</t>
        </is>
      </c>
      <c r="F1" s="1" t="inlineStr">
        <is>
          <t>2018-11-04</t>
        </is>
      </c>
      <c r="G1" s="1" t="inlineStr">
        <is>
          <t>2019-11-03</t>
        </is>
      </c>
      <c r="H1" s="1" t="inlineStr">
        <is>
          <t>2020-11-01</t>
        </is>
      </c>
      <c r="I1" s="1" t="inlineStr">
        <is>
          <t>2021-10-31</t>
        </is>
      </c>
      <c r="J1" s="1" t="inlineStr">
        <is>
          <t>2022-10-30</t>
        </is>
      </c>
      <c r="K1" s="1" t="inlineStr">
        <is>
          <t>2023-10-29</t>
        </is>
      </c>
      <c r="L1" s="1" t="inlineStr">
        <is>
          <t>2024-11-03</t>
        </is>
      </c>
      <c r="M1" s="1" t="inlineStr">
        <is>
          <t>2025-11-02</t>
        </is>
      </c>
    </row>
    <row r="2" ht="42" customHeight="1">
      <c r="A2" s="2" t="inlineStr">
        <is>
          <t>Revenue</t>
        </is>
      </c>
      <c r="B2" s="2" t="inlineStr">
        <is>
          <t>revenue</t>
        </is>
      </c>
      <c r="C2" s="2" t="inlineStr">
        <is>
          <t>USD</t>
        </is>
      </c>
      <c r="D2" s="3" t="n">
        <v>13240000000</v>
      </c>
      <c r="E2" s="3" t="n">
        <v>17636000000</v>
      </c>
      <c r="F2" s="3" t="n">
        <v>20848000000</v>
      </c>
      <c r="G2" s="3" t="n">
        <v>22597000000</v>
      </c>
      <c r="H2" s="3" t="n">
        <v>23888000000</v>
      </c>
      <c r="I2" s="3" t="n">
        <v>27450000000</v>
      </c>
      <c r="J2" s="3" t="n">
        <v>33203000000</v>
      </c>
      <c r="K2" s="3" t="n">
        <v>35819000000</v>
      </c>
      <c r="L2" s="3" t="n">
        <v>51574000000</v>
      </c>
      <c r="M2" s="3" t="n">
        <v>63887000000</v>
      </c>
    </row>
    <row r="3" ht="42" customHeight="1">
      <c r="A3" s="2" t="inlineStr">
        <is>
          <t>Cost of revenue</t>
        </is>
      </c>
      <c r="B3" s="2" t="inlineStr">
        <is>
          <t>cost_of_revenue</t>
        </is>
      </c>
      <c r="C3" s="2" t="inlineStr">
        <is>
          <t>USD</t>
        </is>
      </c>
      <c r="D3" s="3" t="n">
        <v>7300000000</v>
      </c>
      <c r="E3" s="3" t="n">
        <v>9127000000</v>
      </c>
      <c r="F3" s="3" t="n">
        <v>10115000000</v>
      </c>
      <c r="G3" s="3" t="n">
        <v>10114000000</v>
      </c>
      <c r="H3" s="3" t="n">
        <v>10372000000</v>
      </c>
      <c r="I3" s="3" t="n">
        <v>10606000000</v>
      </c>
      <c r="J3" s="3" t="n">
        <v>11108000000</v>
      </c>
      <c r="K3" s="3" t="n">
        <v>11129000000</v>
      </c>
      <c r="L3" s="3" t="n">
        <v>19065000000</v>
      </c>
      <c r="M3" s="3" t="n">
        <v>20593000000</v>
      </c>
    </row>
    <row r="4" ht="42" customHeight="1">
      <c r="A4" s="2" t="inlineStr">
        <is>
          <t>Gross profit</t>
        </is>
      </c>
      <c r="B4" s="2" t="inlineStr">
        <is>
          <t>gross_profit</t>
        </is>
      </c>
      <c r="C4" s="2" t="inlineStr">
        <is>
          <t>USD</t>
        </is>
      </c>
      <c r="D4" s="3" t="n">
        <v>5940000000</v>
      </c>
      <c r="E4" s="3" t="n">
        <v>8509000000</v>
      </c>
      <c r="F4" s="3" t="n">
        <v>10733000000</v>
      </c>
      <c r="G4" s="3" t="n">
        <v>12483000000</v>
      </c>
      <c r="H4" s="3" t="n">
        <v>13516000000</v>
      </c>
      <c r="I4" s="3" t="n">
        <v>16844000000</v>
      </c>
      <c r="J4" s="3" t="n">
        <v>22095000000</v>
      </c>
      <c r="K4" s="3" t="n">
        <v>24690000000</v>
      </c>
      <c r="L4" s="3" t="n">
        <v>32509000000</v>
      </c>
      <c r="M4" s="3" t="n">
        <v>43294000000</v>
      </c>
    </row>
    <row r="5" ht="42" customHeight="1">
      <c r="A5" s="2" t="inlineStr">
        <is>
          <t>Rd</t>
        </is>
      </c>
      <c r="B5" s="2" t="inlineStr">
        <is>
          <t>rd</t>
        </is>
      </c>
      <c r="C5" s="2" t="inlineStr">
        <is>
          <t>USD</t>
        </is>
      </c>
      <c r="D5" s="3" t="n">
        <v>2674000000</v>
      </c>
      <c r="E5" s="3" t="n">
        <v>3302000000</v>
      </c>
      <c r="F5" s="3" t="n">
        <v>3768000000</v>
      </c>
      <c r="G5" s="3" t="n">
        <v>4696000000</v>
      </c>
      <c r="H5" s="3" t="n">
        <v>4968000000</v>
      </c>
      <c r="I5" s="3" t="n">
        <v>4854000000</v>
      </c>
      <c r="J5" s="3" t="n">
        <v>4919000000</v>
      </c>
      <c r="K5" s="3" t="n">
        <v>5253000000</v>
      </c>
      <c r="L5" s="3" t="n">
        <v>9310000000</v>
      </c>
      <c r="M5" s="3" t="n">
        <v>10977000000</v>
      </c>
    </row>
    <row r="6" ht="42" customHeight="1">
      <c r="A6" s="2" t="inlineStr">
        <is>
          <t>Sga</t>
        </is>
      </c>
      <c r="B6" s="2" t="inlineStr">
        <is>
          <t>sga</t>
        </is>
      </c>
      <c r="C6" s="2" t="inlineStr">
        <is>
          <t>USD</t>
        </is>
      </c>
      <c r="D6" s="3" t="n">
        <v>806000000</v>
      </c>
      <c r="E6" s="3" t="n">
        <v>789000000</v>
      </c>
      <c r="F6" s="3" t="n">
        <v>1056000000</v>
      </c>
      <c r="G6" s="3" t="n">
        <v>1709000000</v>
      </c>
      <c r="H6" s="3" t="n">
        <v>1935000000</v>
      </c>
      <c r="I6" s="3" t="n">
        <v>1347000000</v>
      </c>
      <c r="J6" s="3" t="n">
        <v>1382000000</v>
      </c>
      <c r="K6" s="3" t="n">
        <v>1592000000</v>
      </c>
      <c r="L6" s="3" t="n">
        <v>4959000000</v>
      </c>
      <c r="M6" s="3" t="n">
        <v>4211000000</v>
      </c>
    </row>
    <row r="7" ht="42" customHeight="1">
      <c r="A7" s="2" t="inlineStr">
        <is>
          <t>Operating income</t>
        </is>
      </c>
      <c r="B7" s="2" t="inlineStr">
        <is>
          <t>operating_income</t>
        </is>
      </c>
      <c r="C7" s="2" t="inlineStr">
        <is>
          <t>USD</t>
        </is>
      </c>
      <c r="D7" s="3" t="n">
        <v>-409000000</v>
      </c>
      <c r="E7" s="3" t="n">
        <v>2371000000</v>
      </c>
      <c r="F7" s="3" t="n">
        <v>5135000000</v>
      </c>
      <c r="G7" s="3" t="n">
        <v>3444000000</v>
      </c>
      <c r="H7" s="3" t="n">
        <v>4014000000</v>
      </c>
      <c r="I7" s="3" t="n">
        <v>8519000000</v>
      </c>
      <c r="J7" s="3" t="n">
        <v>14225000000</v>
      </c>
      <c r="K7" s="3" t="n">
        <v>16207000000</v>
      </c>
      <c r="L7" s="3" t="n">
        <v>13463000000</v>
      </c>
      <c r="M7" s="3" t="n">
        <v>25484000000</v>
      </c>
    </row>
    <row r="8" ht="42" customHeight="1">
      <c r="A8" s="2" t="inlineStr">
        <is>
          <t>Interest expense</t>
        </is>
      </c>
      <c r="B8" s="2" t="inlineStr">
        <is>
          <t>interest_expense</t>
        </is>
      </c>
      <c r="C8" s="2" t="inlineStr">
        <is>
          <t>USD</t>
        </is>
      </c>
      <c r="D8" s="3" t="n">
        <v>585000000</v>
      </c>
      <c r="E8" s="3" t="n">
        <v>454000000</v>
      </c>
      <c r="F8" s="3" t="n">
        <v>628000000</v>
      </c>
      <c r="G8" s="3" t="n">
        <v>1444000000</v>
      </c>
      <c r="H8" s="3" t="n">
        <v>1777000000</v>
      </c>
      <c r="I8" s="3" t="n">
        <v>1885000000</v>
      </c>
      <c r="J8" s="3" t="n">
        <v>1737000000</v>
      </c>
      <c r="K8" s="3" t="n">
        <v>1622000000</v>
      </c>
      <c r="L8" s="3" t="n">
        <v>3953000000</v>
      </c>
      <c r="M8" s="3" t="n">
        <v>3210000000</v>
      </c>
    </row>
    <row r="9" ht="42" customHeight="1">
      <c r="A9" s="2" t="inlineStr">
        <is>
          <t>Pretax income</t>
        </is>
      </c>
      <c r="B9" s="2" t="inlineStr">
        <is>
          <t>pretax_income</t>
        </is>
      </c>
      <c r="C9" s="2" t="inlineStr">
        <is>
          <t>USD</t>
        </is>
      </c>
      <c r="D9" s="3" t="n">
        <v>-1107000000</v>
      </c>
      <c r="E9" s="3" t="n">
        <v>1825000000</v>
      </c>
      <c r="F9" s="3" t="n">
        <v>4545000000</v>
      </c>
      <c r="G9" s="3" t="n">
        <v>2226000000</v>
      </c>
      <c r="H9" s="3" t="n">
        <v>2443000000</v>
      </c>
      <c r="I9" s="3" t="n">
        <v>6765000000</v>
      </c>
      <c r="J9" s="3" t="n">
        <v>12434000000</v>
      </c>
      <c r="K9" s="3" t="n">
        <v>15097000000</v>
      </c>
      <c r="L9" s="3" t="n">
        <v>9916000000</v>
      </c>
      <c r="M9" s="3" t="n">
        <v>22729000000</v>
      </c>
    </row>
    <row r="10" ht="42" customHeight="1">
      <c r="A10" s="2" t="inlineStr">
        <is>
          <t>Income tax</t>
        </is>
      </c>
      <c r="B10" s="2" t="inlineStr">
        <is>
          <t>income_tax</t>
        </is>
      </c>
      <c r="C10" s="2" t="inlineStr">
        <is>
          <t>USD</t>
        </is>
      </c>
      <c r="D10" s="3" t="n">
        <v>642000000</v>
      </c>
      <c r="E10" s="3" t="n">
        <v>35000000</v>
      </c>
      <c r="F10" s="3" t="n">
        <v>-8084000000</v>
      </c>
      <c r="G10" s="3" t="n">
        <v>-510000000</v>
      </c>
      <c r="H10" s="3" t="n">
        <v>-518000000</v>
      </c>
      <c r="I10" s="3" t="n">
        <v>29000000</v>
      </c>
      <c r="J10" s="3" t="n">
        <v>939000000</v>
      </c>
      <c r="K10" s="3" t="n">
        <v>1015000000</v>
      </c>
      <c r="L10" s="3" t="n">
        <v>3748000000</v>
      </c>
      <c r="M10" s="3" t="n">
        <v>-397000000</v>
      </c>
    </row>
    <row r="11" ht="42" customHeight="1">
      <c r="A11" s="2" t="inlineStr">
        <is>
          <t>Net income</t>
        </is>
      </c>
      <c r="B11" s="2" t="inlineStr">
        <is>
          <t>net_income</t>
        </is>
      </c>
      <c r="C11" s="2" t="inlineStr">
        <is>
          <t>USD</t>
        </is>
      </c>
      <c r="D11" s="3" t="n">
        <v>-1739000000</v>
      </c>
      <c r="E11" s="3" t="n">
        <v>1692000000</v>
      </c>
      <c r="F11" s="3" t="n">
        <v>12259000000</v>
      </c>
      <c r="G11" s="3" t="n">
        <v>2724000000</v>
      </c>
      <c r="H11" s="3" t="n">
        <v>2960000000</v>
      </c>
      <c r="I11" s="3" t="n">
        <v>6736000000</v>
      </c>
      <c r="J11" s="3" t="n">
        <v>11495000000</v>
      </c>
      <c r="K11" s="3" t="n">
        <v>14082000000</v>
      </c>
      <c r="L11" s="3" t="n">
        <v>5895000000</v>
      </c>
      <c r="M11" s="3" t="n">
        <v>23126000000</v>
      </c>
    </row>
    <row r="12" ht="42" customHeight="1">
      <c r="A12" s="2" t="inlineStr">
        <is>
          <t>D and a</t>
        </is>
      </c>
      <c r="B12" s="2" t="inlineStr">
        <is>
          <t>d_and_a</t>
        </is>
      </c>
      <c r="C12" s="2" t="inlineStr">
        <is>
          <t>USD</t>
        </is>
      </c>
      <c r="D12" s="3" t="n">
        <v>3042000000</v>
      </c>
      <c r="E12" s="3" t="n">
        <v>4737000000</v>
      </c>
      <c r="F12" s="3" t="n">
        <v>4081000000</v>
      </c>
      <c r="G12" s="3" t="n">
        <v>5808000000</v>
      </c>
      <c r="H12" s="2" t="n"/>
      <c r="I12" s="2" t="n"/>
      <c r="J12" s="2" t="n"/>
      <c r="K12" s="3" t="n">
        <v>3749000000</v>
      </c>
      <c r="L12" s="3" t="n">
        <v>9860000000</v>
      </c>
      <c r="M12" s="3" t="n">
        <v>8636000000</v>
      </c>
    </row>
    <row r="13" ht="42" customHeight="1">
      <c r="A13" s="2" t="inlineStr">
        <is>
          <t>Depreciation</t>
        </is>
      </c>
      <c r="B13" s="2" t="inlineStr">
        <is>
          <t>depreciation</t>
        </is>
      </c>
      <c r="C13" s="2" t="inlineStr">
        <is>
          <t>USD</t>
        </is>
      </c>
      <c r="D13" s="3" t="n">
        <v>402000000</v>
      </c>
      <c r="E13" s="3" t="n">
        <v>451000000</v>
      </c>
      <c r="F13" s="3" t="n">
        <v>515000000</v>
      </c>
      <c r="G13" s="3" t="n">
        <v>569000000</v>
      </c>
      <c r="H13" s="3" t="n">
        <v>570000000</v>
      </c>
      <c r="I13" s="3" t="n">
        <v>539000000</v>
      </c>
      <c r="J13" s="3" t="n">
        <v>529000000</v>
      </c>
      <c r="K13" s="3" t="n">
        <v>502000000</v>
      </c>
      <c r="L13" s="3" t="n">
        <v>593000000</v>
      </c>
      <c r="M13" s="3" t="n">
        <v>574000000</v>
      </c>
    </row>
    <row r="14" ht="42" customHeight="1">
      <c r="A14" s="2" t="inlineStr">
        <is>
          <t>Amortization</t>
        </is>
      </c>
      <c r="B14" s="2" t="inlineStr">
        <is>
          <t>amortization</t>
        </is>
      </c>
      <c r="C14" s="2" t="inlineStr">
        <is>
          <t>USD</t>
        </is>
      </c>
      <c r="D14" s="3" t="n">
        <v>2640000000</v>
      </c>
      <c r="E14" s="3" t="n">
        <v>4286000000</v>
      </c>
      <c r="F14" s="3" t="n">
        <v>3566000000</v>
      </c>
      <c r="G14" s="3" t="n">
        <v>5239000000</v>
      </c>
      <c r="H14" s="2" t="n"/>
      <c r="I14" s="2" t="n"/>
      <c r="J14" s="2" t="n"/>
      <c r="K14" s="3" t="n">
        <v>3247000000</v>
      </c>
      <c r="L14" s="3" t="n">
        <v>9267000000</v>
      </c>
      <c r="M14" s="3" t="n">
        <v>8062000000</v>
      </c>
    </row>
    <row r="15" ht="42" customHeight="1">
      <c r="A15" s="2" t="inlineStr">
        <is>
          <t>Eps diluted</t>
        </is>
      </c>
      <c r="B15" s="2" t="inlineStr">
        <is>
          <t>eps_diluted</t>
        </is>
      </c>
      <c r="C15" s="2" t="inlineStr">
        <is>
          <t>USD per share</t>
        </is>
      </c>
      <c r="D15" s="3" t="n">
        <v>-0.486</v>
      </c>
      <c r="E15" s="3" t="n">
        <v>0.402</v>
      </c>
      <c r="F15" s="3" t="n">
        <v>2.844</v>
      </c>
      <c r="G15" s="3" t="n">
        <v>0.643</v>
      </c>
      <c r="H15" s="3" t="n">
        <v>0.633</v>
      </c>
      <c r="I15" s="3" t="n">
        <v>1.5</v>
      </c>
      <c r="J15" s="3" t="n">
        <v>2.65</v>
      </c>
      <c r="K15" s="3" t="n">
        <v>3.3</v>
      </c>
      <c r="L15" s="3" t="n">
        <v>1.23</v>
      </c>
      <c r="M15" s="3" t="n">
        <v>4.77</v>
      </c>
    </row>
    <row r="16" ht="42" customHeight="1">
      <c r="A16" s="2" t="inlineStr">
        <is>
          <t>Ocf</t>
        </is>
      </c>
      <c r="B16" s="2" t="inlineStr">
        <is>
          <t>ocf</t>
        </is>
      </c>
      <c r="C16" s="2" t="inlineStr">
        <is>
          <t>USD</t>
        </is>
      </c>
      <c r="D16" s="3" t="n">
        <v>3411000000</v>
      </c>
      <c r="E16" s="3" t="n">
        <v>6551000000</v>
      </c>
      <c r="F16" s="3" t="n">
        <v>8880000000</v>
      </c>
      <c r="G16" s="3" t="n">
        <v>9697000000</v>
      </c>
      <c r="H16" s="3" t="n">
        <v>12061000000</v>
      </c>
      <c r="I16" s="3" t="n">
        <v>13764000000</v>
      </c>
      <c r="J16" s="3" t="n">
        <v>16736000000</v>
      </c>
      <c r="K16" s="3" t="n">
        <v>18085000000</v>
      </c>
      <c r="L16" s="3" t="n">
        <v>19962000000</v>
      </c>
      <c r="M16" s="3" t="n">
        <v>27537000000</v>
      </c>
    </row>
    <row r="17" ht="42" customHeight="1">
      <c r="A17" s="2" t="inlineStr">
        <is>
          <t>Capex</t>
        </is>
      </c>
      <c r="B17" s="2" t="inlineStr">
        <is>
          <t>capex</t>
        </is>
      </c>
      <c r="C17" s="2" t="inlineStr">
        <is>
          <t>USD</t>
        </is>
      </c>
      <c r="D17" s="3" t="n">
        <v>723000000</v>
      </c>
      <c r="E17" s="3" t="n">
        <v>1069000000</v>
      </c>
      <c r="F17" s="3" t="n">
        <v>635000000</v>
      </c>
      <c r="G17" s="3" t="n">
        <v>432000000</v>
      </c>
      <c r="H17" s="3" t="n">
        <v>463000000</v>
      </c>
      <c r="I17" s="3" t="n">
        <v>443000000</v>
      </c>
      <c r="J17" s="3" t="n">
        <v>424000000</v>
      </c>
      <c r="K17" s="3" t="n">
        <v>452000000</v>
      </c>
      <c r="L17" s="3" t="n">
        <v>548000000</v>
      </c>
      <c r="M17" s="3" t="n">
        <v>623000000</v>
      </c>
    </row>
    <row r="18" ht="42" customHeight="1">
      <c r="A18" s="2" t="inlineStr">
        <is>
          <t>Sbc</t>
        </is>
      </c>
      <c r="B18" s="2" t="inlineStr">
        <is>
          <t>sbc</t>
        </is>
      </c>
      <c r="C18" s="2" t="inlineStr">
        <is>
          <t>USD</t>
        </is>
      </c>
      <c r="D18" s="3" t="n">
        <v>679000000</v>
      </c>
      <c r="E18" s="3" t="n">
        <v>921000000</v>
      </c>
      <c r="F18" s="3" t="n">
        <v>1227000000</v>
      </c>
      <c r="G18" s="3" t="n">
        <v>2185000000</v>
      </c>
      <c r="H18" s="3" t="n">
        <v>1976000000</v>
      </c>
      <c r="I18" s="3" t="n">
        <v>1704000000</v>
      </c>
      <c r="J18" s="3" t="n">
        <v>1533000000</v>
      </c>
      <c r="K18" s="3" t="n">
        <v>2171000000</v>
      </c>
      <c r="L18" s="3" t="n">
        <v>5741000000</v>
      </c>
      <c r="M18" s="3" t="n">
        <v>7568000000</v>
      </c>
    </row>
    <row r="19" ht="42" customHeight="1">
      <c r="A19" s="2" t="inlineStr">
        <is>
          <t>Acquisitions</t>
        </is>
      </c>
      <c r="B19" s="2" t="inlineStr">
        <is>
          <t>acquisitions</t>
        </is>
      </c>
      <c r="C19" s="2" t="inlineStr">
        <is>
          <t>USD</t>
        </is>
      </c>
      <c r="D19" s="3" t="n">
        <v>10055000000</v>
      </c>
      <c r="E19" s="3" t="n">
        <v>40000000</v>
      </c>
      <c r="F19" s="3" t="n">
        <v>4800000000</v>
      </c>
      <c r="G19" s="3" t="n">
        <v>16033000000</v>
      </c>
      <c r="H19" s="3" t="n">
        <v>10872000000</v>
      </c>
      <c r="I19" s="3" t="n">
        <v>8000000</v>
      </c>
      <c r="J19" s="3" t="n">
        <v>246000000</v>
      </c>
      <c r="K19" s="3" t="n">
        <v>53000000</v>
      </c>
      <c r="L19" s="3" t="n">
        <v>25978000000</v>
      </c>
      <c r="M19" s="3" t="n">
        <v>0</v>
      </c>
    </row>
    <row r="20" ht="42" customHeight="1">
      <c r="A20" s="2" t="inlineStr">
        <is>
          <t>Buybacks</t>
        </is>
      </c>
      <c r="B20" s="2" t="inlineStr">
        <is>
          <t>buybacks</t>
        </is>
      </c>
      <c r="C20" s="2" t="inlineStr">
        <is>
          <t>USD</t>
        </is>
      </c>
      <c r="D20" s="3" t="n">
        <v>0</v>
      </c>
      <c r="E20" s="3" t="n">
        <v>0</v>
      </c>
      <c r="F20" s="3" t="n">
        <v>7258000000</v>
      </c>
      <c r="G20" s="3" t="n">
        <v>5435000000</v>
      </c>
      <c r="H20" s="3" t="n">
        <v>0</v>
      </c>
      <c r="I20" s="3" t="n">
        <v>0</v>
      </c>
      <c r="J20" s="3" t="n">
        <v>7000000000</v>
      </c>
      <c r="K20" s="3" t="n">
        <v>5824000000</v>
      </c>
      <c r="L20" s="3" t="n">
        <v>7176000000</v>
      </c>
      <c r="M20" s="3" t="n">
        <v>2450000000</v>
      </c>
    </row>
    <row r="21" ht="42" customHeight="1">
      <c r="A21" s="2" t="inlineStr">
        <is>
          <t>Dividends</t>
        </is>
      </c>
      <c r="B21" s="2" t="inlineStr">
        <is>
          <t>dividends</t>
        </is>
      </c>
      <c r="C21" s="2" t="inlineStr">
        <is>
          <t>USD</t>
        </is>
      </c>
      <c r="D21" s="3" t="n">
        <v>750000000</v>
      </c>
      <c r="E21" s="3" t="n">
        <v>1745000000</v>
      </c>
      <c r="F21" s="3" t="n">
        <v>2998000000</v>
      </c>
      <c r="G21" s="3" t="n">
        <v>4235000000</v>
      </c>
      <c r="H21" s="3" t="n">
        <v>5534000000</v>
      </c>
      <c r="I21" s="3" t="n">
        <v>6212000000</v>
      </c>
      <c r="J21" s="3" t="n">
        <v>7032000000</v>
      </c>
      <c r="K21" s="3" t="n">
        <v>7645000000</v>
      </c>
      <c r="L21" s="3" t="n">
        <v>9814000000</v>
      </c>
      <c r="M21" s="3" t="n">
        <v>11142000000</v>
      </c>
    </row>
    <row r="22" ht="42" customHeight="1">
      <c r="A22" s="2" t="inlineStr">
        <is>
          <t>Debt issued</t>
        </is>
      </c>
      <c r="B22" s="2" t="inlineStr">
        <is>
          <t>debt_issued</t>
        </is>
      </c>
      <c r="C22" s="2" t="inlineStr">
        <is>
          <t>USD</t>
        </is>
      </c>
      <c r="D22" s="3" t="n">
        <v>19510000000</v>
      </c>
      <c r="E22" s="3" t="n">
        <v>17426000000</v>
      </c>
      <c r="F22" s="3" t="n">
        <v>0</v>
      </c>
      <c r="G22" s="3" t="n">
        <v>28793000000</v>
      </c>
      <c r="H22" s="3" t="n">
        <v>27802000000</v>
      </c>
      <c r="I22" s="3" t="n">
        <v>9904000000</v>
      </c>
      <c r="J22" s="3" t="n">
        <v>1935000000</v>
      </c>
      <c r="K22" s="3" t="n">
        <v>0</v>
      </c>
      <c r="L22" s="3" t="n">
        <v>39954000000</v>
      </c>
      <c r="M22" s="3" t="n">
        <v>15666000000</v>
      </c>
    </row>
    <row r="23" ht="42" customHeight="1">
      <c r="A23" s="2" t="inlineStr">
        <is>
          <t>Debt repaid</t>
        </is>
      </c>
      <c r="B23" s="2" t="inlineStr">
        <is>
          <t>debt_repaid</t>
        </is>
      </c>
      <c r="C23" s="2" t="inlineStr">
        <is>
          <t>USD</t>
        </is>
      </c>
      <c r="D23" s="3" t="n">
        <v>11317000000</v>
      </c>
      <c r="E23" s="3" t="n">
        <v>13668000000</v>
      </c>
      <c r="F23" s="3" t="n">
        <v>973000000</v>
      </c>
      <c r="G23" s="3" t="n">
        <v>16800000000</v>
      </c>
      <c r="H23" s="3" t="n">
        <v>18814000000</v>
      </c>
      <c r="I23" s="3" t="n">
        <v>11495000000</v>
      </c>
      <c r="J23" s="3" t="n">
        <v>2361000000</v>
      </c>
      <c r="K23" s="3" t="n">
        <v>403000000</v>
      </c>
      <c r="L23" s="3" t="n">
        <v>19608000000</v>
      </c>
      <c r="M23" s="3" t="n">
        <v>18478000000</v>
      </c>
    </row>
    <row r="24" ht="42" customHeight="1">
      <c r="A24" s="2" t="inlineStr">
        <is>
          <t>Diluted avg shares</t>
        </is>
      </c>
      <c r="B24" s="2" t="inlineStr">
        <is>
          <t>diluted_avg_shares</t>
        </is>
      </c>
      <c r="C24" s="2" t="inlineStr">
        <is>
          <t>shares</t>
        </is>
      </c>
      <c r="D24" s="3" t="n">
        <v>3830000000</v>
      </c>
      <c r="E24" s="3" t="n">
        <v>4210000000</v>
      </c>
      <c r="F24" s="3" t="n">
        <v>4310000000</v>
      </c>
      <c r="G24" s="3" t="n">
        <v>4190000000</v>
      </c>
      <c r="H24" s="3" t="n">
        <v>4210000000</v>
      </c>
      <c r="I24" s="3" t="n">
        <v>4290000000</v>
      </c>
      <c r="J24" s="3" t="n">
        <v>4232000000</v>
      </c>
      <c r="K24" s="3" t="n">
        <v>4272000000</v>
      </c>
      <c r="L24" s="3" t="n">
        <v>4778000000</v>
      </c>
      <c r="M24" s="3" t="n">
        <v>4853000000</v>
      </c>
    </row>
    <row r="25" ht="42" customHeight="1">
      <c r="A25" s="2" t="inlineStr">
        <is>
          <t>Cash sti</t>
        </is>
      </c>
      <c r="B25" s="2" t="inlineStr">
        <is>
          <t>cash_sti</t>
        </is>
      </c>
      <c r="C25" s="2" t="inlineStr">
        <is>
          <t>USD</t>
        </is>
      </c>
      <c r="D25" s="3" t="n">
        <v>3097000000</v>
      </c>
      <c r="E25" s="3" t="n">
        <v>11204000000</v>
      </c>
      <c r="F25" s="3" t="n">
        <v>4292000000</v>
      </c>
      <c r="G25" s="3" t="n">
        <v>5055000000</v>
      </c>
      <c r="H25" s="3" t="n">
        <v>7618000000</v>
      </c>
      <c r="I25" s="3" t="n">
        <v>12163000000</v>
      </c>
      <c r="J25" s="3" t="n">
        <v>12416000000</v>
      </c>
      <c r="K25" s="3" t="n">
        <v>14189000000</v>
      </c>
      <c r="L25" s="3" t="n">
        <v>9348000000</v>
      </c>
      <c r="M25" s="3" t="n">
        <v>16178000000</v>
      </c>
    </row>
    <row r="26" ht="42" customHeight="1">
      <c r="A26" s="2" t="inlineStr">
        <is>
          <t>Receivables</t>
        </is>
      </c>
      <c r="B26" s="2" t="inlineStr">
        <is>
          <t>receivables</t>
        </is>
      </c>
      <c r="C26" s="2" t="inlineStr">
        <is>
          <t>USD</t>
        </is>
      </c>
      <c r="D26" s="2" t="n"/>
      <c r="E26" s="3" t="n">
        <v>2448000000</v>
      </c>
      <c r="F26" s="3" t="n">
        <v>3325000000</v>
      </c>
      <c r="G26" s="3" t="n">
        <v>3259000000</v>
      </c>
      <c r="H26" s="3" t="n">
        <v>2297000000</v>
      </c>
      <c r="I26" s="3" t="n">
        <v>2071000000</v>
      </c>
      <c r="J26" s="3" t="n">
        <v>2958000000</v>
      </c>
      <c r="K26" s="3" t="n">
        <v>3154000000</v>
      </c>
      <c r="L26" s="3" t="n">
        <v>4416000000</v>
      </c>
      <c r="M26" s="3" t="n">
        <v>7145000000</v>
      </c>
    </row>
    <row r="27" ht="42" customHeight="1">
      <c r="A27" s="2" t="inlineStr">
        <is>
          <t>Inventory</t>
        </is>
      </c>
      <c r="B27" s="2" t="inlineStr">
        <is>
          <t>inventory</t>
        </is>
      </c>
      <c r="C27" s="2" t="inlineStr">
        <is>
          <t>USD</t>
        </is>
      </c>
      <c r="D27" s="2" t="n"/>
      <c r="E27" s="3" t="n">
        <v>1447000000</v>
      </c>
      <c r="F27" s="3" t="n">
        <v>1124000000</v>
      </c>
      <c r="G27" s="3" t="n">
        <v>874000000</v>
      </c>
      <c r="H27" s="3" t="n">
        <v>1003000000</v>
      </c>
      <c r="I27" s="3" t="n">
        <v>1297000000</v>
      </c>
      <c r="J27" s="3" t="n">
        <v>1925000000</v>
      </c>
      <c r="K27" s="3" t="n">
        <v>1898000000</v>
      </c>
      <c r="L27" s="3" t="n">
        <v>1760000000</v>
      </c>
      <c r="M27" s="3" t="n">
        <v>2270000000</v>
      </c>
    </row>
    <row r="28" ht="42" customHeight="1">
      <c r="A28" s="2" t="inlineStr">
        <is>
          <t>Current assets</t>
        </is>
      </c>
      <c r="B28" s="2" t="inlineStr">
        <is>
          <t>current_assets</t>
        </is>
      </c>
      <c r="C28" s="2" t="inlineStr">
        <is>
          <t>USD</t>
        </is>
      </c>
      <c r="D28" s="2" t="n"/>
      <c r="E28" s="3" t="n">
        <v>15823000000</v>
      </c>
      <c r="F28" s="3" t="n">
        <v>9107000000</v>
      </c>
      <c r="G28" s="3" t="n">
        <v>9917000000</v>
      </c>
      <c r="H28" s="3" t="n">
        <v>11895000000</v>
      </c>
      <c r="I28" s="3" t="n">
        <v>16586000000</v>
      </c>
      <c r="J28" s="3" t="n">
        <v>18504000000</v>
      </c>
      <c r="K28" s="3" t="n">
        <v>20847000000</v>
      </c>
      <c r="L28" s="3" t="n">
        <v>19595000000</v>
      </c>
      <c r="M28" s="3" t="n">
        <v>31573000000</v>
      </c>
    </row>
    <row r="29" ht="42" customHeight="1">
      <c r="A29" s="2" t="inlineStr">
        <is>
          <t>Ppe</t>
        </is>
      </c>
      <c r="B29" s="2" t="inlineStr">
        <is>
          <t>ppe</t>
        </is>
      </c>
      <c r="C29" s="2" t="inlineStr">
        <is>
          <t>USD</t>
        </is>
      </c>
      <c r="D29" s="2" t="n"/>
      <c r="E29" s="3" t="n">
        <v>2599000000</v>
      </c>
      <c r="F29" s="3" t="n">
        <v>2635000000</v>
      </c>
      <c r="G29" s="3" t="n">
        <v>2565000000</v>
      </c>
      <c r="H29" s="3" t="n">
        <v>2509000000</v>
      </c>
      <c r="I29" s="3" t="n">
        <v>2348000000</v>
      </c>
      <c r="J29" s="3" t="n">
        <v>2223000000</v>
      </c>
      <c r="K29" s="3" t="n">
        <v>2154000000</v>
      </c>
      <c r="L29" s="3" t="n">
        <v>2521000000</v>
      </c>
      <c r="M29" s="3" t="n">
        <v>2530000000</v>
      </c>
    </row>
    <row r="30" ht="42" customHeight="1">
      <c r="A30" s="2" t="inlineStr">
        <is>
          <t>Goodwill</t>
        </is>
      </c>
      <c r="B30" s="2" t="inlineStr">
        <is>
          <t>goodwill</t>
        </is>
      </c>
      <c r="C30" s="2" t="inlineStr">
        <is>
          <t>USD</t>
        </is>
      </c>
      <c r="D30" s="3" t="n">
        <v>24732000000</v>
      </c>
      <c r="E30" s="3" t="n">
        <v>24706000000</v>
      </c>
      <c r="F30" s="3" t="n">
        <v>26913000000</v>
      </c>
      <c r="G30" s="3" t="n">
        <v>36714000000</v>
      </c>
      <c r="H30" s="3" t="n">
        <v>43447000000</v>
      </c>
      <c r="I30" s="3" t="n">
        <v>43450000000</v>
      </c>
      <c r="J30" s="3" t="n">
        <v>43614000000</v>
      </c>
      <c r="K30" s="3" t="n">
        <v>43653000000</v>
      </c>
      <c r="L30" s="3" t="n">
        <v>97873000000</v>
      </c>
      <c r="M30" s="3" t="n">
        <v>97801000000</v>
      </c>
    </row>
    <row r="31" ht="42" customHeight="1">
      <c r="A31" s="2" t="inlineStr">
        <is>
          <t>Intangibles</t>
        </is>
      </c>
      <c r="B31" s="2" t="inlineStr">
        <is>
          <t>intangibles</t>
        </is>
      </c>
      <c r="C31" s="2" t="inlineStr">
        <is>
          <t>USD</t>
        </is>
      </c>
      <c r="D31" s="2" t="n"/>
      <c r="E31" s="3" t="n">
        <v>10832000000</v>
      </c>
      <c r="F31" s="3" t="n">
        <v>10762000000</v>
      </c>
      <c r="G31" s="3" t="n">
        <v>17554000000</v>
      </c>
      <c r="H31" s="3" t="n">
        <v>16782000000</v>
      </c>
      <c r="I31" s="3" t="n">
        <v>11374000000</v>
      </c>
      <c r="J31" s="3" t="n">
        <v>7111000000</v>
      </c>
      <c r="K31" s="3" t="n">
        <v>3867000000</v>
      </c>
      <c r="L31" s="3" t="n">
        <v>40583000000</v>
      </c>
      <c r="M31" s="3" t="n">
        <v>32273000000</v>
      </c>
    </row>
    <row r="32" ht="42" customHeight="1">
      <c r="A32" s="2" t="inlineStr">
        <is>
          <t>Total assets</t>
        </is>
      </c>
      <c r="B32" s="2" t="inlineStr">
        <is>
          <t>total_assets</t>
        </is>
      </c>
      <c r="C32" s="2" t="inlineStr">
        <is>
          <t>USD</t>
        </is>
      </c>
      <c r="D32" s="2" t="n"/>
      <c r="E32" s="3" t="n">
        <v>54418000000</v>
      </c>
      <c r="F32" s="3" t="n">
        <v>50124000000</v>
      </c>
      <c r="G32" s="3" t="n">
        <v>67493000000</v>
      </c>
      <c r="H32" s="3" t="n">
        <v>75933000000</v>
      </c>
      <c r="I32" s="3" t="n">
        <v>75570000000</v>
      </c>
      <c r="J32" s="3" t="n">
        <v>73249000000</v>
      </c>
      <c r="K32" s="3" t="n">
        <v>72861000000</v>
      </c>
      <c r="L32" s="3" t="n">
        <v>165645000000</v>
      </c>
      <c r="M32" s="3" t="n">
        <v>171092000000</v>
      </c>
    </row>
    <row r="33" ht="42" customHeight="1">
      <c r="A33" s="2" t="inlineStr">
        <is>
          <t>Payables</t>
        </is>
      </c>
      <c r="B33" s="2" t="inlineStr">
        <is>
          <t>payables</t>
        </is>
      </c>
      <c r="C33" s="2" t="inlineStr">
        <is>
          <t>USD</t>
        </is>
      </c>
      <c r="D33" s="2" t="n"/>
      <c r="E33" s="3" t="n">
        <v>1105000000</v>
      </c>
      <c r="F33" s="3" t="n">
        <v>811000000</v>
      </c>
      <c r="G33" s="3" t="n">
        <v>855000000</v>
      </c>
      <c r="H33" s="3" t="n">
        <v>836000000</v>
      </c>
      <c r="I33" s="3" t="n">
        <v>1086000000</v>
      </c>
      <c r="J33" s="3" t="n">
        <v>998000000</v>
      </c>
      <c r="K33" s="3" t="n">
        <v>1210000000</v>
      </c>
      <c r="L33" s="3" t="n">
        <v>1662000000</v>
      </c>
      <c r="M33" s="3" t="n">
        <v>1560000000</v>
      </c>
    </row>
    <row r="34" ht="42" customHeight="1">
      <c r="A34" s="2" t="inlineStr">
        <is>
          <t>Current liabilities</t>
        </is>
      </c>
      <c r="B34" s="2" t="inlineStr">
        <is>
          <t>current_liabilities</t>
        </is>
      </c>
      <c r="C34" s="2" t="inlineStr">
        <is>
          <t>USD</t>
        </is>
      </c>
      <c r="D34" s="2" t="n"/>
      <c r="E34" s="3" t="n">
        <v>2529000000</v>
      </c>
      <c r="F34" s="3" t="n">
        <v>2338000000</v>
      </c>
      <c r="G34" s="3" t="n">
        <v>6899000000</v>
      </c>
      <c r="H34" s="3" t="n">
        <v>6371000000</v>
      </c>
      <c r="I34" s="3" t="n">
        <v>6281000000</v>
      </c>
      <c r="J34" s="3" t="n">
        <v>7052000000</v>
      </c>
      <c r="K34" s="3" t="n">
        <v>7405000000</v>
      </c>
      <c r="L34" s="3" t="n">
        <v>16697000000</v>
      </c>
      <c r="M34" s="3" t="n">
        <v>18514000000</v>
      </c>
    </row>
    <row r="35" ht="42" customHeight="1">
      <c r="A35" s="2" t="inlineStr">
        <is>
          <t>Short term debt</t>
        </is>
      </c>
      <c r="B35" s="2" t="inlineStr">
        <is>
          <t>short_term_debt</t>
        </is>
      </c>
      <c r="C35" s="2" t="inlineStr">
        <is>
          <t>USD</t>
        </is>
      </c>
      <c r="D35" s="2" t="n"/>
      <c r="E35" s="3" t="n">
        <v>117000000</v>
      </c>
      <c r="F35" s="3" t="n">
        <v>0</v>
      </c>
      <c r="G35" s="3" t="n">
        <v>2787000000</v>
      </c>
      <c r="H35" s="3" t="n">
        <v>827000000</v>
      </c>
      <c r="I35" s="3" t="n">
        <v>264000000</v>
      </c>
      <c r="J35" s="3" t="n">
        <v>403000000</v>
      </c>
      <c r="K35" s="3" t="n">
        <v>1563000000</v>
      </c>
      <c r="L35" s="3" t="n">
        <v>1245000000</v>
      </c>
      <c r="M35" s="3" t="n">
        <v>3152000000</v>
      </c>
    </row>
    <row r="36" ht="42" customHeight="1">
      <c r="A36" s="2" t="inlineStr">
        <is>
          <t>Long term debt</t>
        </is>
      </c>
      <c r="B36" s="2" t="inlineStr">
        <is>
          <t>long_term_debt</t>
        </is>
      </c>
      <c r="C36" s="2" t="inlineStr">
        <is>
          <t>USD</t>
        </is>
      </c>
      <c r="D36" s="2" t="n"/>
      <c r="E36" s="3" t="n">
        <v>17431000000</v>
      </c>
      <c r="F36" s="3" t="n">
        <v>17493000000</v>
      </c>
      <c r="G36" s="3" t="n">
        <v>30011000000</v>
      </c>
      <c r="H36" s="3" t="n">
        <v>40235000000</v>
      </c>
      <c r="I36" s="3" t="n">
        <v>39440000000</v>
      </c>
      <c r="J36" s="3" t="n">
        <v>39075000000</v>
      </c>
      <c r="K36" s="3" t="n">
        <v>37621000000</v>
      </c>
      <c r="L36" s="3" t="n">
        <v>66295000000</v>
      </c>
      <c r="M36" s="3" t="n">
        <v>61984000000</v>
      </c>
    </row>
    <row r="37" ht="42" customHeight="1">
      <c r="A37" s="2" t="inlineStr">
        <is>
          <t>Convertible debt</t>
        </is>
      </c>
      <c r="B37" s="2" t="inlineStr">
        <is>
          <t>convertible_debt</t>
        </is>
      </c>
      <c r="C37" s="2" t="inlineStr">
        <is>
          <t>USD</t>
        </is>
      </c>
      <c r="D37" s="2" t="n"/>
      <c r="E37" s="2" t="n"/>
      <c r="F37" s="2" t="n"/>
      <c r="G37" s="2" t="n"/>
      <c r="H37" s="2" t="n"/>
      <c r="I37" s="2" t="n"/>
      <c r="J37" s="2" t="n"/>
      <c r="K37" s="2" t="n"/>
      <c r="L37" s="2" t="n"/>
      <c r="M37" s="2" t="n"/>
    </row>
    <row r="38" ht="42" customHeight="1">
      <c r="A38" s="2" t="inlineStr">
        <is>
          <t>Lease liabilities</t>
        </is>
      </c>
      <c r="B38" s="2" t="inlineStr">
        <is>
          <t>lease_liabilities</t>
        </is>
      </c>
      <c r="C38" s="2" t="inlineStr">
        <is>
          <t>USD</t>
        </is>
      </c>
      <c r="D38" s="2" t="n"/>
      <c r="E38" s="2" t="n"/>
      <c r="F38" s="2" t="n"/>
      <c r="G38" s="2" t="n"/>
      <c r="H38" s="3" t="n">
        <v>627000000</v>
      </c>
      <c r="I38" s="3" t="n">
        <v>543000000</v>
      </c>
      <c r="J38" s="3" t="n">
        <v>463000000</v>
      </c>
      <c r="K38" s="3" t="n">
        <v>419000000</v>
      </c>
      <c r="L38" s="3" t="n">
        <v>1350000000</v>
      </c>
      <c r="M38" s="3" t="n">
        <v>1325000000</v>
      </c>
    </row>
    <row r="39" ht="42" customHeight="1">
      <c r="A39" s="2" t="inlineStr">
        <is>
          <t>Total liabilities</t>
        </is>
      </c>
      <c r="B39" s="2" t="inlineStr">
        <is>
          <t>total_liabilities</t>
        </is>
      </c>
      <c r="C39" s="2" t="inlineStr">
        <is>
          <t>USD</t>
        </is>
      </c>
      <c r="D39" s="2" t="n"/>
      <c r="E39" s="3" t="n">
        <v>31232000000</v>
      </c>
      <c r="F39" s="3" t="n">
        <v>23467000000</v>
      </c>
      <c r="G39" s="3" t="n">
        <v>42523000000</v>
      </c>
      <c r="H39" s="3" t="n">
        <v>52032000000</v>
      </c>
      <c r="I39" s="3" t="n">
        <v>50581000000</v>
      </c>
      <c r="J39" s="3" t="n">
        <v>50540000000</v>
      </c>
      <c r="K39" s="3" t="n">
        <v>48873000000</v>
      </c>
      <c r="L39" s="3" t="n">
        <v>97967000000</v>
      </c>
      <c r="M39" s="3" t="n">
        <v>89800000000</v>
      </c>
    </row>
    <row r="40" ht="42" customHeight="1">
      <c r="A40" s="2" t="inlineStr">
        <is>
          <t>Equity</t>
        </is>
      </c>
      <c r="B40" s="2" t="inlineStr">
        <is>
          <t>equity</t>
        </is>
      </c>
      <c r="C40" s="2" t="inlineStr">
        <is>
          <t>USD</t>
        </is>
      </c>
      <c r="D40" s="3" t="n">
        <v>21876000000</v>
      </c>
      <c r="E40" s="3" t="n">
        <v>20285000000</v>
      </c>
      <c r="F40" s="3" t="n">
        <v>26657000000</v>
      </c>
      <c r="G40" s="3" t="n">
        <v>24941000000</v>
      </c>
      <c r="H40" s="3" t="n">
        <v>23874000000</v>
      </c>
      <c r="I40" s="3" t="n">
        <v>24962000000</v>
      </c>
      <c r="J40" s="3" t="n">
        <v>22709000000</v>
      </c>
      <c r="K40" s="3" t="n">
        <v>23988000000</v>
      </c>
      <c r="L40" s="3" t="n">
        <v>67678000000</v>
      </c>
      <c r="M40" s="3" t="n">
        <v>81292000000</v>
      </c>
    </row>
    <row r="41" ht="42" customHeight="1">
      <c r="A41" s="2" t="inlineStr">
        <is>
          <t>Minority interest</t>
        </is>
      </c>
      <c r="B41" s="2" t="inlineStr">
        <is>
          <t>minority_interest</t>
        </is>
      </c>
      <c r="C41" s="2" t="inlineStr">
        <is>
          <t>USD</t>
        </is>
      </c>
      <c r="D41" s="2" t="n"/>
      <c r="E41" s="3" t="n">
        <v>2901000000</v>
      </c>
      <c r="F41" s="3" t="n">
        <v>0</v>
      </c>
      <c r="G41" s="2" t="n"/>
      <c r="H41" s="2" t="n"/>
      <c r="I41" s="2" t="n"/>
      <c r="J41" s="2" t="n"/>
      <c r="K41" s="2" t="n"/>
      <c r="L41" s="2" t="n"/>
      <c r="M41" s="2" t="n"/>
    </row>
    <row r="42" ht="42" customHeight="1">
      <c r="A42" s="2" t="inlineStr">
        <is>
          <t>Preferred</t>
        </is>
      </c>
      <c r="B42" s="2" t="inlineStr">
        <is>
          <t>preferred</t>
        </is>
      </c>
      <c r="C42" s="2" t="inlineStr">
        <is>
          <t>USD</t>
        </is>
      </c>
      <c r="D42" s="2" t="n"/>
      <c r="E42" s="3" t="n">
        <v>0</v>
      </c>
      <c r="F42" s="3" t="n">
        <v>0</v>
      </c>
      <c r="G42" s="3" t="n">
        <v>0</v>
      </c>
      <c r="H42" s="3" t="n">
        <v>0</v>
      </c>
      <c r="I42" s="3" t="n">
        <v>0</v>
      </c>
      <c r="J42" s="3" t="n">
        <v>0</v>
      </c>
      <c r="K42" s="3" t="n">
        <v>0</v>
      </c>
      <c r="L42" s="3" t="n">
        <v>0</v>
      </c>
      <c r="M42" s="3" t="n">
        <v>0</v>
      </c>
    </row>
    <row r="43" ht="42" customHeight="1">
      <c r="A43" s="2" t="inlineStr">
        <is>
          <t>Shares outstanding</t>
        </is>
      </c>
      <c r="B43" s="2" t="inlineStr">
        <is>
          <t>shares_outstanding</t>
        </is>
      </c>
      <c r="C43" s="2" t="inlineStr">
        <is>
          <t>shares</t>
        </is>
      </c>
      <c r="D43" s="2" t="n"/>
      <c r="E43" s="3" t="n">
        <v>4087321550</v>
      </c>
      <c r="F43" s="3" t="n">
        <v>4076376180</v>
      </c>
      <c r="G43" s="3" t="n">
        <v>3980000000</v>
      </c>
      <c r="H43" s="3" t="n">
        <v>4070000000</v>
      </c>
      <c r="I43" s="3" t="n">
        <v>4130000000</v>
      </c>
      <c r="J43" s="3" t="n">
        <v>4180000000</v>
      </c>
      <c r="K43" s="3" t="n">
        <v>4139000000</v>
      </c>
      <c r="L43" s="3" t="n">
        <v>4686000000</v>
      </c>
      <c r="M43" s="3" t="n">
        <v>4741000000</v>
      </c>
    </row>
    <row r="44" ht="42" customHeight="1">
      <c r="A44" s="2" t="inlineStr">
        <is>
          <t>Maturity y1</t>
        </is>
      </c>
      <c r="B44" s="2" t="inlineStr">
        <is>
          <t>maturity_y1</t>
        </is>
      </c>
      <c r="C44" s="2" t="inlineStr">
        <is>
          <t>USD</t>
        </is>
      </c>
      <c r="D44" s="2" t="n"/>
      <c r="E44" s="2" t="n"/>
      <c r="F44" s="3" t="n">
        <v>0</v>
      </c>
      <c r="G44" s="3" t="n">
        <v>4537000000</v>
      </c>
      <c r="H44" s="2" t="n"/>
      <c r="I44" s="3" t="n">
        <v>264000000</v>
      </c>
      <c r="J44" s="3" t="n">
        <v>403000000</v>
      </c>
      <c r="K44" s="3" t="n">
        <v>1563000000</v>
      </c>
      <c r="L44" s="3" t="n">
        <v>1245000000</v>
      </c>
      <c r="M44" s="3" t="n">
        <v>3152000000</v>
      </c>
    </row>
    <row r="45" ht="42" customHeight="1">
      <c r="A45" s="2" t="inlineStr">
        <is>
          <t>Maturity y2</t>
        </is>
      </c>
      <c r="B45" s="2" t="inlineStr">
        <is>
          <t>maturity_y2</t>
        </is>
      </c>
      <c r="C45" s="2" t="inlineStr">
        <is>
          <t>USD</t>
        </is>
      </c>
      <c r="D45" s="2" t="n"/>
      <c r="E45" s="2" t="n"/>
      <c r="F45" s="3" t="n">
        <v>2787000000</v>
      </c>
      <c r="G45" s="3" t="n">
        <v>2750000000</v>
      </c>
      <c r="H45" s="3" t="n">
        <v>1827000000</v>
      </c>
      <c r="I45" s="3" t="n">
        <v>403000000</v>
      </c>
      <c r="J45" s="3" t="n">
        <v>1563000000</v>
      </c>
      <c r="K45" s="3" t="n">
        <v>495000000</v>
      </c>
      <c r="L45" s="3" t="n">
        <v>3152000000</v>
      </c>
      <c r="M45" s="3" t="n">
        <v>2500000000</v>
      </c>
    </row>
    <row r="46" ht="42" customHeight="1">
      <c r="A46" s="2" t="inlineStr">
        <is>
          <t>Maturity y3</t>
        </is>
      </c>
      <c r="B46" s="2" t="inlineStr">
        <is>
          <t>maturity_y3</t>
        </is>
      </c>
      <c r="C46" s="2" t="inlineStr">
        <is>
          <t>USD</t>
        </is>
      </c>
      <c r="D46" s="2" t="n"/>
      <c r="E46" s="2" t="n"/>
      <c r="F46" s="3" t="n">
        <v>750000000</v>
      </c>
      <c r="G46" s="3" t="n">
        <v>5509000000</v>
      </c>
      <c r="H46" s="3" t="n">
        <v>3069000000</v>
      </c>
      <c r="I46" s="3" t="n">
        <v>1563000000</v>
      </c>
      <c r="J46" s="3" t="n">
        <v>495000000</v>
      </c>
      <c r="K46" s="3" t="n">
        <v>1652000000</v>
      </c>
      <c r="L46" s="3" t="n">
        <v>11732000000</v>
      </c>
      <c r="M46" s="3" t="n">
        <v>7120000000</v>
      </c>
    </row>
    <row r="47" ht="42" customHeight="1">
      <c r="A47" s="2" t="inlineStr">
        <is>
          <t>Maturity y4</t>
        </is>
      </c>
      <c r="B47" s="2" t="inlineStr">
        <is>
          <t>maturity_y4</t>
        </is>
      </c>
      <c r="C47" s="2" t="inlineStr">
        <is>
          <t>USD</t>
        </is>
      </c>
      <c r="D47" s="2" t="n"/>
      <c r="E47" s="2" t="n"/>
      <c r="F47" s="3" t="n">
        <v>3509000000</v>
      </c>
      <c r="G47" s="3" t="n">
        <v>1250000000</v>
      </c>
      <c r="H47" s="3" t="n">
        <v>3403000000</v>
      </c>
      <c r="I47" s="3" t="n">
        <v>1515000000</v>
      </c>
      <c r="J47" s="3" t="n">
        <v>1652000000</v>
      </c>
      <c r="K47" s="3" t="n">
        <v>3137000000</v>
      </c>
      <c r="L47" s="3" t="n">
        <v>4270000000</v>
      </c>
      <c r="M47" s="3" t="n">
        <v>4655000000</v>
      </c>
    </row>
    <row r="48" ht="42" customHeight="1">
      <c r="A48" s="2" t="inlineStr">
        <is>
          <t>Maturity y5</t>
        </is>
      </c>
      <c r="B48" s="2" t="inlineStr">
        <is>
          <t>maturity_y5</t>
        </is>
      </c>
      <c r="C48" s="2" t="inlineStr">
        <is>
          <t>USD</t>
        </is>
      </c>
      <c r="D48" s="2" t="n"/>
      <c r="E48" s="2" t="n"/>
      <c r="F48" s="3" t="n">
        <v>1000000000</v>
      </c>
      <c r="G48" s="3" t="n">
        <v>5307000000</v>
      </c>
      <c r="H48" s="3" t="n">
        <v>7319000000</v>
      </c>
      <c r="I48" s="3" t="n">
        <v>2596000000</v>
      </c>
      <c r="J48" s="3" t="n">
        <v>3137000000</v>
      </c>
      <c r="K48" s="3" t="n">
        <v>2645000000</v>
      </c>
      <c r="L48" s="3" t="n">
        <v>12655000000</v>
      </c>
      <c r="M48" s="3" t="n">
        <v>6406000000</v>
      </c>
    </row>
    <row r="49" ht="42" customHeight="1">
      <c r="A49" s="2" t="inlineStr">
        <is>
          <t>Maturity after y5</t>
        </is>
      </c>
      <c r="B49" s="2" t="inlineStr">
        <is>
          <t>maturity_after_y5</t>
        </is>
      </c>
      <c r="C49" s="2" t="inlineStr">
        <is>
          <t>USD</t>
        </is>
      </c>
      <c r="D49" s="2" t="n"/>
      <c r="E49" s="2" t="n"/>
      <c r="F49" s="3" t="n">
        <v>9563000000</v>
      </c>
      <c r="G49" s="3" t="n">
        <v>13706000000</v>
      </c>
      <c r="H49" s="3" t="n">
        <v>25073000000</v>
      </c>
      <c r="I49" s="3" t="n">
        <v>35158000000</v>
      </c>
      <c r="J49" s="3" t="n">
        <v>33968000000</v>
      </c>
      <c r="K49" s="3" t="n">
        <v>31323000000</v>
      </c>
      <c r="L49" s="3" t="n">
        <v>36793000000</v>
      </c>
      <c r="M49" s="3" t="n">
        <v>43287000000</v>
      </c>
    </row>
  </sheetData>
  <autoFilter ref="A1:M49"/>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L70"/>
  <sheetViews>
    <sheetView showGridLines="0" workbookViewId="0">
      <pane ySplit="1" topLeftCell="A2" activePane="bottomLeft" state="frozen"/>
      <selection pane="bottomLeft" activeCell="A1" sqref="A1"/>
    </sheetView>
  </sheetViews>
  <sheetFormatPr baseColWidth="8" defaultRowHeight="15"/>
  <cols>
    <col width="31" customWidth="1" min="1" max="1"/>
    <col width="30"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2" customHeight="1">
      <c r="A1" s="1" t="inlineStr">
        <is>
          <t>Metric</t>
        </is>
      </c>
      <c r="B1" s="1" t="inlineStr">
        <is>
          <t>Unit</t>
        </is>
      </c>
      <c r="C1" s="1" t="inlineStr">
        <is>
          <t>2016-10-30</t>
        </is>
      </c>
      <c r="D1" s="1" t="inlineStr">
        <is>
          <t>2017-10-29</t>
        </is>
      </c>
      <c r="E1" s="1" t="inlineStr">
        <is>
          <t>2018-11-04</t>
        </is>
      </c>
      <c r="F1" s="1" t="inlineStr">
        <is>
          <t>2019-11-03</t>
        </is>
      </c>
      <c r="G1" s="1" t="inlineStr">
        <is>
          <t>2020-11-01</t>
        </is>
      </c>
      <c r="H1" s="1" t="inlineStr">
        <is>
          <t>2021-10-31</t>
        </is>
      </c>
      <c r="I1" s="1" t="inlineStr">
        <is>
          <t>2022-10-30</t>
        </is>
      </c>
      <c r="J1" s="1" t="inlineStr">
        <is>
          <t>2023-10-29</t>
        </is>
      </c>
      <c r="K1" s="1" t="inlineStr">
        <is>
          <t>2024-11-03</t>
        </is>
      </c>
      <c r="L1" s="1" t="inlineStr">
        <is>
          <t>2025-11-02</t>
        </is>
      </c>
    </row>
    <row r="2" ht="42" customHeight="1">
      <c r="A2" s="2" t="inlineStr">
        <is>
          <t>revenue-growth</t>
        </is>
      </c>
      <c r="B2" s="2" t="inlineStr">
        <is>
          <t>ratio (decimal; displayed as %)</t>
        </is>
      </c>
      <c r="C2" s="4" t="n"/>
      <c r="D2" s="5" t="n">
        <v>0.33202416918429</v>
      </c>
      <c r="E2" s="5" t="n">
        <v>0.159823174724085</v>
      </c>
      <c r="F2" s="5" t="n">
        <v>0.1047370343585807</v>
      </c>
      <c r="G2" s="5" t="n">
        <v>0.05713147762977377</v>
      </c>
      <c r="H2" s="5" t="n">
        <v>0.1491125251172136</v>
      </c>
      <c r="I2" s="5" t="n">
        <v>0.2095810564663023</v>
      </c>
      <c r="J2" s="5" t="n">
        <v>0.07878806131976024</v>
      </c>
      <c r="K2" s="5" t="n">
        <v>0.4126833708472419</v>
      </c>
      <c r="L2" s="5" t="n">
        <v>0.2625663348556666</v>
      </c>
    </row>
    <row r="3" ht="42" customHeight="1">
      <c r="A3" s="2" t="inlineStr">
        <is>
          <t>gross-margin</t>
        </is>
      </c>
      <c r="B3" s="2" t="inlineStr">
        <is>
          <t>ratio (decimal; displayed as %)</t>
        </is>
      </c>
      <c r="C3" s="5" t="n">
        <v>0.4486404833836858</v>
      </c>
      <c r="D3" s="5" t="n">
        <v>0.4824790201859832</v>
      </c>
      <c r="E3" s="5" t="n">
        <v>0.514821565617805</v>
      </c>
      <c r="F3" s="5" t="n">
        <v>0.5524184626277825</v>
      </c>
      <c r="G3" s="5" t="n">
        <v>0.5658070997990623</v>
      </c>
      <c r="H3" s="5" t="n">
        <v>0.6136247723132969</v>
      </c>
      <c r="I3" s="5" t="n">
        <v>0.6654519169954523</v>
      </c>
      <c r="J3" s="5" t="n">
        <v>0.6892989754041151</v>
      </c>
      <c r="K3" s="5" t="n">
        <v>0.6303369915073487</v>
      </c>
      <c r="L3" s="5" t="n">
        <v>0.6776652527118193</v>
      </c>
    </row>
    <row r="4" ht="42" customHeight="1">
      <c r="A4" s="2" t="inlineStr">
        <is>
          <t>operating-margin</t>
        </is>
      </c>
      <c r="B4" s="2" t="inlineStr">
        <is>
          <t>ratio (decimal; displayed as %)</t>
        </is>
      </c>
      <c r="C4" s="5" t="n">
        <v>-0.03089123867069487</v>
      </c>
      <c r="D4" s="5" t="n">
        <v>0.1344409163075527</v>
      </c>
      <c r="E4" s="5" t="n">
        <v>0.2463066001534919</v>
      </c>
      <c r="F4" s="5" t="n">
        <v>0.1524096118953844</v>
      </c>
      <c r="G4" s="5" t="n">
        <v>0.1680341594105827</v>
      </c>
      <c r="H4" s="5" t="n">
        <v>0.3103460837887068</v>
      </c>
      <c r="I4" s="5" t="n">
        <v>0.4284251423064181</v>
      </c>
      <c r="J4" s="5" t="n">
        <v>0.452469359836958</v>
      </c>
      <c r="K4" s="5" t="n">
        <v>0.26104238569822</v>
      </c>
      <c r="L4" s="5" t="n">
        <v>0.3988917933225852</v>
      </c>
    </row>
    <row r="5" ht="42" customHeight="1">
      <c r="A5" s="2" t="inlineStr">
        <is>
          <t>net-margin</t>
        </is>
      </c>
      <c r="B5" s="2" t="inlineStr">
        <is>
          <t>ratio (decimal; displayed as %)</t>
        </is>
      </c>
      <c r="C5" s="5" t="n">
        <v>-0.1313444108761329</v>
      </c>
      <c r="D5" s="5" t="n">
        <v>0.0959401224767521</v>
      </c>
      <c r="E5" s="5" t="n">
        <v>0.5880180353031466</v>
      </c>
      <c r="F5" s="5" t="n">
        <v>0.1205469752622029</v>
      </c>
      <c r="G5" s="5" t="n">
        <v>0.1239115874079035</v>
      </c>
      <c r="H5" s="5" t="n">
        <v>0.2453916211293261</v>
      </c>
      <c r="I5" s="5" t="n">
        <v>0.3462036562961178</v>
      </c>
      <c r="J5" s="5" t="n">
        <v>0.3931433038331612</v>
      </c>
      <c r="K5" s="5" t="n">
        <v>0.1143017799666499</v>
      </c>
      <c r="L5" s="5" t="n">
        <v>0.3619828760154648</v>
      </c>
    </row>
    <row r="6" ht="42" customHeight="1">
      <c r="A6" s="2" t="inlineStr">
        <is>
          <t>fcf</t>
        </is>
      </c>
      <c r="B6" s="2" t="inlineStr">
        <is>
          <t>USD</t>
        </is>
      </c>
      <c r="C6" s="3" t="n">
        <v>2688000000</v>
      </c>
      <c r="D6" s="3" t="n">
        <v>5482000000</v>
      </c>
      <c r="E6" s="3" t="n">
        <v>8245000000</v>
      </c>
      <c r="F6" s="3" t="n">
        <v>9265000000</v>
      </c>
      <c r="G6" s="3" t="n">
        <v>11598000000</v>
      </c>
      <c r="H6" s="3" t="n">
        <v>13321000000</v>
      </c>
      <c r="I6" s="3" t="n">
        <v>16312000000</v>
      </c>
      <c r="J6" s="3" t="n">
        <v>17633000000</v>
      </c>
      <c r="K6" s="3" t="n">
        <v>19414000000</v>
      </c>
      <c r="L6" s="3" t="n">
        <v>26914000000</v>
      </c>
    </row>
    <row r="7" ht="42" customHeight="1">
      <c r="A7" s="2" t="inlineStr">
        <is>
          <t>fcf-margin</t>
        </is>
      </c>
      <c r="B7" s="2" t="inlineStr">
        <is>
          <t>ratio (decimal; displayed as %)</t>
        </is>
      </c>
      <c r="C7" s="5" t="n">
        <v>0.2030211480362538</v>
      </c>
      <c r="D7" s="5" t="n">
        <v>0.3108414606486732</v>
      </c>
      <c r="E7" s="5" t="n">
        <v>0.3954815809669993</v>
      </c>
      <c r="F7" s="5" t="n">
        <v>0.4100101783422578</v>
      </c>
      <c r="G7" s="5" t="n">
        <v>0.4855157401205626</v>
      </c>
      <c r="H7" s="5" t="n">
        <v>0.4852823315118397</v>
      </c>
      <c r="I7" s="5" t="n">
        <v>0.4912809083516549</v>
      </c>
      <c r="J7" s="5" t="n">
        <v>0.492280633183506</v>
      </c>
      <c r="K7" s="5" t="n">
        <v>0.3764299841005158</v>
      </c>
      <c r="L7" s="5" t="n">
        <v>0.4212750637844945</v>
      </c>
    </row>
    <row r="8" ht="42" customHeight="1">
      <c r="A8" s="2" t="inlineStr">
        <is>
          <t>fcff</t>
        </is>
      </c>
      <c r="B8" s="2" t="inlineStr">
        <is>
          <t>USD</t>
        </is>
      </c>
      <c r="C8" s="3" t="n">
        <v>2471150000</v>
      </c>
      <c r="D8" s="3" t="n">
        <v>5006293150.684932</v>
      </c>
      <c r="E8" s="3" t="n">
        <v>7646000000</v>
      </c>
      <c r="F8" s="3" t="n">
        <v>8524000000</v>
      </c>
      <c r="G8" s="3" t="n">
        <v>11399000000</v>
      </c>
      <c r="H8" s="3" t="n">
        <v>13493919438.28529</v>
      </c>
      <c r="I8" s="3" t="n">
        <v>16384823950.45842</v>
      </c>
      <c r="J8" s="3" t="n">
        <v>16974949857.5876</v>
      </c>
      <c r="K8" s="3" t="n">
        <v>16242450000</v>
      </c>
      <c r="L8" s="3" t="n">
        <v>22556000000</v>
      </c>
    </row>
    <row r="9" ht="42" customHeight="1">
      <c r="A9" s="2" t="inlineStr">
        <is>
          <t>fcfe</t>
        </is>
      </c>
      <c r="B9" s="2" t="inlineStr">
        <is>
          <t>USD</t>
        </is>
      </c>
      <c r="C9" s="2" t="n"/>
      <c r="D9" s="2" t="n"/>
      <c r="E9" s="3" t="n">
        <v>13884000000</v>
      </c>
      <c r="F9" s="3" t="n">
        <v>20453000000</v>
      </c>
      <c r="G9" s="2" t="n"/>
      <c r="H9" s="2" t="n"/>
      <c r="I9" s="2" t="n"/>
      <c r="J9" s="3" t="n">
        <v>17019000000</v>
      </c>
      <c r="K9" s="3" t="n">
        <v>34881000000</v>
      </c>
      <c r="L9" s="3" t="n">
        <v>24986000000</v>
      </c>
    </row>
    <row r="10" ht="42" customHeight="1">
      <c r="A10" s="2" t="inlineStr">
        <is>
          <t>owner-earnings</t>
        </is>
      </c>
      <c r="B10" s="2" t="inlineStr">
        <is>
          <t>USD</t>
        </is>
      </c>
      <c r="C10" s="2" t="n"/>
      <c r="D10" s="2" t="n"/>
      <c r="E10" s="3" t="n">
        <v>11411000000</v>
      </c>
      <c r="F10" s="3" t="n">
        <v>3084000000</v>
      </c>
      <c r="G10" s="2" t="n"/>
      <c r="H10" s="2" t="n"/>
      <c r="I10" s="2" t="n"/>
      <c r="J10" s="3" t="n">
        <v>14125000000</v>
      </c>
      <c r="K10" s="3" t="n">
        <v>5223000000</v>
      </c>
      <c r="L10" s="3" t="n">
        <v>19785000000</v>
      </c>
    </row>
    <row r="11" ht="42" customHeight="1">
      <c r="A11" s="2" t="inlineStr">
        <is>
          <t>earnings-quality</t>
        </is>
      </c>
      <c r="B11" s="2" t="inlineStr">
        <is>
          <t>multiple (x)</t>
        </is>
      </c>
      <c r="C11" s="2" t="n"/>
      <c r="D11" s="3" t="n">
        <v>3.871749408983451</v>
      </c>
      <c r="E11" s="3" t="n">
        <v>0.7243657720858145</v>
      </c>
      <c r="F11" s="3" t="n">
        <v>3.559838472834068</v>
      </c>
      <c r="G11" s="3" t="n">
        <v>4.074662162162162</v>
      </c>
      <c r="H11" s="3" t="n">
        <v>2.043349168646081</v>
      </c>
      <c r="I11" s="3" t="n">
        <v>1.455937364071335</v>
      </c>
      <c r="J11" s="3" t="n">
        <v>1.284263598920608</v>
      </c>
      <c r="K11" s="3" t="n">
        <v>3.386259541984733</v>
      </c>
      <c r="L11" s="3" t="n">
        <v>1.190737697829283</v>
      </c>
    </row>
    <row r="12" ht="42" customHeight="1">
      <c r="A12" s="2" t="inlineStr">
        <is>
          <t>ebitda</t>
        </is>
      </c>
      <c r="B12" s="2" t="inlineStr">
        <is>
          <t>USD</t>
        </is>
      </c>
      <c r="C12" s="3" t="n">
        <v>2633000000</v>
      </c>
      <c r="D12" s="3" t="n">
        <v>7108000000</v>
      </c>
      <c r="E12" s="3" t="n">
        <v>9216000000</v>
      </c>
      <c r="F12" s="3" t="n">
        <v>9252000000</v>
      </c>
      <c r="G12" s="2" t="n"/>
      <c r="H12" s="2" t="n"/>
      <c r="I12" s="2" t="n"/>
      <c r="J12" s="3" t="n">
        <v>19956000000</v>
      </c>
      <c r="K12" s="3" t="n">
        <v>23323000000</v>
      </c>
      <c r="L12" s="3" t="n">
        <v>34120000000</v>
      </c>
    </row>
    <row r="13" ht="42" customHeight="1">
      <c r="A13" s="2" t="inlineStr">
        <is>
          <t>nopat</t>
        </is>
      </c>
      <c r="B13" s="2" t="inlineStr">
        <is>
          <t>USD</t>
        </is>
      </c>
      <c r="C13" s="3" t="n">
        <v>-323110000</v>
      </c>
      <c r="D13" s="3" t="n">
        <v>2325528767.123288</v>
      </c>
      <c r="E13" s="3" t="n">
        <v>5135000000</v>
      </c>
      <c r="F13" s="3" t="n">
        <v>3444000000</v>
      </c>
      <c r="G13" s="3" t="n">
        <v>4014000000</v>
      </c>
      <c r="H13" s="3" t="n">
        <v>8482481005.173688</v>
      </c>
      <c r="I13" s="3" t="n">
        <v>13150745938.55557</v>
      </c>
      <c r="J13" s="3" t="n">
        <v>15117372590.58091</v>
      </c>
      <c r="K13" s="3" t="n">
        <v>8750950000</v>
      </c>
      <c r="L13" s="3" t="n">
        <v>25484000000</v>
      </c>
    </row>
    <row r="14" ht="42" customHeight="1">
      <c r="A14" s="2" t="inlineStr">
        <is>
          <t>invested-capital</t>
        </is>
      </c>
      <c r="B14" s="2" t="inlineStr">
        <is>
          <t>USD</t>
        </is>
      </c>
      <c r="C14" s="2" t="n"/>
      <c r="D14" s="3" t="n">
        <v>26629000000</v>
      </c>
      <c r="E14" s="3" t="n">
        <v>39858000000</v>
      </c>
      <c r="F14" s="3" t="n">
        <v>52684000000</v>
      </c>
      <c r="G14" s="3" t="n">
        <v>57318000000</v>
      </c>
      <c r="H14" s="3" t="n">
        <v>52503000000</v>
      </c>
      <c r="I14" s="3" t="n">
        <v>49771000000</v>
      </c>
      <c r="J14" s="3" t="n">
        <v>48983000000</v>
      </c>
      <c r="K14" s="3" t="n">
        <v>125870000000</v>
      </c>
      <c r="L14" s="3" t="n">
        <v>130250000000</v>
      </c>
    </row>
    <row r="15" ht="42" customHeight="1">
      <c r="A15" s="2" t="inlineStr">
        <is>
          <t>roic</t>
        </is>
      </c>
      <c r="B15" s="2" t="inlineStr">
        <is>
          <t>ratio (decimal; displayed as %)</t>
        </is>
      </c>
      <c r="C15" s="4" t="n"/>
      <c r="D15" s="5" t="n">
        <v>0.08733068335736556</v>
      </c>
      <c r="E15" s="5" t="n">
        <v>0.1544662866425015</v>
      </c>
      <c r="F15" s="5" t="n">
        <v>0.074431069136176</v>
      </c>
      <c r="G15" s="5" t="n">
        <v>0.0729804912637952</v>
      </c>
      <c r="H15" s="5" t="n">
        <v>0.1544783057006162</v>
      </c>
      <c r="I15" s="5" t="n">
        <v>0.2571669424986913</v>
      </c>
      <c r="J15" s="5" t="n">
        <v>0.3061622332377607</v>
      </c>
      <c r="K15" s="5" t="n">
        <v>0.1000949368898446</v>
      </c>
      <c r="L15" s="5" t="n">
        <v>0.1990004685303764</v>
      </c>
    </row>
    <row r="16" ht="42" customHeight="1">
      <c r="A16" s="2" t="inlineStr">
        <is>
          <t>net-debt</t>
        </is>
      </c>
      <c r="B16" s="2" t="inlineStr">
        <is>
          <t>USD</t>
        </is>
      </c>
      <c r="C16" s="2" t="n"/>
      <c r="D16" s="3" t="n">
        <v>6344000000</v>
      </c>
      <c r="E16" s="3" t="n">
        <v>13201000000</v>
      </c>
      <c r="F16" s="3" t="n">
        <v>27743000000</v>
      </c>
      <c r="G16" s="3" t="n">
        <v>33444000000</v>
      </c>
      <c r="H16" s="3" t="n">
        <v>27541000000</v>
      </c>
      <c r="I16" s="3" t="n">
        <v>27062000000</v>
      </c>
      <c r="J16" s="3" t="n">
        <v>24995000000</v>
      </c>
      <c r="K16" s="3" t="n">
        <v>58192000000</v>
      </c>
      <c r="L16" s="3" t="n">
        <v>48958000000</v>
      </c>
    </row>
    <row r="17" ht="42" customHeight="1">
      <c r="A17" s="2" t="inlineStr">
        <is>
          <t>debt-ebitda</t>
        </is>
      </c>
      <c r="B17" s="2" t="inlineStr">
        <is>
          <t>multiple (x)</t>
        </is>
      </c>
      <c r="C17" s="2" t="n"/>
      <c r="D17" s="3" t="n">
        <v>2.468767585818796</v>
      </c>
      <c r="E17" s="3" t="n">
        <v>1.898111979166667</v>
      </c>
      <c r="F17" s="3" t="n">
        <v>3.544963251188932</v>
      </c>
      <c r="G17" s="2" t="n"/>
      <c r="H17" s="2" t="n"/>
      <c r="I17" s="2" t="n"/>
      <c r="J17" s="3" t="n">
        <v>1.963519743435558</v>
      </c>
      <c r="K17" s="3" t="n">
        <v>2.895853878146036</v>
      </c>
      <c r="L17" s="3" t="n">
        <v>1.909026963657679</v>
      </c>
    </row>
    <row r="18" ht="42" customHeight="1">
      <c r="A18" s="2" t="inlineStr">
        <is>
          <t>interest-coverage</t>
        </is>
      </c>
      <c r="B18" s="2" t="inlineStr">
        <is>
          <t>multiple (x)</t>
        </is>
      </c>
      <c r="C18" s="3" t="n">
        <v>-0.6991452991452991</v>
      </c>
      <c r="D18" s="3" t="n">
        <v>5.222466960352423</v>
      </c>
      <c r="E18" s="3" t="n">
        <v>8.176751592356688</v>
      </c>
      <c r="F18" s="3" t="n">
        <v>2.385041551246537</v>
      </c>
      <c r="G18" s="3" t="n">
        <v>2.258863252673045</v>
      </c>
      <c r="H18" s="3" t="n">
        <v>4.519363395225464</v>
      </c>
      <c r="I18" s="3" t="n">
        <v>8.189407023603914</v>
      </c>
      <c r="J18" s="3" t="n">
        <v>9.991985203452527</v>
      </c>
      <c r="K18" s="3" t="n">
        <v>3.405767771312927</v>
      </c>
      <c r="L18" s="3" t="n">
        <v>7.938940809968847</v>
      </c>
    </row>
    <row r="19" ht="42" customHeight="1">
      <c r="A19" s="2" t="inlineStr">
        <is>
          <t>current-ratio</t>
        </is>
      </c>
      <c r="B19" s="2" t="inlineStr">
        <is>
          <t>multiple (x)</t>
        </is>
      </c>
      <c r="C19" s="2" t="n"/>
      <c r="D19" s="3" t="n">
        <v>6.256623171213919</v>
      </c>
      <c r="E19" s="3" t="n">
        <v>3.895209580838323</v>
      </c>
      <c r="F19" s="3" t="n">
        <v>1.437454703580229</v>
      </c>
      <c r="G19" s="3" t="n">
        <v>1.867053837702088</v>
      </c>
      <c r="H19" s="3" t="n">
        <v>2.640662314918007</v>
      </c>
      <c r="I19" s="3" t="n">
        <v>2.623936471922859</v>
      </c>
      <c r="J19" s="3" t="n">
        <v>2.815259959486833</v>
      </c>
      <c r="K19" s="3" t="n">
        <v>1.173564113313769</v>
      </c>
      <c r="L19" s="3" t="n">
        <v>1.7053581073782</v>
      </c>
    </row>
    <row r="20" ht="42" customHeight="1">
      <c r="A20" s="2" t="inlineStr">
        <is>
          <t>tangible-book-value</t>
        </is>
      </c>
      <c r="B20" s="2" t="inlineStr">
        <is>
          <t>USD</t>
        </is>
      </c>
      <c r="C20" s="3" t="n">
        <v>-2856000000</v>
      </c>
      <c r="D20" s="3" t="n">
        <v>-15253000000</v>
      </c>
      <c r="E20" s="3" t="n">
        <v>-11018000000</v>
      </c>
      <c r="F20" s="3" t="n">
        <v>-29327000000</v>
      </c>
      <c r="G20" s="3" t="n">
        <v>-36355000000</v>
      </c>
      <c r="H20" s="3" t="n">
        <v>-29862000000</v>
      </c>
      <c r="I20" s="3" t="n">
        <v>-28016000000</v>
      </c>
      <c r="J20" s="3" t="n">
        <v>-23532000000</v>
      </c>
      <c r="K20" s="3" t="n">
        <v>-70778000000</v>
      </c>
      <c r="L20" s="3" t="n">
        <v>-48782000000</v>
      </c>
    </row>
    <row r="21" ht="42" customHeight="1">
      <c r="A21" s="2" t="inlineStr">
        <is>
          <t>ncav</t>
        </is>
      </c>
      <c r="B21" s="2" t="inlineStr">
        <is>
          <t>USD</t>
        </is>
      </c>
      <c r="C21" s="2" t="n"/>
      <c r="D21" s="3" t="n">
        <v>-15409000000</v>
      </c>
      <c r="E21" s="3" t="n">
        <v>-14360000000</v>
      </c>
      <c r="F21" s="3" t="n">
        <v>-32606000000</v>
      </c>
      <c r="G21" s="3" t="n">
        <v>-40137000000</v>
      </c>
      <c r="H21" s="3" t="n">
        <v>-33995000000</v>
      </c>
      <c r="I21" s="3" t="n">
        <v>-32036000000</v>
      </c>
      <c r="J21" s="3" t="n">
        <v>-28026000000</v>
      </c>
      <c r="K21" s="3" t="n">
        <v>-78372000000</v>
      </c>
      <c r="L21" s="3" t="n">
        <v>-58227000000</v>
      </c>
    </row>
    <row r="22" ht="42" customHeight="1">
      <c r="A22" s="2" t="inlineStr">
        <is>
          <t>dilution</t>
        </is>
      </c>
      <c r="B22" s="2" t="inlineStr">
        <is>
          <t>ratio (decimal; displayed as %)</t>
        </is>
      </c>
      <c r="C22" s="4" t="n"/>
      <c r="D22" s="5" t="n">
        <v>0.09921671018276768</v>
      </c>
      <c r="E22" s="5" t="n">
        <v>0.02375296912114022</v>
      </c>
      <c r="F22" s="5" t="n">
        <v>-0.02784222737819031</v>
      </c>
      <c r="G22" s="5" t="n">
        <v>0.004773269689737569</v>
      </c>
      <c r="H22" s="5" t="n">
        <v>0.01900237529691218</v>
      </c>
      <c r="I22" s="5" t="n">
        <v>-0.01351981351981357</v>
      </c>
      <c r="J22" s="5" t="n">
        <v>0.00945179584120992</v>
      </c>
      <c r="K22" s="5" t="n">
        <v>0.1184456928838951</v>
      </c>
      <c r="L22" s="5" t="n">
        <v>0.0156969443281707</v>
      </c>
    </row>
    <row r="23" ht="42" customHeight="1">
      <c r="A23" s="2" t="inlineStr">
        <is>
          <t>sbc-to-revenue</t>
        </is>
      </c>
      <c r="B23" s="2" t="inlineStr">
        <is>
          <t>ratio (decimal; displayed as %)</t>
        </is>
      </c>
      <c r="C23" s="5" t="n">
        <v>0.05128398791540786</v>
      </c>
      <c r="D23" s="5" t="n">
        <v>0.05222272624177818</v>
      </c>
      <c r="E23" s="5" t="n">
        <v>0.05885456638526478</v>
      </c>
      <c r="F23" s="5" t="n">
        <v>0.09669425144930743</v>
      </c>
      <c r="G23" s="5" t="n">
        <v>0.08271935699933021</v>
      </c>
      <c r="H23" s="5" t="n">
        <v>0.06207650273224044</v>
      </c>
      <c r="I23" s="5" t="n">
        <v>0.04617052675963015</v>
      </c>
      <c r="J23" s="5" t="n">
        <v>0.06061029062787906</v>
      </c>
      <c r="K23" s="5" t="n">
        <v>0.1113157792686237</v>
      </c>
      <c r="L23" s="5" t="n">
        <v>0.1184591544445662</v>
      </c>
    </row>
    <row r="24" ht="42" customHeight="1">
      <c r="A24" s="2" t="inlineStr">
        <is>
          <t>eps</t>
        </is>
      </c>
      <c r="B24" s="2" t="inlineStr">
        <is>
          <t>USD/share</t>
        </is>
      </c>
      <c r="C24" s="3" t="n">
        <v>-0.486</v>
      </c>
      <c r="D24" s="3" t="n">
        <v>0.402</v>
      </c>
      <c r="E24" s="3" t="n">
        <v>2.844</v>
      </c>
      <c r="F24" s="3" t="n">
        <v>0.643</v>
      </c>
      <c r="G24" s="3" t="n">
        <v>0.633</v>
      </c>
      <c r="H24" s="3" t="n">
        <v>1.5</v>
      </c>
      <c r="I24" s="3" t="n">
        <v>2.65</v>
      </c>
      <c r="J24" s="3" t="n">
        <v>3.3</v>
      </c>
      <c r="K24" s="3" t="n">
        <v>1.23</v>
      </c>
      <c r="L24" s="3" t="n">
        <v>4.77</v>
      </c>
    </row>
    <row r="25" ht="42" customHeight="1">
      <c r="A25" s="2" t="inlineStr">
        <is>
          <t>debt-due-3y</t>
        </is>
      </c>
      <c r="B25" s="2" t="inlineStr">
        <is>
          <t>USD</t>
        </is>
      </c>
      <c r="C25" s="2" t="n"/>
      <c r="D25" s="2" t="n"/>
      <c r="E25" s="3" t="n">
        <v>3537000000</v>
      </c>
      <c r="F25" s="3" t="n">
        <v>12796000000</v>
      </c>
      <c r="G25" s="2" t="n"/>
      <c r="H25" s="3" t="n">
        <v>2230000000</v>
      </c>
      <c r="I25" s="3" t="n">
        <v>2461000000</v>
      </c>
      <c r="J25" s="3" t="n">
        <v>3710000000</v>
      </c>
      <c r="K25" s="3" t="n">
        <v>16129000000</v>
      </c>
      <c r="L25" s="3" t="n">
        <v>12772000000</v>
      </c>
    </row>
    <row r="26" ht="42" customHeight="1">
      <c r="A26" s="2" t="inlineStr">
        <is>
          <t>revenue-cagr-5</t>
        </is>
      </c>
      <c r="B26" s="2" t="inlineStr">
        <is>
          <t>ratio (decimal; displayed as %)</t>
        </is>
      </c>
      <c r="C26" s="4" t="n"/>
      <c r="D26" s="4" t="n"/>
      <c r="E26" s="4" t="n"/>
      <c r="F26" s="4" t="n"/>
      <c r="G26" s="4" t="n"/>
      <c r="H26" s="4" t="n"/>
      <c r="I26" s="4" t="n"/>
      <c r="J26" s="4" t="n"/>
      <c r="K26" s="4" t="n"/>
      <c r="L26" s="5" t="n">
        <v>0.2174371243564193</v>
      </c>
    </row>
    <row r="27" ht="42" customHeight="1">
      <c r="A27" s="2" t="inlineStr">
        <is>
          <t>revenue-cagr-9</t>
        </is>
      </c>
      <c r="B27" s="2" t="inlineStr">
        <is>
          <t>ratio (decimal; displayed as %)</t>
        </is>
      </c>
      <c r="C27" s="4" t="n"/>
      <c r="D27" s="4" t="n"/>
      <c r="E27" s="4" t="n"/>
      <c r="F27" s="4" t="n"/>
      <c r="G27" s="4" t="n"/>
      <c r="H27" s="4" t="n"/>
      <c r="I27" s="4" t="n"/>
      <c r="J27" s="4" t="n"/>
      <c r="K27" s="4" t="n"/>
      <c r="L27" s="5" t="n">
        <v>0.191097101416065</v>
      </c>
    </row>
    <row r="28" ht="42" customHeight="1">
      <c r="A28" s="2" t="inlineStr">
        <is>
          <t>diluted-shares-change</t>
        </is>
      </c>
      <c r="B28" s="2" t="inlineStr">
        <is>
          <t>ratio (decimal; displayed as %)</t>
        </is>
      </c>
      <c r="C28" s="4" t="n"/>
      <c r="D28" s="4" t="n"/>
      <c r="E28" s="4" t="n"/>
      <c r="F28" s="4" t="n"/>
      <c r="G28" s="4" t="n"/>
      <c r="H28" s="4" t="n"/>
      <c r="I28" s="4" t="n"/>
      <c r="J28" s="4" t="n"/>
      <c r="K28" s="4" t="n"/>
      <c r="L28" s="5" t="n">
        <v>0.2671018276762402</v>
      </c>
    </row>
    <row r="29" ht="42" customHeight="1">
      <c r="A29" s="2" t="inlineStr">
        <is>
          <t>incremental-roic-5</t>
        </is>
      </c>
      <c r="B29" s="2" t="inlineStr">
        <is>
          <t>ratio (decimal; displayed as %)</t>
        </is>
      </c>
      <c r="C29" s="4" t="n"/>
      <c r="D29" s="4" t="n"/>
      <c r="E29" s="4" t="n"/>
      <c r="F29" s="4" t="n"/>
      <c r="G29" s="4" t="n"/>
      <c r="H29" s="4" t="n"/>
      <c r="I29" s="4" t="n"/>
      <c r="J29" s="4" t="n"/>
      <c r="K29" s="4" t="n"/>
      <c r="L29" s="5" t="n">
        <v>0.2943838095760434</v>
      </c>
    </row>
    <row r="30" ht="42" customHeight="1">
      <c r="A30" s="2" t="inlineStr">
        <is>
          <t>roic-years-above-wacc</t>
        </is>
      </c>
      <c r="B30" s="2" t="inlineStr">
        <is>
          <t>years</t>
        </is>
      </c>
      <c r="C30" s="2" t="n"/>
      <c r="D30" s="2" t="n"/>
      <c r="E30" s="2" t="n"/>
      <c r="F30" s="2" t="n"/>
      <c r="G30" s="2" t="n"/>
      <c r="H30" s="2" t="n"/>
      <c r="I30" s="2" t="n"/>
      <c r="J30" s="2" t="n"/>
      <c r="K30" s="2" t="n"/>
      <c r="L30" s="3" t="n">
        <v>6</v>
      </c>
    </row>
    <row r="31" ht="42" customHeight="1">
      <c r="A31" s="2" t="inlineStr">
        <is>
          <t>normalized-net-income</t>
        </is>
      </c>
      <c r="B31" s="2" t="inlineStr">
        <is>
          <t>USD</t>
        </is>
      </c>
      <c r="C31" s="2" t="n"/>
      <c r="D31" s="2" t="n"/>
      <c r="E31" s="2" t="n"/>
      <c r="F31" s="2" t="n"/>
      <c r="G31" s="2" t="n"/>
      <c r="H31" s="2" t="n"/>
      <c r="I31" s="2" t="n"/>
      <c r="J31" s="2" t="n"/>
      <c r="K31" s="2" t="n"/>
      <c r="L31" s="3" t="n">
        <v>12266800000</v>
      </c>
    </row>
    <row r="32" ht="42" customHeight="1">
      <c r="A32" s="2" t="inlineStr">
        <is>
          <t>market-cap</t>
        </is>
      </c>
      <c r="B32" s="2" t="inlineStr">
        <is>
          <t>USD</t>
        </is>
      </c>
      <c r="C32" s="2" t="n"/>
      <c r="D32" s="2" t="n"/>
      <c r="E32" s="2" t="n"/>
      <c r="F32" s="2" t="n"/>
      <c r="G32" s="2" t="n"/>
      <c r="H32" s="2" t="n"/>
      <c r="I32" s="2" t="n"/>
      <c r="J32" s="2" t="n"/>
      <c r="K32" s="2" t="n"/>
      <c r="L32" s="3" t="n">
        <v>1725858141392.1</v>
      </c>
    </row>
    <row r="33" ht="42" customHeight="1">
      <c r="A33" s="2" t="inlineStr">
        <is>
          <t>enterprise-value</t>
        </is>
      </c>
      <c r="B33" s="2" t="inlineStr">
        <is>
          <t>USD</t>
        </is>
      </c>
      <c r="C33" s="2" t="n"/>
      <c r="D33" s="2" t="n"/>
      <c r="E33" s="2" t="n"/>
      <c r="F33" s="2" t="n"/>
      <c r="G33" s="2" t="n"/>
      <c r="H33" s="2" t="n"/>
      <c r="I33" s="2" t="n"/>
      <c r="J33" s="2" t="n"/>
      <c r="K33" s="2" t="n"/>
      <c r="L33" s="3" t="n">
        <v>1761302141392.1</v>
      </c>
    </row>
    <row r="34" ht="42" customHeight="1">
      <c r="A34" s="2" t="inlineStr">
        <is>
          <t>pe</t>
        </is>
      </c>
      <c r="B34" s="2" t="inlineStr">
        <is>
          <t>multiple (x)</t>
        </is>
      </c>
      <c r="C34" s="2" t="n"/>
      <c r="D34" s="2" t="n"/>
      <c r="E34" s="2" t="n"/>
      <c r="F34" s="2" t="n"/>
      <c r="G34" s="2" t="n"/>
      <c r="H34" s="2" t="n"/>
      <c r="I34" s="2" t="n"/>
      <c r="J34" s="2" t="n"/>
      <c r="K34" s="2" t="n"/>
      <c r="L34" s="3" t="n">
        <v>74.62847623419961</v>
      </c>
    </row>
    <row r="35" ht="42" customHeight="1">
      <c r="A35" s="2" t="inlineStr">
        <is>
          <t>ev-ebitda</t>
        </is>
      </c>
      <c r="B35" s="2" t="inlineStr">
        <is>
          <t>multiple (x)</t>
        </is>
      </c>
      <c r="C35" s="2" t="n"/>
      <c r="D35" s="2" t="n"/>
      <c r="E35" s="2" t="n"/>
      <c r="F35" s="2" t="n"/>
      <c r="G35" s="2" t="n"/>
      <c r="H35" s="2" t="n"/>
      <c r="I35" s="2" t="n"/>
      <c r="J35" s="2" t="n"/>
      <c r="K35" s="2" t="n"/>
      <c r="L35" s="3" t="n">
        <v>51.62081305369578</v>
      </c>
    </row>
    <row r="36" ht="42" customHeight="1">
      <c r="A36" s="2" t="inlineStr">
        <is>
          <t>fcf-yield</t>
        </is>
      </c>
      <c r="B36" s="2" t="inlineStr">
        <is>
          <t>ratio (decimal; displayed as %)</t>
        </is>
      </c>
      <c r="C36" s="4" t="n"/>
      <c r="D36" s="4" t="n"/>
      <c r="E36" s="4" t="n"/>
      <c r="F36" s="4" t="n"/>
      <c r="G36" s="4" t="n"/>
      <c r="H36" s="4" t="n"/>
      <c r="I36" s="4" t="n"/>
      <c r="J36" s="4" t="n"/>
      <c r="K36" s="4" t="n"/>
      <c r="L36" s="5" t="n">
        <v>0.01559456096333086</v>
      </c>
    </row>
    <row r="37" ht="42" customHeight="1">
      <c r="A37" s="2" t="inlineStr">
        <is>
          <t>dcf-value-bear</t>
        </is>
      </c>
      <c r="B37" s="2" t="inlineStr">
        <is>
          <t>USD/share</t>
        </is>
      </c>
      <c r="C37" s="2" t="n"/>
      <c r="D37" s="2" t="n"/>
      <c r="E37" s="2" t="n"/>
      <c r="F37" s="2" t="n"/>
      <c r="G37" s="2" t="n"/>
      <c r="H37" s="2" t="n"/>
      <c r="I37" s="2" t="n"/>
      <c r="J37" s="2" t="n"/>
      <c r="K37" s="2" t="n"/>
      <c r="L37" s="3" t="n">
        <v>63.51194904948458</v>
      </c>
    </row>
    <row r="38" ht="42" customHeight="1">
      <c r="A38" s="2" t="inlineStr">
        <is>
          <t>dcf-value-base</t>
        </is>
      </c>
      <c r="B38" s="2" t="inlineStr">
        <is>
          <t>USD/share</t>
        </is>
      </c>
      <c r="C38" s="2" t="n"/>
      <c r="D38" s="2" t="n"/>
      <c r="E38" s="2" t="n"/>
      <c r="F38" s="2" t="n"/>
      <c r="G38" s="2" t="n"/>
      <c r="H38" s="2" t="n"/>
      <c r="I38" s="2" t="n"/>
      <c r="J38" s="2" t="n"/>
      <c r="K38" s="2" t="n"/>
      <c r="L38" s="3" t="n">
        <v>100.8275011282553</v>
      </c>
    </row>
    <row r="39" ht="42" customHeight="1">
      <c r="A39" s="2" t="inlineStr">
        <is>
          <t>dcf-value-bull</t>
        </is>
      </c>
      <c r="B39" s="2" t="inlineStr">
        <is>
          <t>USD/share</t>
        </is>
      </c>
      <c r="C39" s="2" t="n"/>
      <c r="D39" s="2" t="n"/>
      <c r="E39" s="2" t="n"/>
      <c r="F39" s="2" t="n"/>
      <c r="G39" s="2" t="n"/>
      <c r="H39" s="2" t="n"/>
      <c r="I39" s="2" t="n"/>
      <c r="J39" s="2" t="n"/>
      <c r="K39" s="2" t="n"/>
      <c r="L39" s="3" t="n">
        <v>136.1789137578978</v>
      </c>
    </row>
    <row r="40" ht="42" customHeight="1">
      <c r="A40" s="2" t="inlineStr">
        <is>
          <t>reverse-dcf-growth</t>
        </is>
      </c>
      <c r="B40" s="2" t="inlineStr">
        <is>
          <t>ratio (decimal; displayed as %)</t>
        </is>
      </c>
      <c r="C40" s="4" t="n"/>
      <c r="D40" s="4" t="n"/>
      <c r="E40" s="4" t="n"/>
      <c r="F40" s="4" t="n"/>
      <c r="G40" s="4" t="n"/>
      <c r="H40" s="4" t="n"/>
      <c r="I40" s="4" t="n"/>
      <c r="J40" s="4" t="n"/>
      <c r="K40" s="4" t="n"/>
      <c r="L40" s="5" t="n">
        <v>0.2650462545518429</v>
      </c>
    </row>
    <row r="41" ht="42" customHeight="1">
      <c r="A41" s="2" t="inlineStr">
        <is>
          <t>reverse-dcf-revenue</t>
        </is>
      </c>
      <c r="B41" s="2" t="inlineStr">
        <is>
          <t>USD</t>
        </is>
      </c>
      <c r="C41" s="2" t="n"/>
      <c r="D41" s="2" t="n"/>
      <c r="E41" s="2" t="n"/>
      <c r="F41" s="2" t="n"/>
      <c r="G41" s="2" t="n"/>
      <c r="H41" s="2" t="n"/>
      <c r="I41" s="2" t="n"/>
      <c r="J41" s="2" t="n"/>
      <c r="K41" s="2" t="n"/>
      <c r="L41" s="2" t="n"/>
    </row>
    <row r="42" ht="42" customHeight="1">
      <c r="A42" s="2" t="inlineStr">
        <is>
          <t>earnings-value-per-share</t>
        </is>
      </c>
      <c r="B42" s="2" t="inlineStr">
        <is>
          <t>USD/share</t>
        </is>
      </c>
      <c r="C42" s="2" t="n"/>
      <c r="D42" s="2" t="n"/>
      <c r="E42" s="2" t="n"/>
      <c r="F42" s="2" t="n"/>
      <c r="G42" s="2" t="n"/>
      <c r="H42" s="2" t="n"/>
      <c r="I42" s="2" t="n"/>
      <c r="J42" s="2" t="n"/>
      <c r="K42" s="2" t="n"/>
      <c r="L42" s="3" t="n">
        <v>38.54551048230464</v>
      </c>
    </row>
    <row r="43" ht="42" customHeight="1">
      <c r="A43" s="2" t="inlineStr">
        <is>
          <t>tbv-per-share</t>
        </is>
      </c>
      <c r="B43" s="2" t="inlineStr">
        <is>
          <t>USD/share</t>
        </is>
      </c>
      <c r="C43" s="2" t="n"/>
      <c r="D43" s="2" t="n"/>
      <c r="E43" s="2" t="n"/>
      <c r="F43" s="2" t="n"/>
      <c r="G43" s="2" t="n"/>
      <c r="H43" s="2" t="n"/>
      <c r="I43" s="2" t="n"/>
      <c r="J43" s="2" t="n"/>
      <c r="K43" s="2" t="n"/>
      <c r="L43" s="3" t="n">
        <v>-10.21905790343467</v>
      </c>
    </row>
    <row r="44" ht="42" customHeight="1">
      <c r="A44" s="2" t="inlineStr">
        <is>
          <t>ncav-per-share</t>
        </is>
      </c>
      <c r="B44" s="2" t="inlineStr">
        <is>
          <t>USD/share</t>
        </is>
      </c>
      <c r="C44" s="2" t="n"/>
      <c r="D44" s="2" t="n"/>
      <c r="E44" s="2" t="n"/>
      <c r="F44" s="2" t="n"/>
      <c r="G44" s="2" t="n"/>
      <c r="H44" s="2" t="n"/>
      <c r="I44" s="2" t="n"/>
      <c r="J44" s="2" t="n"/>
      <c r="K44" s="2" t="n"/>
      <c r="L44" s="3" t="n">
        <v>-12.19763610641815</v>
      </c>
    </row>
    <row r="45" ht="42" customHeight="1">
      <c r="A45" s="2" t="inlineStr">
        <is>
          <t>margin-of-safety-base</t>
        </is>
      </c>
      <c r="B45" s="2" t="inlineStr">
        <is>
          <t>ratio (decimal; displayed as %)</t>
        </is>
      </c>
      <c r="C45" s="4" t="n"/>
      <c r="D45" s="4" t="n"/>
      <c r="E45" s="4" t="n"/>
      <c r="F45" s="4" t="n"/>
      <c r="G45" s="4" t="n"/>
      <c r="H45" s="4" t="n"/>
      <c r="I45" s="4" t="n"/>
      <c r="J45" s="4" t="n"/>
      <c r="K45" s="4" t="n"/>
      <c r="L45" s="5" t="n">
        <v>-2.585728059848587</v>
      </c>
    </row>
    <row r="46" ht="42" customHeight="1">
      <c r="A46" s="2" t="inlineStr">
        <is>
          <t>margin-of-safety-bear</t>
        </is>
      </c>
      <c r="B46" s="2" t="inlineStr">
        <is>
          <t>ratio (decimal; displayed as %)</t>
        </is>
      </c>
      <c r="C46" s="4" t="n"/>
      <c r="D46" s="4" t="n"/>
      <c r="E46" s="4" t="n"/>
      <c r="F46" s="4" t="n"/>
      <c r="G46" s="4" t="n"/>
      <c r="H46" s="4" t="n"/>
      <c r="I46" s="4" t="n"/>
      <c r="J46" s="4" t="n"/>
      <c r="K46" s="4" t="n"/>
      <c r="L46" s="5" t="n">
        <v>-4.692472131792246</v>
      </c>
    </row>
    <row r="47" ht="42" customHeight="1">
      <c r="A47" s="2" t="inlineStr">
        <is>
          <t>reported-tax-rate-annual</t>
        </is>
      </c>
      <c r="B47" s="2" t="inlineStr">
        <is>
          <t>ratio (decimal; displayed as %)</t>
        </is>
      </c>
      <c r="C47" s="4" t="n"/>
      <c r="D47" s="4" t="n"/>
      <c r="E47" s="4" t="n"/>
      <c r="F47" s="4" t="n"/>
      <c r="G47" s="4" t="n"/>
      <c r="H47" s="4" t="n"/>
      <c r="I47" s="4" t="n"/>
      <c r="J47" s="4" t="n"/>
      <c r="K47" s="4" t="n"/>
      <c r="L47" s="5" t="n">
        <v>-0.0174666725328875</v>
      </c>
    </row>
    <row r="48" ht="42" customHeight="1">
      <c r="A48" s="2" t="inlineStr">
        <is>
          <t>normalized-tax-rate-annual</t>
        </is>
      </c>
      <c r="B48" s="2" t="inlineStr">
        <is>
          <t>ratio (decimal; displayed as %)</t>
        </is>
      </c>
      <c r="C48" s="4" t="n"/>
      <c r="D48" s="4" t="n"/>
      <c r="E48" s="4" t="n"/>
      <c r="F48" s="4" t="n"/>
      <c r="G48" s="4" t="n"/>
      <c r="H48" s="4" t="n"/>
      <c r="I48" s="4" t="n"/>
      <c r="J48" s="4" t="n"/>
      <c r="K48" s="4" t="n"/>
      <c r="L48" s="5" t="n">
        <v>0.21</v>
      </c>
    </row>
    <row r="49" ht="42" customHeight="1">
      <c r="A49" s="2" t="inlineStr">
        <is>
          <t>normalized-nopat-annual</t>
        </is>
      </c>
      <c r="B49" s="2" t="inlineStr">
        <is>
          <t>USD</t>
        </is>
      </c>
      <c r="C49" s="2" t="n"/>
      <c r="D49" s="2" t="n"/>
      <c r="E49" s="2" t="n"/>
      <c r="F49" s="2" t="n"/>
      <c r="G49" s="2" t="n"/>
      <c r="H49" s="2" t="n"/>
      <c r="I49" s="2" t="n"/>
      <c r="J49" s="2" t="n"/>
      <c r="K49" s="2" t="n"/>
      <c r="L49" s="3" t="n">
        <v>20132360000</v>
      </c>
    </row>
    <row r="50" ht="42" customHeight="1">
      <c r="A50" s="2" t="inlineStr">
        <is>
          <t>normalized-roic-annual</t>
        </is>
      </c>
      <c r="B50" s="2" t="inlineStr">
        <is>
          <t>ratio (decimal; displayed as %)</t>
        </is>
      </c>
      <c r="C50" s="4" t="n"/>
      <c r="D50" s="4" t="n"/>
      <c r="E50" s="4" t="n"/>
      <c r="F50" s="4" t="n"/>
      <c r="G50" s="4" t="n"/>
      <c r="H50" s="4" t="n"/>
      <c r="I50" s="4" t="n"/>
      <c r="J50" s="4" t="n"/>
      <c r="K50" s="4" t="n"/>
      <c r="L50" s="5" t="n">
        <v>0.1572103701389974</v>
      </c>
    </row>
    <row r="51" ht="42" customHeight="1">
      <c r="A51" s="2" t="inlineStr">
        <is>
          <t>normalized-fcff-annual</t>
        </is>
      </c>
      <c r="B51" s="2" t="inlineStr">
        <is>
          <t>USD</t>
        </is>
      </c>
      <c r="C51" s="2" t="n"/>
      <c r="D51" s="2" t="n"/>
      <c r="E51" s="2" t="n"/>
      <c r="F51" s="2" t="n"/>
      <c r="G51" s="2" t="n"/>
      <c r="H51" s="2" t="n"/>
      <c r="I51" s="2" t="n"/>
      <c r="J51" s="2" t="n"/>
      <c r="K51" s="2" t="n"/>
      <c r="L51" s="3" t="n">
        <v>24804360000</v>
      </c>
    </row>
    <row r="52" ht="42" customHeight="1">
      <c r="A52" s="2" t="inlineStr">
        <is>
          <t>normalized-owner-earnings-annual</t>
        </is>
      </c>
      <c r="B52" s="2" t="inlineStr">
        <is>
          <t>USD</t>
        </is>
      </c>
      <c r="C52" s="2" t="n"/>
      <c r="D52" s="2" t="n"/>
      <c r="E52" s="2" t="n"/>
      <c r="F52" s="2" t="n"/>
      <c r="G52" s="2" t="n"/>
      <c r="H52" s="2" t="n"/>
      <c r="I52" s="2" t="n"/>
      <c r="J52" s="2" t="n"/>
      <c r="K52" s="2" t="n"/>
      <c r="L52" s="3" t="n">
        <v>22676910000</v>
      </c>
    </row>
    <row r="53" ht="42" customHeight="1">
      <c r="A53" s="2" t="inlineStr">
        <is>
          <t>reported-tax-rate-ttm</t>
        </is>
      </c>
      <c r="B53" s="2" t="inlineStr">
        <is>
          <t>ratio (decimal; displayed as %)</t>
        </is>
      </c>
      <c r="C53" s="4" t="n"/>
      <c r="D53" s="4" t="n"/>
      <c r="E53" s="4" t="n"/>
      <c r="F53" s="4" t="n"/>
      <c r="G53" s="4" t="n"/>
      <c r="H53" s="4" t="n"/>
      <c r="I53" s="4" t="n"/>
      <c r="J53" s="4" t="n"/>
      <c r="K53" s="4" t="n"/>
      <c r="L53" s="4" t="n"/>
    </row>
    <row r="54" ht="42" customHeight="1">
      <c r="A54" s="2" t="inlineStr">
        <is>
          <t>ttm-revenue</t>
        </is>
      </c>
      <c r="B54" s="2" t="inlineStr">
        <is>
          <t>USD</t>
        </is>
      </c>
      <c r="C54" s="2" t="n"/>
      <c r="D54" s="2" t="n"/>
      <c r="E54" s="2" t="n"/>
      <c r="F54" s="2" t="n"/>
      <c r="G54" s="2" t="n"/>
      <c r="H54" s="2" t="n"/>
      <c r="I54" s="2" t="n"/>
      <c r="J54" s="2" t="n"/>
      <c r="K54" s="2" t="n"/>
      <c r="L54" s="2" t="n"/>
    </row>
    <row r="55" ht="42" customHeight="1">
      <c r="A55" s="2" t="inlineStr">
        <is>
          <t>ttm-net-income</t>
        </is>
      </c>
      <c r="B55" s="2" t="inlineStr">
        <is>
          <t>USD</t>
        </is>
      </c>
      <c r="C55" s="2" t="n"/>
      <c r="D55" s="2" t="n"/>
      <c r="E55" s="2" t="n"/>
      <c r="F55" s="2" t="n"/>
      <c r="G55" s="2" t="n"/>
      <c r="H55" s="2" t="n"/>
      <c r="I55" s="2" t="n"/>
      <c r="J55" s="2" t="n"/>
      <c r="K55" s="2" t="n"/>
      <c r="L55" s="2" t="n"/>
    </row>
    <row r="56" ht="42" customHeight="1">
      <c r="A56" s="2" t="inlineStr">
        <is>
          <t>ttm-fcf</t>
        </is>
      </c>
      <c r="B56" s="2" t="inlineStr">
        <is>
          <t>USD</t>
        </is>
      </c>
      <c r="C56" s="2" t="n"/>
      <c r="D56" s="2" t="n"/>
      <c r="E56" s="2" t="n"/>
      <c r="F56" s="2" t="n"/>
      <c r="G56" s="2" t="n"/>
      <c r="H56" s="2" t="n"/>
      <c r="I56" s="2" t="n"/>
      <c r="J56" s="2" t="n"/>
      <c r="K56" s="2" t="n"/>
      <c r="L56" s="2" t="n"/>
    </row>
    <row r="57" ht="42" customHeight="1">
      <c r="A57" s="2" t="inlineStr">
        <is>
          <t>ttm-fcff</t>
        </is>
      </c>
      <c r="B57" s="2" t="inlineStr">
        <is>
          <t>USD</t>
        </is>
      </c>
      <c r="C57" s="2" t="n"/>
      <c r="D57" s="2" t="n"/>
      <c r="E57" s="2" t="n"/>
      <c r="F57" s="2" t="n"/>
      <c r="G57" s="2" t="n"/>
      <c r="H57" s="2" t="n"/>
      <c r="I57" s="2" t="n"/>
      <c r="J57" s="2" t="n"/>
      <c r="K57" s="2" t="n"/>
      <c r="L57" s="2" t="n"/>
    </row>
    <row r="58" ht="42" customHeight="1">
      <c r="A58" s="2" t="inlineStr">
        <is>
          <t>ttm-ebitda</t>
        </is>
      </c>
      <c r="B58" s="2" t="inlineStr">
        <is>
          <t>USD</t>
        </is>
      </c>
      <c r="C58" s="2" t="n"/>
      <c r="D58" s="2" t="n"/>
      <c r="E58" s="2" t="n"/>
      <c r="F58" s="2" t="n"/>
      <c r="G58" s="2" t="n"/>
      <c r="H58" s="2" t="n"/>
      <c r="I58" s="2" t="n"/>
      <c r="J58" s="2" t="n"/>
      <c r="K58" s="2" t="n"/>
      <c r="L58" s="2" t="n"/>
    </row>
    <row r="59" ht="42" customHeight="1">
      <c r="A59" s="2" t="inlineStr">
        <is>
          <t>ttm-pe</t>
        </is>
      </c>
      <c r="B59" s="2" t="inlineStr">
        <is>
          <t>multiple (x)</t>
        </is>
      </c>
      <c r="C59" s="2" t="n"/>
      <c r="D59" s="2" t="n"/>
      <c r="E59" s="2" t="n"/>
      <c r="F59" s="2" t="n"/>
      <c r="G59" s="2" t="n"/>
      <c r="H59" s="2" t="n"/>
      <c r="I59" s="2" t="n"/>
      <c r="J59" s="2" t="n"/>
      <c r="K59" s="2" t="n"/>
      <c r="L59" s="2" t="n"/>
    </row>
    <row r="60" ht="42" customHeight="1">
      <c r="A60" s="2" t="inlineStr">
        <is>
          <t>ttm-fcf-margin</t>
        </is>
      </c>
      <c r="B60" s="2" t="inlineStr">
        <is>
          <t>ratio (decimal; displayed as %)</t>
        </is>
      </c>
      <c r="C60" s="4" t="n"/>
      <c r="D60" s="4" t="n"/>
      <c r="E60" s="4" t="n"/>
      <c r="F60" s="4" t="n"/>
      <c r="G60" s="4" t="n"/>
      <c r="H60" s="4" t="n"/>
      <c r="I60" s="4" t="n"/>
      <c r="J60" s="4" t="n"/>
      <c r="K60" s="4" t="n"/>
      <c r="L60" s="4" t="n"/>
    </row>
    <row r="61" ht="42" customHeight="1">
      <c r="A61" s="2" t="inlineStr">
        <is>
          <t>ttm-fcf-yield</t>
        </is>
      </c>
      <c r="B61" s="2" t="inlineStr">
        <is>
          <t>ratio (decimal; displayed as %)</t>
        </is>
      </c>
      <c r="C61" s="4" t="n"/>
      <c r="D61" s="4" t="n"/>
      <c r="E61" s="4" t="n"/>
      <c r="F61" s="4" t="n"/>
      <c r="G61" s="4" t="n"/>
      <c r="H61" s="4" t="n"/>
      <c r="I61" s="4" t="n"/>
      <c r="J61" s="4" t="n"/>
      <c r="K61" s="4" t="n"/>
      <c r="L61" s="4" t="n"/>
    </row>
    <row r="62" ht="42" customHeight="1">
      <c r="A62" s="2" t="inlineStr">
        <is>
          <t>ttm-ev-ebitda</t>
        </is>
      </c>
      <c r="B62" s="2" t="inlineStr">
        <is>
          <t>multiple (x)</t>
        </is>
      </c>
      <c r="C62" s="2" t="n"/>
      <c r="D62" s="2" t="n"/>
      <c r="E62" s="2" t="n"/>
      <c r="F62" s="2" t="n"/>
      <c r="G62" s="2" t="n"/>
      <c r="H62" s="2" t="n"/>
      <c r="I62" s="2" t="n"/>
      <c r="J62" s="2" t="n"/>
      <c r="K62" s="2" t="n"/>
      <c r="L62" s="2" t="n"/>
    </row>
    <row r="63" ht="42" customHeight="1">
      <c r="A63" s="2" t="inlineStr">
        <is>
          <t>normalized-tax-rate-ttm</t>
        </is>
      </c>
      <c r="B63" s="2" t="inlineStr">
        <is>
          <t>ratio (decimal; displayed as %)</t>
        </is>
      </c>
      <c r="C63" s="4" t="n"/>
      <c r="D63" s="4" t="n"/>
      <c r="E63" s="4" t="n"/>
      <c r="F63" s="4" t="n"/>
      <c r="G63" s="4" t="n"/>
      <c r="H63" s="4" t="n"/>
      <c r="I63" s="4" t="n"/>
      <c r="J63" s="4" t="n"/>
      <c r="K63" s="4" t="n"/>
      <c r="L63" s="4" t="n"/>
    </row>
    <row r="64" ht="42" customHeight="1">
      <c r="A64" s="2" t="inlineStr">
        <is>
          <t>normalized-nopat-ttm</t>
        </is>
      </c>
      <c r="B64" s="2" t="inlineStr">
        <is>
          <t>USD</t>
        </is>
      </c>
      <c r="C64" s="2" t="n"/>
      <c r="D64" s="2" t="n"/>
      <c r="E64" s="2" t="n"/>
      <c r="F64" s="2" t="n"/>
      <c r="G64" s="2" t="n"/>
      <c r="H64" s="2" t="n"/>
      <c r="I64" s="2" t="n"/>
      <c r="J64" s="2" t="n"/>
      <c r="K64" s="2" t="n"/>
      <c r="L64" s="2" t="n"/>
    </row>
    <row r="65" ht="42" customHeight="1">
      <c r="A65" s="2" t="inlineStr">
        <is>
          <t>normalized-roic-ttm</t>
        </is>
      </c>
      <c r="B65" s="2" t="inlineStr">
        <is>
          <t>ratio (decimal; displayed as %)</t>
        </is>
      </c>
      <c r="C65" s="4" t="n"/>
      <c r="D65" s="4" t="n"/>
      <c r="E65" s="4" t="n"/>
      <c r="F65" s="4" t="n"/>
      <c r="G65" s="4" t="n"/>
      <c r="H65" s="4" t="n"/>
      <c r="I65" s="4" t="n"/>
      <c r="J65" s="4" t="n"/>
      <c r="K65" s="4" t="n"/>
      <c r="L65" s="4" t="n"/>
    </row>
    <row r="66" ht="42" customHeight="1">
      <c r="A66" s="2" t="inlineStr">
        <is>
          <t>normalized-fcff-ttm</t>
        </is>
      </c>
      <c r="B66" s="2" t="inlineStr">
        <is>
          <t>USD</t>
        </is>
      </c>
      <c r="C66" s="2" t="n"/>
      <c r="D66" s="2" t="n"/>
      <c r="E66" s="2" t="n"/>
      <c r="F66" s="2" t="n"/>
      <c r="G66" s="2" t="n"/>
      <c r="H66" s="2" t="n"/>
      <c r="I66" s="2" t="n"/>
      <c r="J66" s="2" t="n"/>
      <c r="K66" s="2" t="n"/>
      <c r="L66" s="2" t="n"/>
    </row>
    <row r="67" ht="42" customHeight="1">
      <c r="A67" s="2" t="inlineStr">
        <is>
          <t>normalized-owner-earnings-ttm</t>
        </is>
      </c>
      <c r="B67" s="2" t="inlineStr">
        <is>
          <t>USD</t>
        </is>
      </c>
      <c r="C67" s="2" t="n"/>
      <c r="D67" s="2" t="n"/>
      <c r="E67" s="2" t="n"/>
      <c r="F67" s="2" t="n"/>
      <c r="G67" s="2" t="n"/>
      <c r="H67" s="2" t="n"/>
      <c r="I67" s="2" t="n"/>
      <c r="J67" s="2" t="n"/>
      <c r="K67" s="2" t="n"/>
      <c r="L67" s="2" t="n"/>
    </row>
    <row r="68" ht="42" customHeight="1">
      <c r="A68" s="2" t="inlineStr">
        <is>
          <t>forward-illustrative-growth-value</t>
        </is>
      </c>
      <c r="B68" s="2" t="inlineStr">
        <is>
          <t>USD/share</t>
        </is>
      </c>
      <c r="C68" s="2" t="n"/>
      <c r="D68" s="2" t="n"/>
      <c r="E68" s="2" t="n"/>
      <c r="F68" s="2" t="n"/>
      <c r="G68" s="2" t="n"/>
      <c r="H68" s="2" t="n"/>
      <c r="I68" s="2" t="n"/>
      <c r="J68" s="2" t="n"/>
      <c r="K68" s="2" t="n"/>
      <c r="L68" s="2" t="n"/>
    </row>
    <row r="69" ht="42" customHeight="1">
      <c r="A69" s="2" t="inlineStr">
        <is>
          <t>forward-illustrative-garp-value</t>
        </is>
      </c>
      <c r="B69" s="2" t="inlineStr">
        <is>
          <t>USD/share</t>
        </is>
      </c>
      <c r="C69" s="2" t="n"/>
      <c r="D69" s="2" t="n"/>
      <c r="E69" s="2" t="n"/>
      <c r="F69" s="2" t="n"/>
      <c r="G69" s="2" t="n"/>
      <c r="H69" s="2" t="n"/>
      <c r="I69" s="2" t="n"/>
      <c r="J69" s="2" t="n"/>
      <c r="K69" s="2" t="n"/>
      <c r="L69" s="2" t="n"/>
    </row>
    <row r="70" ht="42" customHeight="1">
      <c r="A70" s="2" t="inlineStr">
        <is>
          <t>forward-illustrative-quality-value</t>
        </is>
      </c>
      <c r="B70" s="2" t="inlineStr">
        <is>
          <t>USD/share</t>
        </is>
      </c>
      <c r="C70" s="2" t="n"/>
      <c r="D70" s="2" t="n"/>
      <c r="E70" s="2" t="n"/>
      <c r="F70" s="2" t="n"/>
      <c r="G70" s="2" t="n"/>
      <c r="H70" s="2" t="n"/>
      <c r="I70" s="2" t="n"/>
      <c r="J70" s="2" t="n"/>
      <c r="K70" s="2" t="n"/>
      <c r="L70" s="2" t="n"/>
    </row>
  </sheetData>
  <autoFilter ref="A1:L70"/>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286"/>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30" customWidth="1" min="5" max="5"/>
    <col width="25" customWidth="1" min="6" max="6"/>
    <col width="95" customWidth="1" min="7" max="7"/>
    <col width="40" customWidth="1" min="8" max="8"/>
    <col width="45" customWidth="1" min="9" max="9"/>
  </cols>
  <sheetData>
    <row r="1" ht="32" customHeight="1">
      <c r="A1" s="1" t="inlineStr">
        <is>
          <t>Metric</t>
        </is>
      </c>
      <c r="B1" s="1" t="inlineStr">
        <is>
          <t>Card ID</t>
        </is>
      </c>
      <c r="C1" s="1" t="inlineStr">
        <is>
          <t>Period end</t>
        </is>
      </c>
      <c r="D1" s="1" t="inlineStr">
        <is>
          <t>Value (raw units)</t>
        </is>
      </c>
      <c r="E1" s="1" t="inlineStr">
        <is>
          <t>Unit</t>
        </is>
      </c>
      <c r="F1" s="1" t="inlineStr">
        <is>
          <t>Status</t>
        </is>
      </c>
      <c r="G1" s="1" t="inlineStr">
        <is>
          <t>Calculator formula</t>
        </is>
      </c>
      <c r="H1" s="1" t="inlineStr">
        <is>
          <t>Missing inputs</t>
        </is>
      </c>
      <c r="I1" s="1" t="inlineStr">
        <is>
          <t>Additional details</t>
        </is>
      </c>
    </row>
    <row r="2" ht="42" customHeight="1">
      <c r="A2" s="6" t="inlineStr">
        <is>
          <t>revenue-growth</t>
        </is>
      </c>
      <c r="B2" s="6" t="inlineStr">
        <is>
          <t>revenue</t>
        </is>
      </c>
      <c r="C2" s="6" t="inlineStr">
        <is>
          <t>2016-10-30</t>
        </is>
      </c>
      <c r="D2" s="7" t="n"/>
      <c r="E2" s="6" t="inlineStr">
        <is>
          <t>ratio (decimal; displayed as %)</t>
        </is>
      </c>
      <c r="F2" s="6" t="inlineStr">
        <is>
          <t>not_available</t>
        </is>
      </c>
      <c r="G2" s="6" t="inlineStr">
        <is>
          <t>Revenue / Previous revenue − 1</t>
        </is>
      </c>
      <c r="H2" s="6" t="inlineStr">
        <is>
          <t>previous_revenue</t>
        </is>
      </c>
      <c r="I2" s="6" t="inlineStr">
        <is>
          <t>{"basis": "reported"}</t>
        </is>
      </c>
    </row>
    <row r="3" ht="42" customHeight="1">
      <c r="A3" s="2" t="inlineStr">
        <is>
          <t>gross-margin</t>
        </is>
      </c>
      <c r="B3" s="2" t="inlineStr">
        <is>
          <t>gross-margin</t>
        </is>
      </c>
      <c r="C3" s="2" t="inlineStr">
        <is>
          <t>2016-10-30</t>
        </is>
      </c>
      <c r="D3" s="5" t="n">
        <v>0.4486404833836858</v>
      </c>
      <c r="E3" s="2" t="inlineStr">
        <is>
          <t>ratio (decimal; displayed as %)</t>
        </is>
      </c>
      <c r="F3" s="2" t="inlineStr">
        <is>
          <t>ok</t>
        </is>
      </c>
      <c r="G3" s="2" t="inlineStr">
        <is>
          <t>Gross profit / Revenue</t>
        </is>
      </c>
      <c r="H3" s="2" t="inlineStr"/>
      <c r="I3" s="2" t="inlineStr">
        <is>
          <t>{"basis": "reported"}</t>
        </is>
      </c>
    </row>
    <row r="4" ht="42" customHeight="1">
      <c r="A4" s="2" t="inlineStr">
        <is>
          <t>operating-margin</t>
        </is>
      </c>
      <c r="B4" s="2" t="inlineStr">
        <is>
          <t>operating-margin</t>
        </is>
      </c>
      <c r="C4" s="2" t="inlineStr">
        <is>
          <t>2016-10-30</t>
        </is>
      </c>
      <c r="D4" s="5" t="n">
        <v>-0.03089123867069487</v>
      </c>
      <c r="E4" s="2" t="inlineStr">
        <is>
          <t>ratio (decimal; displayed as %)</t>
        </is>
      </c>
      <c r="F4" s="2" t="inlineStr">
        <is>
          <t>ok</t>
        </is>
      </c>
      <c r="G4" s="2" t="inlineStr">
        <is>
          <t>Operating income / Revenue</t>
        </is>
      </c>
      <c r="H4" s="2" t="inlineStr"/>
      <c r="I4" s="2" t="inlineStr">
        <is>
          <t>{"basis": "reported"}</t>
        </is>
      </c>
    </row>
    <row r="5" ht="42" customHeight="1">
      <c r="A5" s="2" t="inlineStr">
        <is>
          <t>net-margin</t>
        </is>
      </c>
      <c r="B5" s="2" t="inlineStr">
        <is>
          <t>net-margin</t>
        </is>
      </c>
      <c r="C5" s="2" t="inlineStr">
        <is>
          <t>2016-10-30</t>
        </is>
      </c>
      <c r="D5" s="5" t="n">
        <v>-0.1313444108761329</v>
      </c>
      <c r="E5" s="2" t="inlineStr">
        <is>
          <t>ratio (decimal; displayed as %)</t>
        </is>
      </c>
      <c r="F5" s="2" t="inlineStr">
        <is>
          <t>ok</t>
        </is>
      </c>
      <c r="G5" s="2" t="inlineStr">
        <is>
          <t>Net income / Revenue</t>
        </is>
      </c>
      <c r="H5" s="2" t="inlineStr"/>
      <c r="I5" s="2" t="inlineStr">
        <is>
          <t>{"basis": "reported"}</t>
        </is>
      </c>
    </row>
    <row r="6" ht="42" customHeight="1">
      <c r="A6" s="2" t="inlineStr">
        <is>
          <t>fcf</t>
        </is>
      </c>
      <c r="B6" s="2" t="inlineStr">
        <is>
          <t>fcf</t>
        </is>
      </c>
      <c r="C6" s="2" t="inlineStr">
        <is>
          <t>2016-10-30</t>
        </is>
      </c>
      <c r="D6" s="3" t="n">
        <v>2688000000</v>
      </c>
      <c r="E6" s="2" t="inlineStr">
        <is>
          <t>USD</t>
        </is>
      </c>
      <c r="F6" s="2" t="inlineStr">
        <is>
          <t>ok</t>
        </is>
      </c>
      <c r="G6" s="2" t="inlineStr">
        <is>
          <t>OCF − CapEx</t>
        </is>
      </c>
      <c r="H6" s="2" t="inlineStr"/>
      <c r="I6" s="2" t="inlineStr">
        <is>
          <t>{"basis": "reported"}</t>
        </is>
      </c>
    </row>
    <row r="7" ht="42" customHeight="1">
      <c r="A7" s="2" t="inlineStr">
        <is>
          <t>fcf-margin</t>
        </is>
      </c>
      <c r="B7" s="2" t="inlineStr">
        <is>
          <t>fcf-margin</t>
        </is>
      </c>
      <c r="C7" s="2" t="inlineStr">
        <is>
          <t>2016-10-30</t>
        </is>
      </c>
      <c r="D7" s="5" t="n">
        <v>0.2030211480362538</v>
      </c>
      <c r="E7" s="2" t="inlineStr">
        <is>
          <t>ratio (decimal; displayed as %)</t>
        </is>
      </c>
      <c r="F7" s="2" t="inlineStr">
        <is>
          <t>ok</t>
        </is>
      </c>
      <c r="G7" s="2" t="inlineStr">
        <is>
          <t>(OCF − CapEx) / Revenue</t>
        </is>
      </c>
      <c r="H7" s="2" t="inlineStr"/>
      <c r="I7" s="2" t="inlineStr">
        <is>
          <t>{"basis": "reported"}</t>
        </is>
      </c>
    </row>
    <row r="8" ht="42" customHeight="1">
      <c r="A8" s="2" t="inlineStr">
        <is>
          <t>fcff</t>
        </is>
      </c>
      <c r="B8" s="2" t="inlineStr">
        <is>
          <t>fcff</t>
        </is>
      </c>
      <c r="C8" s="2" t="inlineStr">
        <is>
          <t>2016-10-30</t>
        </is>
      </c>
      <c r="D8" s="3" t="n">
        <v>2471150000</v>
      </c>
      <c r="E8" s="2" t="inlineStr">
        <is>
          <t>USD</t>
        </is>
      </c>
      <c r="F8" s="2" t="inlineStr">
        <is>
          <t>ok</t>
        </is>
      </c>
      <c r="G8" s="2" t="inlineStr">
        <is>
          <t>OCF + Interest × (1 − Tax rate) − CapEx − SBC</t>
        </is>
      </c>
      <c r="H8" s="2" t="inlineStr"/>
      <c r="I8" s="2" t="inlineStr">
        <is>
          <t>{"basis": "reported"}</t>
        </is>
      </c>
    </row>
    <row r="9" ht="42" customHeight="1">
      <c r="A9" s="6" t="inlineStr">
        <is>
          <t>fcfe</t>
        </is>
      </c>
      <c r="B9" s="6" t="inlineStr">
        <is>
          <t>fcfe</t>
        </is>
      </c>
      <c r="C9" s="6" t="inlineStr">
        <is>
          <t>2016-10-30</t>
        </is>
      </c>
      <c r="D9" s="6" t="n"/>
      <c r="E9" s="6" t="inlineStr">
        <is>
          <t>USD</t>
        </is>
      </c>
      <c r="F9" s="6" t="inlineStr">
        <is>
          <t>not_available</t>
        </is>
      </c>
      <c r="G9" s="6" t="inlineStr">
        <is>
          <t>Net income + D&amp;A − CapEx − ΔOperating working capital + (Debt issued − Debt repaid)</t>
        </is>
      </c>
      <c r="H9" s="6" t="inlineStr">
        <is>
          <t>change_in_owc</t>
        </is>
      </c>
      <c r="I9" s="6" t="inlineStr">
        <is>
          <t>{"basis": "reported"}</t>
        </is>
      </c>
    </row>
    <row r="10" ht="42" customHeight="1">
      <c r="A10" s="6" t="inlineStr">
        <is>
          <t>owner-earnings</t>
        </is>
      </c>
      <c r="B10" s="6" t="inlineStr">
        <is>
          <t>owner-earnings</t>
        </is>
      </c>
      <c r="C10" s="6" t="inlineStr">
        <is>
          <t>2016-10-30</t>
        </is>
      </c>
      <c r="D10" s="6" t="n"/>
      <c r="E10" s="6" t="inlineStr">
        <is>
          <t>USD</t>
        </is>
      </c>
      <c r="F10" s="6" t="inlineStr">
        <is>
          <t>not_available</t>
        </is>
      </c>
      <c r="G10" s="6" t="inlineStr">
        <is>
          <t>Net income + D&amp;A − Maintenance CapEx (1 × D&amp;A) − ΔOperating working capital</t>
        </is>
      </c>
      <c r="H10" s="6" t="inlineStr">
        <is>
          <t>change_in_owc</t>
        </is>
      </c>
      <c r="I10" s="6" t="inlineStr">
        <is>
          <t>{"basis": "reported"}</t>
        </is>
      </c>
    </row>
    <row r="11" ht="42" customHeight="1">
      <c r="A11" s="6" t="inlineStr">
        <is>
          <t>earnings-quality</t>
        </is>
      </c>
      <c r="B11" s="6" t="inlineStr">
        <is>
          <t>earnings-quality</t>
        </is>
      </c>
      <c r="C11" s="6" t="inlineStr">
        <is>
          <t>2016-10-30</t>
        </is>
      </c>
      <c r="D11" s="6" t="n"/>
      <c r="E11" s="6" t="inlineStr">
        <is>
          <t>multiple (x)</t>
        </is>
      </c>
      <c r="F11" s="6" t="inlineStr">
        <is>
          <t>not_meaningful</t>
        </is>
      </c>
      <c r="G11" s="6" t="inlineStr">
        <is>
          <t>OCF / Net income (only when net income &gt; 0)</t>
        </is>
      </c>
      <c r="H11" s="6" t="inlineStr"/>
      <c r="I11" s="6" t="inlineStr">
        <is>
          <t>{"basis": "reported"}</t>
        </is>
      </c>
    </row>
    <row r="12" ht="42" customHeight="1">
      <c r="A12" s="2" t="inlineStr">
        <is>
          <t>ebitda</t>
        </is>
      </c>
      <c r="B12" s="2" t="inlineStr">
        <is>
          <t>ebitda</t>
        </is>
      </c>
      <c r="C12" s="2" t="inlineStr">
        <is>
          <t>2016-10-30</t>
        </is>
      </c>
      <c r="D12" s="3" t="n">
        <v>2633000000</v>
      </c>
      <c r="E12" s="2" t="inlineStr">
        <is>
          <t>USD</t>
        </is>
      </c>
      <c r="F12" s="2" t="inlineStr">
        <is>
          <t>ok</t>
        </is>
      </c>
      <c r="G12" s="2" t="inlineStr">
        <is>
          <t>Operating income + D&amp;A</t>
        </is>
      </c>
      <c r="H12" s="2" t="inlineStr"/>
      <c r="I12" s="2" t="inlineStr">
        <is>
          <t>{"basis": "reported"}</t>
        </is>
      </c>
    </row>
    <row r="13" ht="42" customHeight="1">
      <c r="A13" s="2" t="inlineStr">
        <is>
          <t>nopat</t>
        </is>
      </c>
      <c r="B13" s="2" t="inlineStr">
        <is>
          <t>nopat</t>
        </is>
      </c>
      <c r="C13" s="2" t="inlineStr">
        <is>
          <t>2016-10-30</t>
        </is>
      </c>
      <c r="D13" s="3" t="n">
        <v>-323110000</v>
      </c>
      <c r="E13" s="2" t="inlineStr">
        <is>
          <t>USD</t>
        </is>
      </c>
      <c r="F13" s="2" t="inlineStr">
        <is>
          <t>ok</t>
        </is>
      </c>
      <c r="G13" s="2" t="inlineStr">
        <is>
          <t>Operating income × (1 − Tax rate)</t>
        </is>
      </c>
      <c r="H13" s="2" t="inlineStr"/>
      <c r="I13" s="2" t="inlineStr">
        <is>
          <t>{"basis": "reported"}</t>
        </is>
      </c>
    </row>
    <row r="14" ht="42" customHeight="1">
      <c r="A14" s="6" t="inlineStr">
        <is>
          <t>invested-capital</t>
        </is>
      </c>
      <c r="B14" s="6" t="inlineStr">
        <is>
          <t>invested-capital</t>
        </is>
      </c>
      <c r="C14" s="6" t="inlineStr">
        <is>
          <t>2016-10-30</t>
        </is>
      </c>
      <c r="D14" s="6" t="n"/>
      <c r="E14" s="6" t="inlineStr">
        <is>
          <t>USD</t>
        </is>
      </c>
      <c r="F14" s="6" t="inlineStr">
        <is>
          <t>not_available</t>
        </is>
      </c>
      <c r="G14" s="6" t="inlineStr">
        <is>
          <t>Equity + Debt − Cash</t>
        </is>
      </c>
      <c r="H14" s="6" t="inlineStr">
        <is>
          <t>debt</t>
        </is>
      </c>
      <c r="I14" s="6" t="inlineStr">
        <is>
          <t>{"basis": "reported"}</t>
        </is>
      </c>
    </row>
    <row r="15" ht="42" customHeight="1">
      <c r="A15" s="6" t="inlineStr">
        <is>
          <t>roic</t>
        </is>
      </c>
      <c r="B15" s="6" t="inlineStr">
        <is>
          <t>roic</t>
        </is>
      </c>
      <c r="C15" s="6" t="inlineStr">
        <is>
          <t>2016-10-30</t>
        </is>
      </c>
      <c r="D15" s="7" t="n"/>
      <c r="E15" s="6" t="inlineStr">
        <is>
          <t>ratio (decimal; displayed as %)</t>
        </is>
      </c>
      <c r="F15" s="6" t="inlineStr">
        <is>
          <t>not_available</t>
        </is>
      </c>
      <c r="G15" s="6" t="inlineStr">
        <is>
          <t>NOPAT / Average invested capital (only when invested capital &gt; 0)</t>
        </is>
      </c>
      <c r="H15" s="6" t="inlineStr">
        <is>
          <t>average_invested_capital</t>
        </is>
      </c>
      <c r="I15" s="6" t="inlineStr">
        <is>
          <t>{"basis": "reported"}</t>
        </is>
      </c>
    </row>
    <row r="16" ht="42" customHeight="1">
      <c r="A16" s="6" t="inlineStr">
        <is>
          <t>net-debt</t>
        </is>
      </c>
      <c r="B16" s="6" t="inlineStr">
        <is>
          <t>net-debt</t>
        </is>
      </c>
      <c r="C16" s="6" t="inlineStr">
        <is>
          <t>2016-10-30</t>
        </is>
      </c>
      <c r="D16" s="6" t="n"/>
      <c r="E16" s="6" t="inlineStr">
        <is>
          <t>USD</t>
        </is>
      </c>
      <c r="F16" s="6" t="inlineStr">
        <is>
          <t>not_available</t>
        </is>
      </c>
      <c r="G16" s="6" t="inlineStr">
        <is>
          <t>Debt − Cash</t>
        </is>
      </c>
      <c r="H16" s="6" t="inlineStr">
        <is>
          <t>debt</t>
        </is>
      </c>
      <c r="I16" s="6" t="inlineStr">
        <is>
          <t>{"basis": "reported"}</t>
        </is>
      </c>
    </row>
    <row r="17" ht="42" customHeight="1">
      <c r="A17" s="6" t="inlineStr">
        <is>
          <t>debt-ebitda</t>
        </is>
      </c>
      <c r="B17" s="6" t="inlineStr">
        <is>
          <t>debt-ebitda</t>
        </is>
      </c>
      <c r="C17" s="6" t="inlineStr">
        <is>
          <t>2016-10-30</t>
        </is>
      </c>
      <c r="D17" s="6" t="n"/>
      <c r="E17" s="6" t="inlineStr">
        <is>
          <t>multiple (x)</t>
        </is>
      </c>
      <c r="F17" s="6" t="inlineStr">
        <is>
          <t>not_available</t>
        </is>
      </c>
      <c r="G17" s="6" t="inlineStr">
        <is>
          <t>Debt / EBITDA (only when EBITDA &gt; 0)</t>
        </is>
      </c>
      <c r="H17" s="6" t="inlineStr">
        <is>
          <t>debt</t>
        </is>
      </c>
      <c r="I17" s="6" t="inlineStr">
        <is>
          <t>{"basis": "reported"}</t>
        </is>
      </c>
    </row>
    <row r="18" ht="42" customHeight="1">
      <c r="A18" s="2" t="inlineStr">
        <is>
          <t>interest-coverage</t>
        </is>
      </c>
      <c r="B18" s="2" t="inlineStr">
        <is>
          <t>interest-coverage</t>
        </is>
      </c>
      <c r="C18" s="2" t="inlineStr">
        <is>
          <t>2016-10-30</t>
        </is>
      </c>
      <c r="D18" s="3" t="n">
        <v>-0.6991452991452991</v>
      </c>
      <c r="E18" s="2" t="inlineStr">
        <is>
          <t>multiple (x)</t>
        </is>
      </c>
      <c r="F18" s="2" t="inlineStr">
        <is>
          <t>ok</t>
        </is>
      </c>
      <c r="G18" s="2" t="inlineStr">
        <is>
          <t>Operating income / Interest expense (only when interest &gt; 0)</t>
        </is>
      </c>
      <c r="H18" s="2" t="inlineStr"/>
      <c r="I18" s="2" t="inlineStr">
        <is>
          <t>{"basis": "reported"}</t>
        </is>
      </c>
    </row>
    <row r="19" ht="42" customHeight="1">
      <c r="A19" s="6" t="inlineStr">
        <is>
          <t>current-ratio</t>
        </is>
      </c>
      <c r="B19" s="6" t="inlineStr">
        <is>
          <t>current-ratio</t>
        </is>
      </c>
      <c r="C19" s="6" t="inlineStr">
        <is>
          <t>2016-10-30</t>
        </is>
      </c>
      <c r="D19" s="6" t="n"/>
      <c r="E19" s="6" t="inlineStr">
        <is>
          <t>multiple (x)</t>
        </is>
      </c>
      <c r="F19" s="6" t="inlineStr">
        <is>
          <t>not_available</t>
        </is>
      </c>
      <c r="G19" s="6" t="inlineStr">
        <is>
          <t>Current assets / Current liabilities</t>
        </is>
      </c>
      <c r="H19" s="6" t="inlineStr">
        <is>
          <t>current_assets, current_liabilities</t>
        </is>
      </c>
      <c r="I19" s="6" t="inlineStr">
        <is>
          <t>{"basis": "reported"}</t>
        </is>
      </c>
    </row>
    <row r="20" ht="42" customHeight="1">
      <c r="A20" s="2" t="inlineStr">
        <is>
          <t>tangible-book-value</t>
        </is>
      </c>
      <c r="B20" s="2" t="inlineStr">
        <is>
          <t>tangible-book-value</t>
        </is>
      </c>
      <c r="C20" s="2" t="inlineStr">
        <is>
          <t>2016-10-30</t>
        </is>
      </c>
      <c r="D20" s="3" t="n">
        <v>-2856000000</v>
      </c>
      <c r="E20" s="2" t="inlineStr">
        <is>
          <t>USD</t>
        </is>
      </c>
      <c r="F20" s="2" t="inlineStr">
        <is>
          <t>ok</t>
        </is>
      </c>
      <c r="G20" s="2" t="inlineStr">
        <is>
          <t>Equity − Preferred − Goodwill − Intangibles</t>
        </is>
      </c>
      <c r="H20" s="2" t="inlineStr"/>
      <c r="I20" s="2" t="inlineStr">
        <is>
          <t>{"basis": "reported"}</t>
        </is>
      </c>
    </row>
    <row r="21" ht="42" customHeight="1">
      <c r="A21" s="6" t="inlineStr">
        <is>
          <t>ncav</t>
        </is>
      </c>
      <c r="B21" s="6" t="inlineStr">
        <is>
          <t>ncav</t>
        </is>
      </c>
      <c r="C21" s="6" t="inlineStr">
        <is>
          <t>2016-10-30</t>
        </is>
      </c>
      <c r="D21" s="6" t="n"/>
      <c r="E21" s="6" t="inlineStr">
        <is>
          <t>USD</t>
        </is>
      </c>
      <c r="F21" s="6" t="inlineStr">
        <is>
          <t>not_available</t>
        </is>
      </c>
      <c r="G21" s="6" t="inlineStr">
        <is>
          <t>Current assets − Total liabilities − Preferred</t>
        </is>
      </c>
      <c r="H21" s="6" t="inlineStr">
        <is>
          <t>current_assets, total_liabilities</t>
        </is>
      </c>
      <c r="I21" s="6" t="inlineStr">
        <is>
          <t>{"basis": "reported"}</t>
        </is>
      </c>
    </row>
    <row r="22" ht="42" customHeight="1">
      <c r="A22" s="6" t="inlineStr">
        <is>
          <t>dilution</t>
        </is>
      </c>
      <c r="B22" s="6" t="inlineStr">
        <is>
          <t>dilution</t>
        </is>
      </c>
      <c r="C22" s="6" t="inlineStr">
        <is>
          <t>2016-10-30</t>
        </is>
      </c>
      <c r="D22" s="7" t="n"/>
      <c r="E22" s="6" t="inlineStr">
        <is>
          <t>ratio (decimal; displayed as %)</t>
        </is>
      </c>
      <c r="F22" s="6" t="inlineStr">
        <is>
          <t>not_available</t>
        </is>
      </c>
      <c r="G22" s="6" t="inlineStr">
        <is>
          <t>Diluted shares / Previous diluted shares − 1</t>
        </is>
      </c>
      <c r="H22" s="6" t="inlineStr">
        <is>
          <t>previous_shares</t>
        </is>
      </c>
      <c r="I22" s="6" t="inlineStr">
        <is>
          <t>{"basis": "reported"}</t>
        </is>
      </c>
    </row>
    <row r="23" ht="42" customHeight="1">
      <c r="A23" s="2" t="inlineStr">
        <is>
          <t>sbc-to-revenue</t>
        </is>
      </c>
      <c r="B23" s="2" t="inlineStr">
        <is>
          <t>dilution</t>
        </is>
      </c>
      <c r="C23" s="2" t="inlineStr">
        <is>
          <t>2016-10-30</t>
        </is>
      </c>
      <c r="D23" s="5" t="n">
        <v>0.05128398791540786</v>
      </c>
      <c r="E23" s="2" t="inlineStr">
        <is>
          <t>ratio (decimal; displayed as %)</t>
        </is>
      </c>
      <c r="F23" s="2" t="inlineStr">
        <is>
          <t>ok</t>
        </is>
      </c>
      <c r="G23" s="2" t="inlineStr">
        <is>
          <t>SBC / Revenue</t>
        </is>
      </c>
      <c r="H23" s="2" t="inlineStr"/>
      <c r="I23" s="2" t="inlineStr">
        <is>
          <t>{"basis": "reported"}</t>
        </is>
      </c>
    </row>
    <row r="24" ht="42" customHeight="1">
      <c r="A24" s="2" t="inlineStr">
        <is>
          <t>eps</t>
        </is>
      </c>
      <c r="B24" s="2" t="inlineStr">
        <is>
          <t>eps</t>
        </is>
      </c>
      <c r="C24" s="2" t="inlineStr">
        <is>
          <t>2016-10-30</t>
        </is>
      </c>
      <c r="D24" s="3" t="n">
        <v>-0.486</v>
      </c>
      <c r="E24" s="2" t="inlineStr">
        <is>
          <t>USD/share</t>
        </is>
      </c>
      <c r="F24" s="2" t="inlineStr">
        <is>
          <t>ok</t>
        </is>
      </c>
      <c r="G24" s="2" t="inlineStr">
        <is>
          <t>Reported diluted EPS</t>
        </is>
      </c>
      <c r="H24" s="2" t="inlineStr"/>
      <c r="I24" s="2" t="inlineStr">
        <is>
          <t>{"basis": "reported"}</t>
        </is>
      </c>
    </row>
    <row r="25" ht="42" customHeight="1">
      <c r="A25" s="6" t="inlineStr">
        <is>
          <t>debt-due-3y</t>
        </is>
      </c>
      <c r="B25" s="6" t="inlineStr">
        <is>
          <t>refinancing-risk</t>
        </is>
      </c>
      <c r="C25" s="6" t="inlineStr">
        <is>
          <t>2016-10-30</t>
        </is>
      </c>
      <c r="D25" s="6" t="n"/>
      <c r="E25" s="6" t="inlineStr">
        <is>
          <t>USD</t>
        </is>
      </c>
      <c r="F25" s="6" t="inlineStr">
        <is>
          <t>not_available</t>
        </is>
      </c>
      <c r="G25" s="6" t="inlineStr">
        <is>
          <t>Debt maturities in years 1 + 2 + 3</t>
        </is>
      </c>
      <c r="H25" s="6" t="inlineStr">
        <is>
          <t>maturity_y1, maturity_y2, maturity_y3</t>
        </is>
      </c>
      <c r="I25" s="6" t="inlineStr">
        <is>
          <t>{"basis": "reported"}</t>
        </is>
      </c>
    </row>
    <row r="26" ht="42" customHeight="1">
      <c r="A26" s="2" t="inlineStr">
        <is>
          <t>revenue-growth</t>
        </is>
      </c>
      <c r="B26" s="2" t="inlineStr">
        <is>
          <t>revenue</t>
        </is>
      </c>
      <c r="C26" s="2" t="inlineStr">
        <is>
          <t>2017-10-29</t>
        </is>
      </c>
      <c r="D26" s="5" t="n">
        <v>0.33202416918429</v>
      </c>
      <c r="E26" s="2" t="inlineStr">
        <is>
          <t>ratio (decimal; displayed as %)</t>
        </is>
      </c>
      <c r="F26" s="2" t="inlineStr">
        <is>
          <t>ok</t>
        </is>
      </c>
      <c r="G26" s="2" t="inlineStr">
        <is>
          <t>Revenue / Previous revenue − 1</t>
        </is>
      </c>
      <c r="H26" s="2" t="inlineStr"/>
      <c r="I26" s="2" t="inlineStr">
        <is>
          <t>{"basis": "reported"}</t>
        </is>
      </c>
    </row>
    <row r="27" ht="42" customHeight="1">
      <c r="A27" s="2" t="inlineStr">
        <is>
          <t>gross-margin</t>
        </is>
      </c>
      <c r="B27" s="2" t="inlineStr">
        <is>
          <t>gross-margin</t>
        </is>
      </c>
      <c r="C27" s="2" t="inlineStr">
        <is>
          <t>2017-10-29</t>
        </is>
      </c>
      <c r="D27" s="5" t="n">
        <v>0.4824790201859832</v>
      </c>
      <c r="E27" s="2" t="inlineStr">
        <is>
          <t>ratio (decimal; displayed as %)</t>
        </is>
      </c>
      <c r="F27" s="2" t="inlineStr">
        <is>
          <t>ok</t>
        </is>
      </c>
      <c r="G27" s="2" t="inlineStr">
        <is>
          <t>Gross profit / Revenue</t>
        </is>
      </c>
      <c r="H27" s="2" t="inlineStr"/>
      <c r="I27" s="2" t="inlineStr">
        <is>
          <t>{"basis": "reported"}</t>
        </is>
      </c>
    </row>
    <row r="28" ht="42" customHeight="1">
      <c r="A28" s="2" t="inlineStr">
        <is>
          <t>operating-margin</t>
        </is>
      </c>
      <c r="B28" s="2" t="inlineStr">
        <is>
          <t>operating-margin</t>
        </is>
      </c>
      <c r="C28" s="2" t="inlineStr">
        <is>
          <t>2017-10-29</t>
        </is>
      </c>
      <c r="D28" s="5" t="n">
        <v>0.1344409163075527</v>
      </c>
      <c r="E28" s="2" t="inlineStr">
        <is>
          <t>ratio (decimal; displayed as %)</t>
        </is>
      </c>
      <c r="F28" s="2" t="inlineStr">
        <is>
          <t>ok</t>
        </is>
      </c>
      <c r="G28" s="2" t="inlineStr">
        <is>
          <t>Operating income / Revenue</t>
        </is>
      </c>
      <c r="H28" s="2" t="inlineStr"/>
      <c r="I28" s="2" t="inlineStr">
        <is>
          <t>{"basis": "reported"}</t>
        </is>
      </c>
    </row>
    <row r="29" ht="42" customHeight="1">
      <c r="A29" s="2" t="inlineStr">
        <is>
          <t>net-margin</t>
        </is>
      </c>
      <c r="B29" s="2" t="inlineStr">
        <is>
          <t>net-margin</t>
        </is>
      </c>
      <c r="C29" s="2" t="inlineStr">
        <is>
          <t>2017-10-29</t>
        </is>
      </c>
      <c r="D29" s="5" t="n">
        <v>0.0959401224767521</v>
      </c>
      <c r="E29" s="2" t="inlineStr">
        <is>
          <t>ratio (decimal; displayed as %)</t>
        </is>
      </c>
      <c r="F29" s="2" t="inlineStr">
        <is>
          <t>ok</t>
        </is>
      </c>
      <c r="G29" s="2" t="inlineStr">
        <is>
          <t>Net income / Revenue</t>
        </is>
      </c>
      <c r="H29" s="2" t="inlineStr"/>
      <c r="I29" s="2" t="inlineStr">
        <is>
          <t>{"basis": "reported"}</t>
        </is>
      </c>
    </row>
    <row r="30" ht="42" customHeight="1">
      <c r="A30" s="2" t="inlineStr">
        <is>
          <t>fcf</t>
        </is>
      </c>
      <c r="B30" s="2" t="inlineStr">
        <is>
          <t>fcf</t>
        </is>
      </c>
      <c r="C30" s="2" t="inlineStr">
        <is>
          <t>2017-10-29</t>
        </is>
      </c>
      <c r="D30" s="3" t="n">
        <v>5482000000</v>
      </c>
      <c r="E30" s="2" t="inlineStr">
        <is>
          <t>USD</t>
        </is>
      </c>
      <c r="F30" s="2" t="inlineStr">
        <is>
          <t>ok</t>
        </is>
      </c>
      <c r="G30" s="2" t="inlineStr">
        <is>
          <t>OCF − CapEx</t>
        </is>
      </c>
      <c r="H30" s="2" t="inlineStr"/>
      <c r="I30" s="2" t="inlineStr">
        <is>
          <t>{"basis": "reported"}</t>
        </is>
      </c>
    </row>
    <row r="31" ht="42" customHeight="1">
      <c r="A31" s="2" t="inlineStr">
        <is>
          <t>fcf-margin</t>
        </is>
      </c>
      <c r="B31" s="2" t="inlineStr">
        <is>
          <t>fcf-margin</t>
        </is>
      </c>
      <c r="C31" s="2" t="inlineStr">
        <is>
          <t>2017-10-29</t>
        </is>
      </c>
      <c r="D31" s="5" t="n">
        <v>0.3108414606486732</v>
      </c>
      <c r="E31" s="2" t="inlineStr">
        <is>
          <t>ratio (decimal; displayed as %)</t>
        </is>
      </c>
      <c r="F31" s="2" t="inlineStr">
        <is>
          <t>ok</t>
        </is>
      </c>
      <c r="G31" s="2" t="inlineStr">
        <is>
          <t>(OCF − CapEx) / Revenue</t>
        </is>
      </c>
      <c r="H31" s="2" t="inlineStr"/>
      <c r="I31" s="2" t="inlineStr">
        <is>
          <t>{"basis": "reported"}</t>
        </is>
      </c>
    </row>
    <row r="32" ht="42" customHeight="1">
      <c r="A32" s="2" t="inlineStr">
        <is>
          <t>fcff</t>
        </is>
      </c>
      <c r="B32" s="2" t="inlineStr">
        <is>
          <t>fcff</t>
        </is>
      </c>
      <c r="C32" s="2" t="inlineStr">
        <is>
          <t>2017-10-29</t>
        </is>
      </c>
      <c r="D32" s="3" t="n">
        <v>5006293150.684932</v>
      </c>
      <c r="E32" s="2" t="inlineStr">
        <is>
          <t>USD</t>
        </is>
      </c>
      <c r="F32" s="2" t="inlineStr">
        <is>
          <t>ok</t>
        </is>
      </c>
      <c r="G32" s="2" t="inlineStr">
        <is>
          <t>OCF + Interest × (1 − Tax rate) − CapEx − SBC</t>
        </is>
      </c>
      <c r="H32" s="2" t="inlineStr"/>
      <c r="I32" s="2" t="inlineStr">
        <is>
          <t>{"basis": "reported"}</t>
        </is>
      </c>
    </row>
    <row r="33" ht="42" customHeight="1">
      <c r="A33" s="6" t="inlineStr">
        <is>
          <t>fcfe</t>
        </is>
      </c>
      <c r="B33" s="6" t="inlineStr">
        <is>
          <t>fcfe</t>
        </is>
      </c>
      <c r="C33" s="6" t="inlineStr">
        <is>
          <t>2017-10-29</t>
        </is>
      </c>
      <c r="D33" s="6" t="n"/>
      <c r="E33" s="6" t="inlineStr">
        <is>
          <t>USD</t>
        </is>
      </c>
      <c r="F33" s="6" t="inlineStr">
        <is>
          <t>not_available</t>
        </is>
      </c>
      <c r="G33" s="6" t="inlineStr">
        <is>
          <t>Net income + D&amp;A − CapEx − ΔOperating working capital + (Debt issued − Debt repaid)</t>
        </is>
      </c>
      <c r="H33" s="6" t="inlineStr">
        <is>
          <t>change_in_owc</t>
        </is>
      </c>
      <c r="I33" s="6" t="inlineStr">
        <is>
          <t>{"basis": "reported"}</t>
        </is>
      </c>
    </row>
    <row r="34" ht="42" customHeight="1">
      <c r="A34" s="6" t="inlineStr">
        <is>
          <t>owner-earnings</t>
        </is>
      </c>
      <c r="B34" s="6" t="inlineStr">
        <is>
          <t>owner-earnings</t>
        </is>
      </c>
      <c r="C34" s="6" t="inlineStr">
        <is>
          <t>2017-10-29</t>
        </is>
      </c>
      <c r="D34" s="6" t="n"/>
      <c r="E34" s="6" t="inlineStr">
        <is>
          <t>USD</t>
        </is>
      </c>
      <c r="F34" s="6" t="inlineStr">
        <is>
          <t>not_available</t>
        </is>
      </c>
      <c r="G34" s="6" t="inlineStr">
        <is>
          <t>Net income + D&amp;A − Maintenance CapEx (1 × D&amp;A) − ΔOperating working capital</t>
        </is>
      </c>
      <c r="H34" s="6" t="inlineStr">
        <is>
          <t>change_in_owc</t>
        </is>
      </c>
      <c r="I34" s="6" t="inlineStr">
        <is>
          <t>{"basis": "reported"}</t>
        </is>
      </c>
    </row>
    <row r="35" ht="42" customHeight="1">
      <c r="A35" s="2" t="inlineStr">
        <is>
          <t>earnings-quality</t>
        </is>
      </c>
      <c r="B35" s="2" t="inlineStr">
        <is>
          <t>earnings-quality</t>
        </is>
      </c>
      <c r="C35" s="2" t="inlineStr">
        <is>
          <t>2017-10-29</t>
        </is>
      </c>
      <c r="D35" s="3" t="n">
        <v>3.871749408983451</v>
      </c>
      <c r="E35" s="2" t="inlineStr">
        <is>
          <t>multiple (x)</t>
        </is>
      </c>
      <c r="F35" s="2" t="inlineStr">
        <is>
          <t>ok</t>
        </is>
      </c>
      <c r="G35" s="2" t="inlineStr">
        <is>
          <t>OCF / Net income (only when net income &gt; 0)</t>
        </is>
      </c>
      <c r="H35" s="2" t="inlineStr"/>
      <c r="I35" s="2" t="inlineStr">
        <is>
          <t>{"basis": "reported"}</t>
        </is>
      </c>
    </row>
    <row r="36" ht="42" customHeight="1">
      <c r="A36" s="2" t="inlineStr">
        <is>
          <t>ebitda</t>
        </is>
      </c>
      <c r="B36" s="2" t="inlineStr">
        <is>
          <t>ebitda</t>
        </is>
      </c>
      <c r="C36" s="2" t="inlineStr">
        <is>
          <t>2017-10-29</t>
        </is>
      </c>
      <c r="D36" s="3" t="n">
        <v>7108000000</v>
      </c>
      <c r="E36" s="2" t="inlineStr">
        <is>
          <t>USD</t>
        </is>
      </c>
      <c r="F36" s="2" t="inlineStr">
        <is>
          <t>ok</t>
        </is>
      </c>
      <c r="G36" s="2" t="inlineStr">
        <is>
          <t>Operating income + D&amp;A</t>
        </is>
      </c>
      <c r="H36" s="2" t="inlineStr"/>
      <c r="I36" s="2" t="inlineStr">
        <is>
          <t>{"basis": "reported"}</t>
        </is>
      </c>
    </row>
    <row r="37" ht="42" customHeight="1">
      <c r="A37" s="2" t="inlineStr">
        <is>
          <t>nopat</t>
        </is>
      </c>
      <c r="B37" s="2" t="inlineStr">
        <is>
          <t>nopat</t>
        </is>
      </c>
      <c r="C37" s="2" t="inlineStr">
        <is>
          <t>2017-10-29</t>
        </is>
      </c>
      <c r="D37" s="3" t="n">
        <v>2325528767.123288</v>
      </c>
      <c r="E37" s="2" t="inlineStr">
        <is>
          <t>USD</t>
        </is>
      </c>
      <c r="F37" s="2" t="inlineStr">
        <is>
          <t>ok</t>
        </is>
      </c>
      <c r="G37" s="2" t="inlineStr">
        <is>
          <t>Operating income × (1 − Tax rate)</t>
        </is>
      </c>
      <c r="H37" s="2" t="inlineStr"/>
      <c r="I37" s="2" t="inlineStr">
        <is>
          <t>{"basis": "reported"}</t>
        </is>
      </c>
    </row>
    <row r="38" ht="42" customHeight="1">
      <c r="A38" s="2" t="inlineStr">
        <is>
          <t>invested-capital</t>
        </is>
      </c>
      <c r="B38" s="2" t="inlineStr">
        <is>
          <t>invested-capital</t>
        </is>
      </c>
      <c r="C38" s="2" t="inlineStr">
        <is>
          <t>2017-10-29</t>
        </is>
      </c>
      <c r="D38" s="3" t="n">
        <v>26629000000</v>
      </c>
      <c r="E38" s="2" t="inlineStr">
        <is>
          <t>USD</t>
        </is>
      </c>
      <c r="F38" s="2" t="inlineStr">
        <is>
          <t>ok</t>
        </is>
      </c>
      <c r="G38" s="2" t="inlineStr">
        <is>
          <t>Equity + Debt − Cash</t>
        </is>
      </c>
      <c r="H38" s="2" t="inlineStr"/>
      <c r="I38" s="2" t="inlineStr">
        <is>
          <t>{"basis": "reported"}</t>
        </is>
      </c>
    </row>
    <row r="39" ht="42" customHeight="1">
      <c r="A39" s="2" t="inlineStr">
        <is>
          <t>roic</t>
        </is>
      </c>
      <c r="B39" s="2" t="inlineStr">
        <is>
          <t>roic</t>
        </is>
      </c>
      <c r="C39" s="2" t="inlineStr">
        <is>
          <t>2017-10-29</t>
        </is>
      </c>
      <c r="D39" s="5" t="n">
        <v>0.08733068335736556</v>
      </c>
      <c r="E39" s="2" t="inlineStr">
        <is>
          <t>ratio (decimal; displayed as %)</t>
        </is>
      </c>
      <c r="F39" s="2" t="inlineStr">
        <is>
          <t>ok</t>
        </is>
      </c>
      <c r="G39" s="2" t="inlineStr">
        <is>
          <t>NOPAT / Average invested capital (only when invested capital &gt; 0)</t>
        </is>
      </c>
      <c r="H39" s="2" t="inlineStr"/>
      <c r="I39" s="2" t="inlineStr">
        <is>
          <t>{"basis": "reported"}</t>
        </is>
      </c>
    </row>
    <row r="40" ht="42" customHeight="1">
      <c r="A40" s="2" t="inlineStr">
        <is>
          <t>net-debt</t>
        </is>
      </c>
      <c r="B40" s="2" t="inlineStr">
        <is>
          <t>net-debt</t>
        </is>
      </c>
      <c r="C40" s="2" t="inlineStr">
        <is>
          <t>2017-10-29</t>
        </is>
      </c>
      <c r="D40" s="3" t="n">
        <v>6344000000</v>
      </c>
      <c r="E40" s="2" t="inlineStr">
        <is>
          <t>USD</t>
        </is>
      </c>
      <c r="F40" s="2" t="inlineStr">
        <is>
          <t>ok</t>
        </is>
      </c>
      <c r="G40" s="2" t="inlineStr">
        <is>
          <t>Debt − Cash</t>
        </is>
      </c>
      <c r="H40" s="2" t="inlineStr"/>
      <c r="I40" s="2" t="inlineStr">
        <is>
          <t>{"basis": "reported"}</t>
        </is>
      </c>
    </row>
    <row r="41" ht="42" customHeight="1">
      <c r="A41" s="2" t="inlineStr">
        <is>
          <t>debt-ebitda</t>
        </is>
      </c>
      <c r="B41" s="2" t="inlineStr">
        <is>
          <t>debt-ebitda</t>
        </is>
      </c>
      <c r="C41" s="2" t="inlineStr">
        <is>
          <t>2017-10-29</t>
        </is>
      </c>
      <c r="D41" s="3" t="n">
        <v>2.468767585818796</v>
      </c>
      <c r="E41" s="2" t="inlineStr">
        <is>
          <t>multiple (x)</t>
        </is>
      </c>
      <c r="F41" s="2" t="inlineStr">
        <is>
          <t>ok</t>
        </is>
      </c>
      <c r="G41" s="2" t="inlineStr">
        <is>
          <t>Debt / EBITDA (only when EBITDA &gt; 0)</t>
        </is>
      </c>
      <c r="H41" s="2" t="inlineStr"/>
      <c r="I41" s="2" t="inlineStr">
        <is>
          <t>{"basis": "reported"}</t>
        </is>
      </c>
    </row>
    <row r="42" ht="42" customHeight="1">
      <c r="A42" s="2" t="inlineStr">
        <is>
          <t>interest-coverage</t>
        </is>
      </c>
      <c r="B42" s="2" t="inlineStr">
        <is>
          <t>interest-coverage</t>
        </is>
      </c>
      <c r="C42" s="2" t="inlineStr">
        <is>
          <t>2017-10-29</t>
        </is>
      </c>
      <c r="D42" s="3" t="n">
        <v>5.222466960352423</v>
      </c>
      <c r="E42" s="2" t="inlineStr">
        <is>
          <t>multiple (x)</t>
        </is>
      </c>
      <c r="F42" s="2" t="inlineStr">
        <is>
          <t>ok</t>
        </is>
      </c>
      <c r="G42" s="2" t="inlineStr">
        <is>
          <t>Operating income / Interest expense (only when interest &gt; 0)</t>
        </is>
      </c>
      <c r="H42" s="2" t="inlineStr"/>
      <c r="I42" s="2" t="inlineStr">
        <is>
          <t>{"basis": "reported"}</t>
        </is>
      </c>
    </row>
    <row r="43" ht="42" customHeight="1">
      <c r="A43" s="2" t="inlineStr">
        <is>
          <t>current-ratio</t>
        </is>
      </c>
      <c r="B43" s="2" t="inlineStr">
        <is>
          <t>current-ratio</t>
        </is>
      </c>
      <c r="C43" s="2" t="inlineStr">
        <is>
          <t>2017-10-29</t>
        </is>
      </c>
      <c r="D43" s="3" t="n">
        <v>6.256623171213919</v>
      </c>
      <c r="E43" s="2" t="inlineStr">
        <is>
          <t>multiple (x)</t>
        </is>
      </c>
      <c r="F43" s="2" t="inlineStr">
        <is>
          <t>ok</t>
        </is>
      </c>
      <c r="G43" s="2" t="inlineStr">
        <is>
          <t>Current assets / Current liabilities</t>
        </is>
      </c>
      <c r="H43" s="2" t="inlineStr"/>
      <c r="I43" s="2" t="inlineStr">
        <is>
          <t>{"basis": "reported"}</t>
        </is>
      </c>
    </row>
    <row r="44" ht="42" customHeight="1">
      <c r="A44" s="2" t="inlineStr">
        <is>
          <t>tangible-book-value</t>
        </is>
      </c>
      <c r="B44" s="2" t="inlineStr">
        <is>
          <t>tangible-book-value</t>
        </is>
      </c>
      <c r="C44" s="2" t="inlineStr">
        <is>
          <t>2017-10-29</t>
        </is>
      </c>
      <c r="D44" s="3" t="n">
        <v>-15253000000</v>
      </c>
      <c r="E44" s="2" t="inlineStr">
        <is>
          <t>USD</t>
        </is>
      </c>
      <c r="F44" s="2" t="inlineStr">
        <is>
          <t>ok</t>
        </is>
      </c>
      <c r="G44" s="2" t="inlineStr">
        <is>
          <t>Equity − Preferred − Goodwill − Intangibles</t>
        </is>
      </c>
      <c r="H44" s="2" t="inlineStr"/>
      <c r="I44" s="2" t="inlineStr">
        <is>
          <t>{"basis": "reported"}</t>
        </is>
      </c>
    </row>
    <row r="45" ht="42" customHeight="1">
      <c r="A45" s="2" t="inlineStr">
        <is>
          <t>ncav</t>
        </is>
      </c>
      <c r="B45" s="2" t="inlineStr">
        <is>
          <t>ncav</t>
        </is>
      </c>
      <c r="C45" s="2" t="inlineStr">
        <is>
          <t>2017-10-29</t>
        </is>
      </c>
      <c r="D45" s="3" t="n">
        <v>-15409000000</v>
      </c>
      <c r="E45" s="2" t="inlineStr">
        <is>
          <t>USD</t>
        </is>
      </c>
      <c r="F45" s="2" t="inlineStr">
        <is>
          <t>ok</t>
        </is>
      </c>
      <c r="G45" s="2" t="inlineStr">
        <is>
          <t>Current assets − Total liabilities − Preferred</t>
        </is>
      </c>
      <c r="H45" s="2" t="inlineStr"/>
      <c r="I45" s="2" t="inlineStr">
        <is>
          <t>{"basis": "reported"}</t>
        </is>
      </c>
    </row>
    <row r="46" ht="42" customHeight="1">
      <c r="A46" s="2" t="inlineStr">
        <is>
          <t>dilution</t>
        </is>
      </c>
      <c r="B46" s="2" t="inlineStr">
        <is>
          <t>dilution</t>
        </is>
      </c>
      <c r="C46" s="2" t="inlineStr">
        <is>
          <t>2017-10-29</t>
        </is>
      </c>
      <c r="D46" s="5" t="n">
        <v>0.09921671018276768</v>
      </c>
      <c r="E46" s="2" t="inlineStr">
        <is>
          <t>ratio (decimal; displayed as %)</t>
        </is>
      </c>
      <c r="F46" s="2" t="inlineStr">
        <is>
          <t>ok</t>
        </is>
      </c>
      <c r="G46" s="2" t="inlineStr">
        <is>
          <t>Diluted shares / Previous diluted shares − 1</t>
        </is>
      </c>
      <c r="H46" s="2" t="inlineStr"/>
      <c r="I46" s="2" t="inlineStr">
        <is>
          <t>{"basis": "reported"}</t>
        </is>
      </c>
    </row>
    <row r="47" ht="42" customHeight="1">
      <c r="A47" s="2" t="inlineStr">
        <is>
          <t>sbc-to-revenue</t>
        </is>
      </c>
      <c r="B47" s="2" t="inlineStr">
        <is>
          <t>dilution</t>
        </is>
      </c>
      <c r="C47" s="2" t="inlineStr">
        <is>
          <t>2017-10-29</t>
        </is>
      </c>
      <c r="D47" s="5" t="n">
        <v>0.05222272624177818</v>
      </c>
      <c r="E47" s="2" t="inlineStr">
        <is>
          <t>ratio (decimal; displayed as %)</t>
        </is>
      </c>
      <c r="F47" s="2" t="inlineStr">
        <is>
          <t>ok</t>
        </is>
      </c>
      <c r="G47" s="2" t="inlineStr">
        <is>
          <t>SBC / Revenue</t>
        </is>
      </c>
      <c r="H47" s="2" t="inlineStr"/>
      <c r="I47" s="2" t="inlineStr">
        <is>
          <t>{"basis": "reported"}</t>
        </is>
      </c>
    </row>
    <row r="48" ht="42" customHeight="1">
      <c r="A48" s="2" t="inlineStr">
        <is>
          <t>eps</t>
        </is>
      </c>
      <c r="B48" s="2" t="inlineStr">
        <is>
          <t>eps</t>
        </is>
      </c>
      <c r="C48" s="2" t="inlineStr">
        <is>
          <t>2017-10-29</t>
        </is>
      </c>
      <c r="D48" s="3" t="n">
        <v>0.402</v>
      </c>
      <c r="E48" s="2" t="inlineStr">
        <is>
          <t>USD/share</t>
        </is>
      </c>
      <c r="F48" s="2" t="inlineStr">
        <is>
          <t>ok</t>
        </is>
      </c>
      <c r="G48" s="2" t="inlineStr">
        <is>
          <t>Reported diluted EPS</t>
        </is>
      </c>
      <c r="H48" s="2" t="inlineStr"/>
      <c r="I48" s="2" t="inlineStr">
        <is>
          <t>{"basis": "reported"}</t>
        </is>
      </c>
    </row>
    <row r="49" ht="42" customHeight="1">
      <c r="A49" s="6" t="inlineStr">
        <is>
          <t>debt-due-3y</t>
        </is>
      </c>
      <c r="B49" s="6" t="inlineStr">
        <is>
          <t>refinancing-risk</t>
        </is>
      </c>
      <c r="C49" s="6" t="inlineStr">
        <is>
          <t>2017-10-29</t>
        </is>
      </c>
      <c r="D49" s="6" t="n"/>
      <c r="E49" s="6" t="inlineStr">
        <is>
          <t>USD</t>
        </is>
      </c>
      <c r="F49" s="6" t="inlineStr">
        <is>
          <t>not_available</t>
        </is>
      </c>
      <c r="G49" s="6" t="inlineStr">
        <is>
          <t>Debt maturities in years 1 + 2 + 3</t>
        </is>
      </c>
      <c r="H49" s="6" t="inlineStr">
        <is>
          <t>maturity_y1, maturity_y2, maturity_y3</t>
        </is>
      </c>
      <c r="I49" s="6" t="inlineStr">
        <is>
          <t>{"basis": "reported"}</t>
        </is>
      </c>
    </row>
    <row r="50" ht="42" customHeight="1">
      <c r="A50" s="2" t="inlineStr">
        <is>
          <t>revenue-growth</t>
        </is>
      </c>
      <c r="B50" s="2" t="inlineStr">
        <is>
          <t>revenue</t>
        </is>
      </c>
      <c r="C50" s="2" t="inlineStr">
        <is>
          <t>2018-11-04</t>
        </is>
      </c>
      <c r="D50" s="5" t="n">
        <v>0.159823174724085</v>
      </c>
      <c r="E50" s="2" t="inlineStr">
        <is>
          <t>ratio (decimal; displayed as %)</t>
        </is>
      </c>
      <c r="F50" s="2" t="inlineStr">
        <is>
          <t>ok</t>
        </is>
      </c>
      <c r="G50" s="2" t="inlineStr">
        <is>
          <t>Revenue / Previous revenue − 1 (annualized: 53-week year scaled to 364 days)</t>
        </is>
      </c>
      <c r="H50" s="2" t="inlineStr"/>
      <c r="I50" s="2" t="inlineStr">
        <is>
          <t>{"basis": "reported"}</t>
        </is>
      </c>
    </row>
    <row r="51" ht="42" customHeight="1">
      <c r="A51" s="2" t="inlineStr">
        <is>
          <t>gross-margin</t>
        </is>
      </c>
      <c r="B51" s="2" t="inlineStr">
        <is>
          <t>gross-margin</t>
        </is>
      </c>
      <c r="C51" s="2" t="inlineStr">
        <is>
          <t>2018-11-04</t>
        </is>
      </c>
      <c r="D51" s="5" t="n">
        <v>0.514821565617805</v>
      </c>
      <c r="E51" s="2" t="inlineStr">
        <is>
          <t>ratio (decimal; displayed as %)</t>
        </is>
      </c>
      <c r="F51" s="2" t="inlineStr">
        <is>
          <t>ok</t>
        </is>
      </c>
      <c r="G51" s="2" t="inlineStr">
        <is>
          <t>Gross profit / Revenue</t>
        </is>
      </c>
      <c r="H51" s="2" t="inlineStr"/>
      <c r="I51" s="2" t="inlineStr">
        <is>
          <t>{"basis": "reported"}</t>
        </is>
      </c>
    </row>
    <row r="52" ht="42" customHeight="1">
      <c r="A52" s="2" t="inlineStr">
        <is>
          <t>operating-margin</t>
        </is>
      </c>
      <c r="B52" s="2" t="inlineStr">
        <is>
          <t>operating-margin</t>
        </is>
      </c>
      <c r="C52" s="2" t="inlineStr">
        <is>
          <t>2018-11-04</t>
        </is>
      </c>
      <c r="D52" s="5" t="n">
        <v>0.2463066001534919</v>
      </c>
      <c r="E52" s="2" t="inlineStr">
        <is>
          <t>ratio (decimal; displayed as %)</t>
        </is>
      </c>
      <c r="F52" s="2" t="inlineStr">
        <is>
          <t>ok</t>
        </is>
      </c>
      <c r="G52" s="2" t="inlineStr">
        <is>
          <t>Operating income / Revenue</t>
        </is>
      </c>
      <c r="H52" s="2" t="inlineStr"/>
      <c r="I52" s="2" t="inlineStr">
        <is>
          <t>{"basis": "reported"}</t>
        </is>
      </c>
    </row>
    <row r="53" ht="42" customHeight="1">
      <c r="A53" s="2" t="inlineStr">
        <is>
          <t>net-margin</t>
        </is>
      </c>
      <c r="B53" s="2" t="inlineStr">
        <is>
          <t>net-margin</t>
        </is>
      </c>
      <c r="C53" s="2" t="inlineStr">
        <is>
          <t>2018-11-04</t>
        </is>
      </c>
      <c r="D53" s="5" t="n">
        <v>0.5880180353031466</v>
      </c>
      <c r="E53" s="2" t="inlineStr">
        <is>
          <t>ratio (decimal; displayed as %)</t>
        </is>
      </c>
      <c r="F53" s="2" t="inlineStr">
        <is>
          <t>ok</t>
        </is>
      </c>
      <c r="G53" s="2" t="inlineStr">
        <is>
          <t>Net income / Revenue</t>
        </is>
      </c>
      <c r="H53" s="2" t="inlineStr"/>
      <c r="I53" s="2" t="inlineStr">
        <is>
          <t>{"basis": "reported"}</t>
        </is>
      </c>
    </row>
    <row r="54" ht="42" customHeight="1">
      <c r="A54" s="2" t="inlineStr">
        <is>
          <t>fcf</t>
        </is>
      </c>
      <c r="B54" s="2" t="inlineStr">
        <is>
          <t>fcf</t>
        </is>
      </c>
      <c r="C54" s="2" t="inlineStr">
        <is>
          <t>2018-11-04</t>
        </is>
      </c>
      <c r="D54" s="3" t="n">
        <v>8245000000</v>
      </c>
      <c r="E54" s="2" t="inlineStr">
        <is>
          <t>USD</t>
        </is>
      </c>
      <c r="F54" s="2" t="inlineStr">
        <is>
          <t>ok</t>
        </is>
      </c>
      <c r="G54" s="2" t="inlineStr">
        <is>
          <t>OCF − CapEx</t>
        </is>
      </c>
      <c r="H54" s="2" t="inlineStr"/>
      <c r="I54" s="2" t="inlineStr">
        <is>
          <t>{"basis": "reported"}</t>
        </is>
      </c>
    </row>
    <row r="55" ht="42" customHeight="1">
      <c r="A55" s="2" t="inlineStr">
        <is>
          <t>fcf-margin</t>
        </is>
      </c>
      <c r="B55" s="2" t="inlineStr">
        <is>
          <t>fcf-margin</t>
        </is>
      </c>
      <c r="C55" s="2" t="inlineStr">
        <is>
          <t>2018-11-04</t>
        </is>
      </c>
      <c r="D55" s="5" t="n">
        <v>0.3954815809669993</v>
      </c>
      <c r="E55" s="2" t="inlineStr">
        <is>
          <t>ratio (decimal; displayed as %)</t>
        </is>
      </c>
      <c r="F55" s="2" t="inlineStr">
        <is>
          <t>ok</t>
        </is>
      </c>
      <c r="G55" s="2" t="inlineStr">
        <is>
          <t>(OCF − CapEx) / Revenue</t>
        </is>
      </c>
      <c r="H55" s="2" t="inlineStr"/>
      <c r="I55" s="2" t="inlineStr">
        <is>
          <t>{"basis": "reported"}</t>
        </is>
      </c>
    </row>
    <row r="56" ht="42" customHeight="1">
      <c r="A56" s="2" t="inlineStr">
        <is>
          <t>fcff</t>
        </is>
      </c>
      <c r="B56" s="2" t="inlineStr">
        <is>
          <t>fcff</t>
        </is>
      </c>
      <c r="C56" s="2" t="inlineStr">
        <is>
          <t>2018-11-04</t>
        </is>
      </c>
      <c r="D56" s="3" t="n">
        <v>7646000000</v>
      </c>
      <c r="E56" s="2" t="inlineStr">
        <is>
          <t>USD</t>
        </is>
      </c>
      <c r="F56" s="2" t="inlineStr">
        <is>
          <t>ok</t>
        </is>
      </c>
      <c r="G56" s="2" t="inlineStr">
        <is>
          <t>OCF + Interest × (1 − Tax rate) − CapEx − SBC</t>
        </is>
      </c>
      <c r="H56" s="2" t="inlineStr"/>
      <c r="I56" s="2" t="inlineStr">
        <is>
          <t>{"basis": "reported"}</t>
        </is>
      </c>
    </row>
    <row r="57" ht="42" customHeight="1">
      <c r="A57" s="2" t="inlineStr">
        <is>
          <t>fcfe</t>
        </is>
      </c>
      <c r="B57" s="2" t="inlineStr">
        <is>
          <t>fcfe</t>
        </is>
      </c>
      <c r="C57" s="2" t="inlineStr">
        <is>
          <t>2018-11-04</t>
        </is>
      </c>
      <c r="D57" s="3" t="n">
        <v>13884000000</v>
      </c>
      <c r="E57" s="2" t="inlineStr">
        <is>
          <t>USD</t>
        </is>
      </c>
      <c r="F57" s="2" t="inlineStr">
        <is>
          <t>ok</t>
        </is>
      </c>
      <c r="G57" s="2" t="inlineStr">
        <is>
          <t>Net income + D&amp;A − CapEx − ΔOperating working capital + (Debt issued − Debt repaid)</t>
        </is>
      </c>
      <c r="H57" s="2" t="inlineStr"/>
      <c r="I57" s="2" t="inlineStr">
        <is>
          <t>{"basis": "reported"}</t>
        </is>
      </c>
    </row>
    <row r="58" ht="42" customHeight="1">
      <c r="A58" s="2" t="inlineStr">
        <is>
          <t>owner-earnings</t>
        </is>
      </c>
      <c r="B58" s="2" t="inlineStr">
        <is>
          <t>owner-earnings</t>
        </is>
      </c>
      <c r="C58" s="2" t="inlineStr">
        <is>
          <t>2018-11-04</t>
        </is>
      </c>
      <c r="D58" s="3" t="n">
        <v>11411000000</v>
      </c>
      <c r="E58" s="2" t="inlineStr">
        <is>
          <t>USD</t>
        </is>
      </c>
      <c r="F58" s="2" t="inlineStr">
        <is>
          <t>ok</t>
        </is>
      </c>
      <c r="G58" s="2" t="inlineStr">
        <is>
          <t>Net income + D&amp;A − Maintenance CapEx (1 × D&amp;A) − ΔOperating working capital</t>
        </is>
      </c>
      <c r="H58" s="2" t="inlineStr"/>
      <c r="I58" s="2" t="inlineStr">
        <is>
          <t>{"basis": "reported"}</t>
        </is>
      </c>
    </row>
    <row r="59" ht="42" customHeight="1">
      <c r="A59" s="2" t="inlineStr">
        <is>
          <t>earnings-quality</t>
        </is>
      </c>
      <c r="B59" s="2" t="inlineStr">
        <is>
          <t>earnings-quality</t>
        </is>
      </c>
      <c r="C59" s="2" t="inlineStr">
        <is>
          <t>2018-11-04</t>
        </is>
      </c>
      <c r="D59" s="3" t="n">
        <v>0.7243657720858145</v>
      </c>
      <c r="E59" s="2" t="inlineStr">
        <is>
          <t>multiple (x)</t>
        </is>
      </c>
      <c r="F59" s="2" t="inlineStr">
        <is>
          <t>ok</t>
        </is>
      </c>
      <c r="G59" s="2" t="inlineStr">
        <is>
          <t>OCF / Net income (only when net income &gt; 0)</t>
        </is>
      </c>
      <c r="H59" s="2" t="inlineStr"/>
      <c r="I59" s="2" t="inlineStr">
        <is>
          <t>{"basis": "reported"}</t>
        </is>
      </c>
    </row>
    <row r="60" ht="42" customHeight="1">
      <c r="A60" s="2" t="inlineStr">
        <is>
          <t>ebitda</t>
        </is>
      </c>
      <c r="B60" s="2" t="inlineStr">
        <is>
          <t>ebitda</t>
        </is>
      </c>
      <c r="C60" s="2" t="inlineStr">
        <is>
          <t>2018-11-04</t>
        </is>
      </c>
      <c r="D60" s="3" t="n">
        <v>9216000000</v>
      </c>
      <c r="E60" s="2" t="inlineStr">
        <is>
          <t>USD</t>
        </is>
      </c>
      <c r="F60" s="2" t="inlineStr">
        <is>
          <t>ok</t>
        </is>
      </c>
      <c r="G60" s="2" t="inlineStr">
        <is>
          <t>Operating income + D&amp;A</t>
        </is>
      </c>
      <c r="H60" s="2" t="inlineStr"/>
      <c r="I60" s="2" t="inlineStr">
        <is>
          <t>{"basis": "reported"}</t>
        </is>
      </c>
    </row>
    <row r="61" ht="42" customHeight="1">
      <c r="A61" s="2" t="inlineStr">
        <is>
          <t>nopat</t>
        </is>
      </c>
      <c r="B61" s="2" t="inlineStr">
        <is>
          <t>nopat</t>
        </is>
      </c>
      <c r="C61" s="2" t="inlineStr">
        <is>
          <t>2018-11-04</t>
        </is>
      </c>
      <c r="D61" s="3" t="n">
        <v>5135000000</v>
      </c>
      <c r="E61" s="2" t="inlineStr">
        <is>
          <t>USD</t>
        </is>
      </c>
      <c r="F61" s="2" t="inlineStr">
        <is>
          <t>ok</t>
        </is>
      </c>
      <c r="G61" s="2" t="inlineStr">
        <is>
          <t>Operating income × (1 − Tax rate)</t>
        </is>
      </c>
      <c r="H61" s="2" t="inlineStr"/>
      <c r="I61" s="2" t="inlineStr">
        <is>
          <t>{"basis": "reported"}</t>
        </is>
      </c>
    </row>
    <row r="62" ht="42" customHeight="1">
      <c r="A62" s="2" t="inlineStr">
        <is>
          <t>invested-capital</t>
        </is>
      </c>
      <c r="B62" s="2" t="inlineStr">
        <is>
          <t>invested-capital</t>
        </is>
      </c>
      <c r="C62" s="2" t="inlineStr">
        <is>
          <t>2018-11-04</t>
        </is>
      </c>
      <c r="D62" s="3" t="n">
        <v>39858000000</v>
      </c>
      <c r="E62" s="2" t="inlineStr">
        <is>
          <t>USD</t>
        </is>
      </c>
      <c r="F62" s="2" t="inlineStr">
        <is>
          <t>ok</t>
        </is>
      </c>
      <c r="G62" s="2" t="inlineStr">
        <is>
          <t>Equity + Debt − Cash</t>
        </is>
      </c>
      <c r="H62" s="2" t="inlineStr"/>
      <c r="I62" s="2" t="inlineStr">
        <is>
          <t>{"basis": "reported"}</t>
        </is>
      </c>
    </row>
    <row r="63" ht="42" customHeight="1">
      <c r="A63" s="2" t="inlineStr">
        <is>
          <t>roic</t>
        </is>
      </c>
      <c r="B63" s="2" t="inlineStr">
        <is>
          <t>roic</t>
        </is>
      </c>
      <c r="C63" s="2" t="inlineStr">
        <is>
          <t>2018-11-04</t>
        </is>
      </c>
      <c r="D63" s="5" t="n">
        <v>0.1544662866425015</v>
      </c>
      <c r="E63" s="2" t="inlineStr">
        <is>
          <t>ratio (decimal; displayed as %)</t>
        </is>
      </c>
      <c r="F63" s="2" t="inlineStr">
        <is>
          <t>ok</t>
        </is>
      </c>
      <c r="G63" s="2" t="inlineStr">
        <is>
          <t>NOPAT / Average invested capital (only when invested capital &gt; 0)</t>
        </is>
      </c>
      <c r="H63" s="2" t="inlineStr"/>
      <c r="I63" s="2" t="inlineStr">
        <is>
          <t>{"basis": "reported"}</t>
        </is>
      </c>
    </row>
    <row r="64" ht="42" customHeight="1">
      <c r="A64" s="2" t="inlineStr">
        <is>
          <t>net-debt</t>
        </is>
      </c>
      <c r="B64" s="2" t="inlineStr">
        <is>
          <t>net-debt</t>
        </is>
      </c>
      <c r="C64" s="2" t="inlineStr">
        <is>
          <t>2018-11-04</t>
        </is>
      </c>
      <c r="D64" s="3" t="n">
        <v>13201000000</v>
      </c>
      <c r="E64" s="2" t="inlineStr">
        <is>
          <t>USD</t>
        </is>
      </c>
      <c r="F64" s="2" t="inlineStr">
        <is>
          <t>ok</t>
        </is>
      </c>
      <c r="G64" s="2" t="inlineStr">
        <is>
          <t>Debt − Cash</t>
        </is>
      </c>
      <c r="H64" s="2" t="inlineStr"/>
      <c r="I64" s="2" t="inlineStr">
        <is>
          <t>{"basis": "reported"}</t>
        </is>
      </c>
    </row>
    <row r="65" ht="42" customHeight="1">
      <c r="A65" s="2" t="inlineStr">
        <is>
          <t>debt-ebitda</t>
        </is>
      </c>
      <c r="B65" s="2" t="inlineStr">
        <is>
          <t>debt-ebitda</t>
        </is>
      </c>
      <c r="C65" s="2" t="inlineStr">
        <is>
          <t>2018-11-04</t>
        </is>
      </c>
      <c r="D65" s="3" t="n">
        <v>1.898111979166667</v>
      </c>
      <c r="E65" s="2" t="inlineStr">
        <is>
          <t>multiple (x)</t>
        </is>
      </c>
      <c r="F65" s="2" t="inlineStr">
        <is>
          <t>ok</t>
        </is>
      </c>
      <c r="G65" s="2" t="inlineStr">
        <is>
          <t>Debt / EBITDA (only when EBITDA &gt; 0)</t>
        </is>
      </c>
      <c r="H65" s="2" t="inlineStr"/>
      <c r="I65" s="2" t="inlineStr">
        <is>
          <t>{"basis": "reported"}</t>
        </is>
      </c>
    </row>
    <row r="66" ht="42" customHeight="1">
      <c r="A66" s="2" t="inlineStr">
        <is>
          <t>interest-coverage</t>
        </is>
      </c>
      <c r="B66" s="2" t="inlineStr">
        <is>
          <t>interest-coverage</t>
        </is>
      </c>
      <c r="C66" s="2" t="inlineStr">
        <is>
          <t>2018-11-04</t>
        </is>
      </c>
      <c r="D66" s="3" t="n">
        <v>8.176751592356688</v>
      </c>
      <c r="E66" s="2" t="inlineStr">
        <is>
          <t>multiple (x)</t>
        </is>
      </c>
      <c r="F66" s="2" t="inlineStr">
        <is>
          <t>ok</t>
        </is>
      </c>
      <c r="G66" s="2" t="inlineStr">
        <is>
          <t>Operating income / Interest expense (only when interest &gt; 0)</t>
        </is>
      </c>
      <c r="H66" s="2" t="inlineStr"/>
      <c r="I66" s="2" t="inlineStr">
        <is>
          <t>{"basis": "reported"}</t>
        </is>
      </c>
    </row>
    <row r="67" ht="42" customHeight="1">
      <c r="A67" s="2" t="inlineStr">
        <is>
          <t>current-ratio</t>
        </is>
      </c>
      <c r="B67" s="2" t="inlineStr">
        <is>
          <t>current-ratio</t>
        </is>
      </c>
      <c r="C67" s="2" t="inlineStr">
        <is>
          <t>2018-11-04</t>
        </is>
      </c>
      <c r="D67" s="3" t="n">
        <v>3.895209580838323</v>
      </c>
      <c r="E67" s="2" t="inlineStr">
        <is>
          <t>multiple (x)</t>
        </is>
      </c>
      <c r="F67" s="2" t="inlineStr">
        <is>
          <t>ok</t>
        </is>
      </c>
      <c r="G67" s="2" t="inlineStr">
        <is>
          <t>Current assets / Current liabilities</t>
        </is>
      </c>
      <c r="H67" s="2" t="inlineStr"/>
      <c r="I67" s="2" t="inlineStr">
        <is>
          <t>{"basis": "reported"}</t>
        </is>
      </c>
    </row>
    <row r="68" ht="42" customHeight="1">
      <c r="A68" s="2" t="inlineStr">
        <is>
          <t>tangible-book-value</t>
        </is>
      </c>
      <c r="B68" s="2" t="inlineStr">
        <is>
          <t>tangible-book-value</t>
        </is>
      </c>
      <c r="C68" s="2" t="inlineStr">
        <is>
          <t>2018-11-04</t>
        </is>
      </c>
      <c r="D68" s="3" t="n">
        <v>-11018000000</v>
      </c>
      <c r="E68" s="2" t="inlineStr">
        <is>
          <t>USD</t>
        </is>
      </c>
      <c r="F68" s="2" t="inlineStr">
        <is>
          <t>ok</t>
        </is>
      </c>
      <c r="G68" s="2" t="inlineStr">
        <is>
          <t>Equity − Preferred − Goodwill − Intangibles</t>
        </is>
      </c>
      <c r="H68" s="2" t="inlineStr"/>
      <c r="I68" s="2" t="inlineStr">
        <is>
          <t>{"basis": "reported"}</t>
        </is>
      </c>
    </row>
    <row r="69" ht="42" customHeight="1">
      <c r="A69" s="2" t="inlineStr">
        <is>
          <t>ncav</t>
        </is>
      </c>
      <c r="B69" s="2" t="inlineStr">
        <is>
          <t>ncav</t>
        </is>
      </c>
      <c r="C69" s="2" t="inlineStr">
        <is>
          <t>2018-11-04</t>
        </is>
      </c>
      <c r="D69" s="3" t="n">
        <v>-14360000000</v>
      </c>
      <c r="E69" s="2" t="inlineStr">
        <is>
          <t>USD</t>
        </is>
      </c>
      <c r="F69" s="2" t="inlineStr">
        <is>
          <t>ok</t>
        </is>
      </c>
      <c r="G69" s="2" t="inlineStr">
        <is>
          <t>Current assets − Total liabilities − Preferred</t>
        </is>
      </c>
      <c r="H69" s="2" t="inlineStr"/>
      <c r="I69" s="2" t="inlineStr">
        <is>
          <t>{"basis": "reported"}</t>
        </is>
      </c>
    </row>
    <row r="70" ht="42" customHeight="1">
      <c r="A70" s="2" t="inlineStr">
        <is>
          <t>dilution</t>
        </is>
      </c>
      <c r="B70" s="2" t="inlineStr">
        <is>
          <t>dilution</t>
        </is>
      </c>
      <c r="C70" s="2" t="inlineStr">
        <is>
          <t>2018-11-04</t>
        </is>
      </c>
      <c r="D70" s="5" t="n">
        <v>0.02375296912114022</v>
      </c>
      <c r="E70" s="2" t="inlineStr">
        <is>
          <t>ratio (decimal; displayed as %)</t>
        </is>
      </c>
      <c r="F70" s="2" t="inlineStr">
        <is>
          <t>ok</t>
        </is>
      </c>
      <c r="G70" s="2" t="inlineStr">
        <is>
          <t>Diluted shares / Previous diluted shares − 1</t>
        </is>
      </c>
      <c r="H70" s="2" t="inlineStr"/>
      <c r="I70" s="2" t="inlineStr">
        <is>
          <t>{"basis": "reported"}</t>
        </is>
      </c>
    </row>
    <row r="71" ht="42" customHeight="1">
      <c r="A71" s="2" t="inlineStr">
        <is>
          <t>sbc-to-revenue</t>
        </is>
      </c>
      <c r="B71" s="2" t="inlineStr">
        <is>
          <t>dilution</t>
        </is>
      </c>
      <c r="C71" s="2" t="inlineStr">
        <is>
          <t>2018-11-04</t>
        </is>
      </c>
      <c r="D71" s="5" t="n">
        <v>0.05885456638526478</v>
      </c>
      <c r="E71" s="2" t="inlineStr">
        <is>
          <t>ratio (decimal; displayed as %)</t>
        </is>
      </c>
      <c r="F71" s="2" t="inlineStr">
        <is>
          <t>ok</t>
        </is>
      </c>
      <c r="G71" s="2" t="inlineStr">
        <is>
          <t>SBC / Revenue</t>
        </is>
      </c>
      <c r="H71" s="2" t="inlineStr"/>
      <c r="I71" s="2" t="inlineStr">
        <is>
          <t>{"basis": "reported"}</t>
        </is>
      </c>
    </row>
    <row r="72" ht="42" customHeight="1">
      <c r="A72" s="2" t="inlineStr">
        <is>
          <t>eps</t>
        </is>
      </c>
      <c r="B72" s="2" t="inlineStr">
        <is>
          <t>eps</t>
        </is>
      </c>
      <c r="C72" s="2" t="inlineStr">
        <is>
          <t>2018-11-04</t>
        </is>
      </c>
      <c r="D72" s="3" t="n">
        <v>2.844</v>
      </c>
      <c r="E72" s="2" t="inlineStr">
        <is>
          <t>USD/share</t>
        </is>
      </c>
      <c r="F72" s="2" t="inlineStr">
        <is>
          <t>ok</t>
        </is>
      </c>
      <c r="G72" s="2" t="inlineStr">
        <is>
          <t>Reported diluted EPS</t>
        </is>
      </c>
      <c r="H72" s="2" t="inlineStr"/>
      <c r="I72" s="2" t="inlineStr">
        <is>
          <t>{"basis": "reported"}</t>
        </is>
      </c>
    </row>
    <row r="73" ht="42" customHeight="1">
      <c r="A73" s="2" t="inlineStr">
        <is>
          <t>debt-due-3y</t>
        </is>
      </c>
      <c r="B73" s="2" t="inlineStr">
        <is>
          <t>refinancing-risk</t>
        </is>
      </c>
      <c r="C73" s="2" t="inlineStr">
        <is>
          <t>2018-11-04</t>
        </is>
      </c>
      <c r="D73" s="3" t="n">
        <v>3537000000</v>
      </c>
      <c r="E73" s="2" t="inlineStr">
        <is>
          <t>USD</t>
        </is>
      </c>
      <c r="F73" s="2" t="inlineStr">
        <is>
          <t>ok</t>
        </is>
      </c>
      <c r="G73" s="2" t="inlineStr">
        <is>
          <t>Debt maturities in years 1 + 2 + 3</t>
        </is>
      </c>
      <c r="H73" s="2" t="inlineStr"/>
      <c r="I73" s="2" t="inlineStr">
        <is>
          <t>{"basis": "reported"}</t>
        </is>
      </c>
    </row>
    <row r="74" ht="42" customHeight="1">
      <c r="A74" s="2" t="inlineStr">
        <is>
          <t>revenue-growth</t>
        </is>
      </c>
      <c r="B74" s="2" t="inlineStr">
        <is>
          <t>revenue</t>
        </is>
      </c>
      <c r="C74" s="2" t="inlineStr">
        <is>
          <t>2019-11-03</t>
        </is>
      </c>
      <c r="D74" s="5" t="n">
        <v>0.1047370343585807</v>
      </c>
      <c r="E74" s="2" t="inlineStr">
        <is>
          <t>ratio (decimal; displayed as %)</t>
        </is>
      </c>
      <c r="F74" s="2" t="inlineStr">
        <is>
          <t>ok</t>
        </is>
      </c>
      <c r="G74" s="2" t="inlineStr">
        <is>
          <t>Revenue / Previous revenue − 1 (annualized: 53-week year scaled to 364 days)</t>
        </is>
      </c>
      <c r="H74" s="2" t="inlineStr"/>
      <c r="I74" s="2" t="inlineStr">
        <is>
          <t>{"basis": "reported"}</t>
        </is>
      </c>
    </row>
    <row r="75" ht="42" customHeight="1">
      <c r="A75" s="2" t="inlineStr">
        <is>
          <t>gross-margin</t>
        </is>
      </c>
      <c r="B75" s="2" t="inlineStr">
        <is>
          <t>gross-margin</t>
        </is>
      </c>
      <c r="C75" s="2" t="inlineStr">
        <is>
          <t>2019-11-03</t>
        </is>
      </c>
      <c r="D75" s="5" t="n">
        <v>0.5524184626277825</v>
      </c>
      <c r="E75" s="2" t="inlineStr">
        <is>
          <t>ratio (decimal; displayed as %)</t>
        </is>
      </c>
      <c r="F75" s="2" t="inlineStr">
        <is>
          <t>ok</t>
        </is>
      </c>
      <c r="G75" s="2" t="inlineStr">
        <is>
          <t>Gross profit / Revenue</t>
        </is>
      </c>
      <c r="H75" s="2" t="inlineStr"/>
      <c r="I75" s="2" t="inlineStr">
        <is>
          <t>{"basis": "reported"}</t>
        </is>
      </c>
    </row>
    <row r="76" ht="42" customHeight="1">
      <c r="A76" s="2" t="inlineStr">
        <is>
          <t>operating-margin</t>
        </is>
      </c>
      <c r="B76" s="2" t="inlineStr">
        <is>
          <t>operating-margin</t>
        </is>
      </c>
      <c r="C76" s="2" t="inlineStr">
        <is>
          <t>2019-11-03</t>
        </is>
      </c>
      <c r="D76" s="5" t="n">
        <v>0.1524096118953844</v>
      </c>
      <c r="E76" s="2" t="inlineStr">
        <is>
          <t>ratio (decimal; displayed as %)</t>
        </is>
      </c>
      <c r="F76" s="2" t="inlineStr">
        <is>
          <t>ok</t>
        </is>
      </c>
      <c r="G76" s="2" t="inlineStr">
        <is>
          <t>Operating income / Revenue</t>
        </is>
      </c>
      <c r="H76" s="2" t="inlineStr"/>
      <c r="I76" s="2" t="inlineStr">
        <is>
          <t>{"basis": "reported"}</t>
        </is>
      </c>
    </row>
    <row r="77" ht="42" customHeight="1">
      <c r="A77" s="2" t="inlineStr">
        <is>
          <t>net-margin</t>
        </is>
      </c>
      <c r="B77" s="2" t="inlineStr">
        <is>
          <t>net-margin</t>
        </is>
      </c>
      <c r="C77" s="2" t="inlineStr">
        <is>
          <t>2019-11-03</t>
        </is>
      </c>
      <c r="D77" s="5" t="n">
        <v>0.1205469752622029</v>
      </c>
      <c r="E77" s="2" t="inlineStr">
        <is>
          <t>ratio (decimal; displayed as %)</t>
        </is>
      </c>
      <c r="F77" s="2" t="inlineStr">
        <is>
          <t>ok</t>
        </is>
      </c>
      <c r="G77" s="2" t="inlineStr">
        <is>
          <t>Net income / Revenue</t>
        </is>
      </c>
      <c r="H77" s="2" t="inlineStr"/>
      <c r="I77" s="2" t="inlineStr">
        <is>
          <t>{"basis": "reported"}</t>
        </is>
      </c>
    </row>
    <row r="78" ht="42" customHeight="1">
      <c r="A78" s="2" t="inlineStr">
        <is>
          <t>fcf</t>
        </is>
      </c>
      <c r="B78" s="2" t="inlineStr">
        <is>
          <t>fcf</t>
        </is>
      </c>
      <c r="C78" s="2" t="inlineStr">
        <is>
          <t>2019-11-03</t>
        </is>
      </c>
      <c r="D78" s="3" t="n">
        <v>9265000000</v>
      </c>
      <c r="E78" s="2" t="inlineStr">
        <is>
          <t>USD</t>
        </is>
      </c>
      <c r="F78" s="2" t="inlineStr">
        <is>
          <t>ok</t>
        </is>
      </c>
      <c r="G78" s="2" t="inlineStr">
        <is>
          <t>OCF − CapEx</t>
        </is>
      </c>
      <c r="H78" s="2" t="inlineStr"/>
      <c r="I78" s="2" t="inlineStr">
        <is>
          <t>{"basis": "reported"}</t>
        </is>
      </c>
    </row>
    <row r="79" ht="42" customHeight="1">
      <c r="A79" s="2" t="inlineStr">
        <is>
          <t>fcf-margin</t>
        </is>
      </c>
      <c r="B79" s="2" t="inlineStr">
        <is>
          <t>fcf-margin</t>
        </is>
      </c>
      <c r="C79" s="2" t="inlineStr">
        <is>
          <t>2019-11-03</t>
        </is>
      </c>
      <c r="D79" s="5" t="n">
        <v>0.4100101783422578</v>
      </c>
      <c r="E79" s="2" t="inlineStr">
        <is>
          <t>ratio (decimal; displayed as %)</t>
        </is>
      </c>
      <c r="F79" s="2" t="inlineStr">
        <is>
          <t>ok</t>
        </is>
      </c>
      <c r="G79" s="2" t="inlineStr">
        <is>
          <t>(OCF − CapEx) / Revenue</t>
        </is>
      </c>
      <c r="H79" s="2" t="inlineStr"/>
      <c r="I79" s="2" t="inlineStr">
        <is>
          <t>{"basis": "reported"}</t>
        </is>
      </c>
    </row>
    <row r="80" ht="42" customHeight="1">
      <c r="A80" s="2" t="inlineStr">
        <is>
          <t>fcff</t>
        </is>
      </c>
      <c r="B80" s="2" t="inlineStr">
        <is>
          <t>fcff</t>
        </is>
      </c>
      <c r="C80" s="2" t="inlineStr">
        <is>
          <t>2019-11-03</t>
        </is>
      </c>
      <c r="D80" s="3" t="n">
        <v>8524000000</v>
      </c>
      <c r="E80" s="2" t="inlineStr">
        <is>
          <t>USD</t>
        </is>
      </c>
      <c r="F80" s="2" t="inlineStr">
        <is>
          <t>ok</t>
        </is>
      </c>
      <c r="G80" s="2" t="inlineStr">
        <is>
          <t>OCF + Interest × (1 − Tax rate) − CapEx − SBC</t>
        </is>
      </c>
      <c r="H80" s="2" t="inlineStr"/>
      <c r="I80" s="2" t="inlineStr">
        <is>
          <t>{"basis": "reported"}</t>
        </is>
      </c>
    </row>
    <row r="81" ht="42" customHeight="1">
      <c r="A81" s="2" t="inlineStr">
        <is>
          <t>fcfe</t>
        </is>
      </c>
      <c r="B81" s="2" t="inlineStr">
        <is>
          <t>fcfe</t>
        </is>
      </c>
      <c r="C81" s="2" t="inlineStr">
        <is>
          <t>2019-11-03</t>
        </is>
      </c>
      <c r="D81" s="3" t="n">
        <v>20453000000</v>
      </c>
      <c r="E81" s="2" t="inlineStr">
        <is>
          <t>USD</t>
        </is>
      </c>
      <c r="F81" s="2" t="inlineStr">
        <is>
          <t>ok</t>
        </is>
      </c>
      <c r="G81" s="2" t="inlineStr">
        <is>
          <t>Net income + D&amp;A − CapEx − ΔOperating working capital + (Debt issued − Debt repaid)</t>
        </is>
      </c>
      <c r="H81" s="2" t="inlineStr"/>
      <c r="I81" s="2" t="inlineStr">
        <is>
          <t>{"basis": "reported"}</t>
        </is>
      </c>
    </row>
    <row r="82" ht="42" customHeight="1">
      <c r="A82" s="2" t="inlineStr">
        <is>
          <t>owner-earnings</t>
        </is>
      </c>
      <c r="B82" s="2" t="inlineStr">
        <is>
          <t>owner-earnings</t>
        </is>
      </c>
      <c r="C82" s="2" t="inlineStr">
        <is>
          <t>2019-11-03</t>
        </is>
      </c>
      <c r="D82" s="3" t="n">
        <v>3084000000</v>
      </c>
      <c r="E82" s="2" t="inlineStr">
        <is>
          <t>USD</t>
        </is>
      </c>
      <c r="F82" s="2" t="inlineStr">
        <is>
          <t>ok</t>
        </is>
      </c>
      <c r="G82" s="2" t="inlineStr">
        <is>
          <t>Net income + D&amp;A − Maintenance CapEx (1 × D&amp;A) − ΔOperating working capital</t>
        </is>
      </c>
      <c r="H82" s="2" t="inlineStr"/>
      <c r="I82" s="2" t="inlineStr">
        <is>
          <t>{"basis": "reported"}</t>
        </is>
      </c>
    </row>
    <row r="83" ht="42" customHeight="1">
      <c r="A83" s="2" t="inlineStr">
        <is>
          <t>earnings-quality</t>
        </is>
      </c>
      <c r="B83" s="2" t="inlineStr">
        <is>
          <t>earnings-quality</t>
        </is>
      </c>
      <c r="C83" s="2" t="inlineStr">
        <is>
          <t>2019-11-03</t>
        </is>
      </c>
      <c r="D83" s="3" t="n">
        <v>3.559838472834068</v>
      </c>
      <c r="E83" s="2" t="inlineStr">
        <is>
          <t>multiple (x)</t>
        </is>
      </c>
      <c r="F83" s="2" t="inlineStr">
        <is>
          <t>ok</t>
        </is>
      </c>
      <c r="G83" s="2" t="inlineStr">
        <is>
          <t>OCF / Net income (only when net income &gt; 0)</t>
        </is>
      </c>
      <c r="H83" s="2" t="inlineStr"/>
      <c r="I83" s="2" t="inlineStr">
        <is>
          <t>{"basis": "reported"}</t>
        </is>
      </c>
    </row>
    <row r="84" ht="42" customHeight="1">
      <c r="A84" s="2" t="inlineStr">
        <is>
          <t>ebitda</t>
        </is>
      </c>
      <c r="B84" s="2" t="inlineStr">
        <is>
          <t>ebitda</t>
        </is>
      </c>
      <c r="C84" s="2" t="inlineStr">
        <is>
          <t>2019-11-03</t>
        </is>
      </c>
      <c r="D84" s="3" t="n">
        <v>9252000000</v>
      </c>
      <c r="E84" s="2" t="inlineStr">
        <is>
          <t>USD</t>
        </is>
      </c>
      <c r="F84" s="2" t="inlineStr">
        <is>
          <t>ok</t>
        </is>
      </c>
      <c r="G84" s="2" t="inlineStr">
        <is>
          <t>Operating income + D&amp;A</t>
        </is>
      </c>
      <c r="H84" s="2" t="inlineStr"/>
      <c r="I84" s="2" t="inlineStr">
        <is>
          <t>{"basis": "reported"}</t>
        </is>
      </c>
    </row>
    <row r="85" ht="42" customHeight="1">
      <c r="A85" s="2" t="inlineStr">
        <is>
          <t>nopat</t>
        </is>
      </c>
      <c r="B85" s="2" t="inlineStr">
        <is>
          <t>nopat</t>
        </is>
      </c>
      <c r="C85" s="2" t="inlineStr">
        <is>
          <t>2019-11-03</t>
        </is>
      </c>
      <c r="D85" s="3" t="n">
        <v>3444000000</v>
      </c>
      <c r="E85" s="2" t="inlineStr">
        <is>
          <t>USD</t>
        </is>
      </c>
      <c r="F85" s="2" t="inlineStr">
        <is>
          <t>ok</t>
        </is>
      </c>
      <c r="G85" s="2" t="inlineStr">
        <is>
          <t>Operating income × (1 − Tax rate)</t>
        </is>
      </c>
      <c r="H85" s="2" t="inlineStr"/>
      <c r="I85" s="2" t="inlineStr">
        <is>
          <t>{"basis": "reported"}</t>
        </is>
      </c>
    </row>
    <row r="86" ht="42" customHeight="1">
      <c r="A86" s="2" t="inlineStr">
        <is>
          <t>invested-capital</t>
        </is>
      </c>
      <c r="B86" s="2" t="inlineStr">
        <is>
          <t>invested-capital</t>
        </is>
      </c>
      <c r="C86" s="2" t="inlineStr">
        <is>
          <t>2019-11-03</t>
        </is>
      </c>
      <c r="D86" s="3" t="n">
        <v>52684000000</v>
      </c>
      <c r="E86" s="2" t="inlineStr">
        <is>
          <t>USD</t>
        </is>
      </c>
      <c r="F86" s="2" t="inlineStr">
        <is>
          <t>ok</t>
        </is>
      </c>
      <c r="G86" s="2" t="inlineStr">
        <is>
          <t>Equity + Debt − Cash</t>
        </is>
      </c>
      <c r="H86" s="2" t="inlineStr"/>
      <c r="I86" s="2" t="inlineStr">
        <is>
          <t>{"basis": "reported"}</t>
        </is>
      </c>
    </row>
    <row r="87" ht="42" customHeight="1">
      <c r="A87" s="2" t="inlineStr">
        <is>
          <t>roic</t>
        </is>
      </c>
      <c r="B87" s="2" t="inlineStr">
        <is>
          <t>roic</t>
        </is>
      </c>
      <c r="C87" s="2" t="inlineStr">
        <is>
          <t>2019-11-03</t>
        </is>
      </c>
      <c r="D87" s="5" t="n">
        <v>0.074431069136176</v>
      </c>
      <c r="E87" s="2" t="inlineStr">
        <is>
          <t>ratio (decimal; displayed as %)</t>
        </is>
      </c>
      <c r="F87" s="2" t="inlineStr">
        <is>
          <t>ok</t>
        </is>
      </c>
      <c r="G87" s="2" t="inlineStr">
        <is>
          <t>NOPAT / Average invested capital (only when invested capital &gt; 0)</t>
        </is>
      </c>
      <c r="H87" s="2" t="inlineStr"/>
      <c r="I87" s="2" t="inlineStr">
        <is>
          <t>{"basis": "reported"}</t>
        </is>
      </c>
    </row>
    <row r="88" ht="42" customHeight="1">
      <c r="A88" s="2" t="inlineStr">
        <is>
          <t>net-debt</t>
        </is>
      </c>
      <c r="B88" s="2" t="inlineStr">
        <is>
          <t>net-debt</t>
        </is>
      </c>
      <c r="C88" s="2" t="inlineStr">
        <is>
          <t>2019-11-03</t>
        </is>
      </c>
      <c r="D88" s="3" t="n">
        <v>27743000000</v>
      </c>
      <c r="E88" s="2" t="inlineStr">
        <is>
          <t>USD</t>
        </is>
      </c>
      <c r="F88" s="2" t="inlineStr">
        <is>
          <t>ok</t>
        </is>
      </c>
      <c r="G88" s="2" t="inlineStr">
        <is>
          <t>Debt − Cash</t>
        </is>
      </c>
      <c r="H88" s="2" t="inlineStr"/>
      <c r="I88" s="2" t="inlineStr">
        <is>
          <t>{"basis": "reported"}</t>
        </is>
      </c>
    </row>
    <row r="89" ht="42" customHeight="1">
      <c r="A89" s="2" t="inlineStr">
        <is>
          <t>debt-ebitda</t>
        </is>
      </c>
      <c r="B89" s="2" t="inlineStr">
        <is>
          <t>debt-ebitda</t>
        </is>
      </c>
      <c r="C89" s="2" t="inlineStr">
        <is>
          <t>2019-11-03</t>
        </is>
      </c>
      <c r="D89" s="3" t="n">
        <v>3.544963251188932</v>
      </c>
      <c r="E89" s="2" t="inlineStr">
        <is>
          <t>multiple (x)</t>
        </is>
      </c>
      <c r="F89" s="2" t="inlineStr">
        <is>
          <t>ok</t>
        </is>
      </c>
      <c r="G89" s="2" t="inlineStr">
        <is>
          <t>Debt / EBITDA (only when EBITDA &gt; 0)</t>
        </is>
      </c>
      <c r="H89" s="2" t="inlineStr"/>
      <c r="I89" s="2" t="inlineStr">
        <is>
          <t>{"basis": "reported"}</t>
        </is>
      </c>
    </row>
    <row r="90" ht="42" customHeight="1">
      <c r="A90" s="2" t="inlineStr">
        <is>
          <t>interest-coverage</t>
        </is>
      </c>
      <c r="B90" s="2" t="inlineStr">
        <is>
          <t>interest-coverage</t>
        </is>
      </c>
      <c r="C90" s="2" t="inlineStr">
        <is>
          <t>2019-11-03</t>
        </is>
      </c>
      <c r="D90" s="3" t="n">
        <v>2.385041551246537</v>
      </c>
      <c r="E90" s="2" t="inlineStr">
        <is>
          <t>multiple (x)</t>
        </is>
      </c>
      <c r="F90" s="2" t="inlineStr">
        <is>
          <t>ok</t>
        </is>
      </c>
      <c r="G90" s="2" t="inlineStr">
        <is>
          <t>Operating income / Interest expense (only when interest &gt; 0)</t>
        </is>
      </c>
      <c r="H90" s="2" t="inlineStr"/>
      <c r="I90" s="2" t="inlineStr">
        <is>
          <t>{"basis": "reported"}</t>
        </is>
      </c>
    </row>
    <row r="91" ht="42" customHeight="1">
      <c r="A91" s="2" t="inlineStr">
        <is>
          <t>current-ratio</t>
        </is>
      </c>
      <c r="B91" s="2" t="inlineStr">
        <is>
          <t>current-ratio</t>
        </is>
      </c>
      <c r="C91" s="2" t="inlineStr">
        <is>
          <t>2019-11-03</t>
        </is>
      </c>
      <c r="D91" s="3" t="n">
        <v>1.437454703580229</v>
      </c>
      <c r="E91" s="2" t="inlineStr">
        <is>
          <t>multiple (x)</t>
        </is>
      </c>
      <c r="F91" s="2" t="inlineStr">
        <is>
          <t>ok</t>
        </is>
      </c>
      <c r="G91" s="2" t="inlineStr">
        <is>
          <t>Current assets / Current liabilities</t>
        </is>
      </c>
      <c r="H91" s="2" t="inlineStr"/>
      <c r="I91" s="2" t="inlineStr">
        <is>
          <t>{"basis": "reported"}</t>
        </is>
      </c>
    </row>
    <row r="92" ht="42" customHeight="1">
      <c r="A92" s="2" t="inlineStr">
        <is>
          <t>tangible-book-value</t>
        </is>
      </c>
      <c r="B92" s="2" t="inlineStr">
        <is>
          <t>tangible-book-value</t>
        </is>
      </c>
      <c r="C92" s="2" t="inlineStr">
        <is>
          <t>2019-11-03</t>
        </is>
      </c>
      <c r="D92" s="3" t="n">
        <v>-29327000000</v>
      </c>
      <c r="E92" s="2" t="inlineStr">
        <is>
          <t>USD</t>
        </is>
      </c>
      <c r="F92" s="2" t="inlineStr">
        <is>
          <t>ok</t>
        </is>
      </c>
      <c r="G92" s="2" t="inlineStr">
        <is>
          <t>Equity − Preferred − Goodwill − Intangibles</t>
        </is>
      </c>
      <c r="H92" s="2" t="inlineStr"/>
      <c r="I92" s="2" t="inlineStr">
        <is>
          <t>{"basis": "reported"}</t>
        </is>
      </c>
    </row>
    <row r="93" ht="42" customHeight="1">
      <c r="A93" s="2" t="inlineStr">
        <is>
          <t>ncav</t>
        </is>
      </c>
      <c r="B93" s="2" t="inlineStr">
        <is>
          <t>ncav</t>
        </is>
      </c>
      <c r="C93" s="2" t="inlineStr">
        <is>
          <t>2019-11-03</t>
        </is>
      </c>
      <c r="D93" s="3" t="n">
        <v>-32606000000</v>
      </c>
      <c r="E93" s="2" t="inlineStr">
        <is>
          <t>USD</t>
        </is>
      </c>
      <c r="F93" s="2" t="inlineStr">
        <is>
          <t>ok</t>
        </is>
      </c>
      <c r="G93" s="2" t="inlineStr">
        <is>
          <t>Current assets − Total liabilities − Preferred</t>
        </is>
      </c>
      <c r="H93" s="2" t="inlineStr"/>
      <c r="I93" s="2" t="inlineStr">
        <is>
          <t>{"basis": "reported"}</t>
        </is>
      </c>
    </row>
    <row r="94" ht="42" customHeight="1">
      <c r="A94" s="2" t="inlineStr">
        <is>
          <t>dilution</t>
        </is>
      </c>
      <c r="B94" s="2" t="inlineStr">
        <is>
          <t>dilution</t>
        </is>
      </c>
      <c r="C94" s="2" t="inlineStr">
        <is>
          <t>2019-11-03</t>
        </is>
      </c>
      <c r="D94" s="5" t="n">
        <v>-0.02784222737819031</v>
      </c>
      <c r="E94" s="2" t="inlineStr">
        <is>
          <t>ratio (decimal; displayed as %)</t>
        </is>
      </c>
      <c r="F94" s="2" t="inlineStr">
        <is>
          <t>ok</t>
        </is>
      </c>
      <c r="G94" s="2" t="inlineStr">
        <is>
          <t>Diluted shares / Previous diluted shares − 1</t>
        </is>
      </c>
      <c r="H94" s="2" t="inlineStr"/>
      <c r="I94" s="2" t="inlineStr">
        <is>
          <t>{"basis": "reported"}</t>
        </is>
      </c>
    </row>
    <row r="95" ht="42" customHeight="1">
      <c r="A95" s="2" t="inlineStr">
        <is>
          <t>sbc-to-revenue</t>
        </is>
      </c>
      <c r="B95" s="2" t="inlineStr">
        <is>
          <t>dilution</t>
        </is>
      </c>
      <c r="C95" s="2" t="inlineStr">
        <is>
          <t>2019-11-03</t>
        </is>
      </c>
      <c r="D95" s="5" t="n">
        <v>0.09669425144930743</v>
      </c>
      <c r="E95" s="2" t="inlineStr">
        <is>
          <t>ratio (decimal; displayed as %)</t>
        </is>
      </c>
      <c r="F95" s="2" t="inlineStr">
        <is>
          <t>ok</t>
        </is>
      </c>
      <c r="G95" s="2" t="inlineStr">
        <is>
          <t>SBC / Revenue</t>
        </is>
      </c>
      <c r="H95" s="2" t="inlineStr"/>
      <c r="I95" s="2" t="inlineStr">
        <is>
          <t>{"basis": "reported"}</t>
        </is>
      </c>
    </row>
    <row r="96" ht="42" customHeight="1">
      <c r="A96" s="2" t="inlineStr">
        <is>
          <t>eps</t>
        </is>
      </c>
      <c r="B96" s="2" t="inlineStr">
        <is>
          <t>eps</t>
        </is>
      </c>
      <c r="C96" s="2" t="inlineStr">
        <is>
          <t>2019-11-03</t>
        </is>
      </c>
      <c r="D96" s="3" t="n">
        <v>0.643</v>
      </c>
      <c r="E96" s="2" t="inlineStr">
        <is>
          <t>USD/share</t>
        </is>
      </c>
      <c r="F96" s="2" t="inlineStr">
        <is>
          <t>ok</t>
        </is>
      </c>
      <c r="G96" s="2" t="inlineStr">
        <is>
          <t>Reported diluted EPS</t>
        </is>
      </c>
      <c r="H96" s="2" t="inlineStr"/>
      <c r="I96" s="2" t="inlineStr">
        <is>
          <t>{"basis": "reported"}</t>
        </is>
      </c>
    </row>
    <row r="97" ht="42" customHeight="1">
      <c r="A97" s="2" t="inlineStr">
        <is>
          <t>debt-due-3y</t>
        </is>
      </c>
      <c r="B97" s="2" t="inlineStr">
        <is>
          <t>refinancing-risk</t>
        </is>
      </c>
      <c r="C97" s="2" t="inlineStr">
        <is>
          <t>2019-11-03</t>
        </is>
      </c>
      <c r="D97" s="3" t="n">
        <v>12796000000</v>
      </c>
      <c r="E97" s="2" t="inlineStr">
        <is>
          <t>USD</t>
        </is>
      </c>
      <c r="F97" s="2" t="inlineStr">
        <is>
          <t>ok</t>
        </is>
      </c>
      <c r="G97" s="2" t="inlineStr">
        <is>
          <t>Debt maturities in years 1 + 2 + 3</t>
        </is>
      </c>
      <c r="H97" s="2" t="inlineStr"/>
      <c r="I97" s="2" t="inlineStr">
        <is>
          <t>{"basis": "reported"}</t>
        </is>
      </c>
    </row>
    <row r="98" ht="42" customHeight="1">
      <c r="A98" s="2" t="inlineStr">
        <is>
          <t>revenue-growth</t>
        </is>
      </c>
      <c r="B98" s="2" t="inlineStr">
        <is>
          <t>revenue</t>
        </is>
      </c>
      <c r="C98" s="2" t="inlineStr">
        <is>
          <t>2020-11-01</t>
        </is>
      </c>
      <c r="D98" s="5" t="n">
        <v>0.05713147762977377</v>
      </c>
      <c r="E98" s="2" t="inlineStr">
        <is>
          <t>ratio (decimal; displayed as %)</t>
        </is>
      </c>
      <c r="F98" s="2" t="inlineStr">
        <is>
          <t>ok</t>
        </is>
      </c>
      <c r="G98" s="2" t="inlineStr">
        <is>
          <t>Revenue / Previous revenue − 1</t>
        </is>
      </c>
      <c r="H98" s="2" t="inlineStr"/>
      <c r="I98" s="2" t="inlineStr">
        <is>
          <t>{"basis": "reported"}</t>
        </is>
      </c>
    </row>
    <row r="99" ht="42" customHeight="1">
      <c r="A99" s="2" t="inlineStr">
        <is>
          <t>gross-margin</t>
        </is>
      </c>
      <c r="B99" s="2" t="inlineStr">
        <is>
          <t>gross-margin</t>
        </is>
      </c>
      <c r="C99" s="2" t="inlineStr">
        <is>
          <t>2020-11-01</t>
        </is>
      </c>
      <c r="D99" s="5" t="n">
        <v>0.5658070997990623</v>
      </c>
      <c r="E99" s="2" t="inlineStr">
        <is>
          <t>ratio (decimal; displayed as %)</t>
        </is>
      </c>
      <c r="F99" s="2" t="inlineStr">
        <is>
          <t>ok</t>
        </is>
      </c>
      <c r="G99" s="2" t="inlineStr">
        <is>
          <t>Gross profit / Revenue</t>
        </is>
      </c>
      <c r="H99" s="2" t="inlineStr"/>
      <c r="I99" s="2" t="inlineStr">
        <is>
          <t>{"basis": "reported"}</t>
        </is>
      </c>
    </row>
    <row r="100" ht="42" customHeight="1">
      <c r="A100" s="2" t="inlineStr">
        <is>
          <t>operating-margin</t>
        </is>
      </c>
      <c r="B100" s="2" t="inlineStr">
        <is>
          <t>operating-margin</t>
        </is>
      </c>
      <c r="C100" s="2" t="inlineStr">
        <is>
          <t>2020-11-01</t>
        </is>
      </c>
      <c r="D100" s="5" t="n">
        <v>0.1680341594105827</v>
      </c>
      <c r="E100" s="2" t="inlineStr">
        <is>
          <t>ratio (decimal; displayed as %)</t>
        </is>
      </c>
      <c r="F100" s="2" t="inlineStr">
        <is>
          <t>ok</t>
        </is>
      </c>
      <c r="G100" s="2" t="inlineStr">
        <is>
          <t>Operating income / Revenue</t>
        </is>
      </c>
      <c r="H100" s="2" t="inlineStr"/>
      <c r="I100" s="2" t="inlineStr">
        <is>
          <t>{"basis": "reported"}</t>
        </is>
      </c>
    </row>
    <row r="101" ht="42" customHeight="1">
      <c r="A101" s="2" t="inlineStr">
        <is>
          <t>net-margin</t>
        </is>
      </c>
      <c r="B101" s="2" t="inlineStr">
        <is>
          <t>net-margin</t>
        </is>
      </c>
      <c r="C101" s="2" t="inlineStr">
        <is>
          <t>2020-11-01</t>
        </is>
      </c>
      <c r="D101" s="5" t="n">
        <v>0.1239115874079035</v>
      </c>
      <c r="E101" s="2" t="inlineStr">
        <is>
          <t>ratio (decimal; displayed as %)</t>
        </is>
      </c>
      <c r="F101" s="2" t="inlineStr">
        <is>
          <t>ok</t>
        </is>
      </c>
      <c r="G101" s="2" t="inlineStr">
        <is>
          <t>Net income / Revenue</t>
        </is>
      </c>
      <c r="H101" s="2" t="inlineStr"/>
      <c r="I101" s="2" t="inlineStr">
        <is>
          <t>{"basis": "reported"}</t>
        </is>
      </c>
    </row>
    <row r="102" ht="42" customHeight="1">
      <c r="A102" s="2" t="inlineStr">
        <is>
          <t>fcf</t>
        </is>
      </c>
      <c r="B102" s="2" t="inlineStr">
        <is>
          <t>fcf</t>
        </is>
      </c>
      <c r="C102" s="2" t="inlineStr">
        <is>
          <t>2020-11-01</t>
        </is>
      </c>
      <c r="D102" s="3" t="n">
        <v>11598000000</v>
      </c>
      <c r="E102" s="2" t="inlineStr">
        <is>
          <t>USD</t>
        </is>
      </c>
      <c r="F102" s="2" t="inlineStr">
        <is>
          <t>ok</t>
        </is>
      </c>
      <c r="G102" s="2" t="inlineStr">
        <is>
          <t>OCF − CapEx</t>
        </is>
      </c>
      <c r="H102" s="2" t="inlineStr"/>
      <c r="I102" s="2" t="inlineStr">
        <is>
          <t>{"basis": "reported"}</t>
        </is>
      </c>
    </row>
    <row r="103" ht="42" customHeight="1">
      <c r="A103" s="2" t="inlineStr">
        <is>
          <t>fcf-margin</t>
        </is>
      </c>
      <c r="B103" s="2" t="inlineStr">
        <is>
          <t>fcf-margin</t>
        </is>
      </c>
      <c r="C103" s="2" t="inlineStr">
        <is>
          <t>2020-11-01</t>
        </is>
      </c>
      <c r="D103" s="5" t="n">
        <v>0.4855157401205626</v>
      </c>
      <c r="E103" s="2" t="inlineStr">
        <is>
          <t>ratio (decimal; displayed as %)</t>
        </is>
      </c>
      <c r="F103" s="2" t="inlineStr">
        <is>
          <t>ok</t>
        </is>
      </c>
      <c r="G103" s="2" t="inlineStr">
        <is>
          <t>(OCF − CapEx) / Revenue</t>
        </is>
      </c>
      <c r="H103" s="2" t="inlineStr"/>
      <c r="I103" s="2" t="inlineStr">
        <is>
          <t>{"basis": "reported"}</t>
        </is>
      </c>
    </row>
    <row r="104" ht="42" customHeight="1">
      <c r="A104" s="2" t="inlineStr">
        <is>
          <t>fcff</t>
        </is>
      </c>
      <c r="B104" s="2" t="inlineStr">
        <is>
          <t>fcff</t>
        </is>
      </c>
      <c r="C104" s="2" t="inlineStr">
        <is>
          <t>2020-11-01</t>
        </is>
      </c>
      <c r="D104" s="3" t="n">
        <v>11399000000</v>
      </c>
      <c r="E104" s="2" t="inlineStr">
        <is>
          <t>USD</t>
        </is>
      </c>
      <c r="F104" s="2" t="inlineStr">
        <is>
          <t>ok</t>
        </is>
      </c>
      <c r="G104" s="2" t="inlineStr">
        <is>
          <t>OCF + Interest × (1 − Tax rate) − CapEx − SBC</t>
        </is>
      </c>
      <c r="H104" s="2" t="inlineStr"/>
      <c r="I104" s="2" t="inlineStr">
        <is>
          <t>{"basis": "reported"}</t>
        </is>
      </c>
    </row>
    <row r="105" ht="42" customHeight="1">
      <c r="A105" s="6" t="inlineStr">
        <is>
          <t>fcfe</t>
        </is>
      </c>
      <c r="B105" s="6" t="inlineStr">
        <is>
          <t>fcfe</t>
        </is>
      </c>
      <c r="C105" s="6" t="inlineStr">
        <is>
          <t>2020-11-01</t>
        </is>
      </c>
      <c r="D105" s="6" t="n"/>
      <c r="E105" s="6" t="inlineStr">
        <is>
          <t>USD</t>
        </is>
      </c>
      <c r="F105" s="6" t="inlineStr">
        <is>
          <t>not_available</t>
        </is>
      </c>
      <c r="G105" s="6" t="inlineStr">
        <is>
          <t>Net income + D&amp;A − CapEx − ΔOperating working capital + (Debt issued − Debt repaid)</t>
        </is>
      </c>
      <c r="H105" s="6" t="inlineStr">
        <is>
          <t>d_and_a</t>
        </is>
      </c>
      <c r="I105" s="6" t="inlineStr">
        <is>
          <t>{"basis": "reported"}</t>
        </is>
      </c>
    </row>
    <row r="106" ht="42" customHeight="1">
      <c r="A106" s="6" t="inlineStr">
        <is>
          <t>owner-earnings</t>
        </is>
      </c>
      <c r="B106" s="6" t="inlineStr">
        <is>
          <t>owner-earnings</t>
        </is>
      </c>
      <c r="C106" s="6" t="inlineStr">
        <is>
          <t>2020-11-01</t>
        </is>
      </c>
      <c r="D106" s="6" t="n"/>
      <c r="E106" s="6" t="inlineStr">
        <is>
          <t>USD</t>
        </is>
      </c>
      <c r="F106" s="6" t="inlineStr">
        <is>
          <t>not_available</t>
        </is>
      </c>
      <c r="G106" s="6" t="inlineStr">
        <is>
          <t>Net income + D&amp;A − Maintenance CapEx (1 × D&amp;A) − ΔOperating working capital</t>
        </is>
      </c>
      <c r="H106" s="6" t="inlineStr">
        <is>
          <t>d_and_a</t>
        </is>
      </c>
      <c r="I106" s="6" t="inlineStr">
        <is>
          <t>{"basis": "reported"}</t>
        </is>
      </c>
    </row>
    <row r="107" ht="42" customHeight="1">
      <c r="A107" s="2" t="inlineStr">
        <is>
          <t>earnings-quality</t>
        </is>
      </c>
      <c r="B107" s="2" t="inlineStr">
        <is>
          <t>earnings-quality</t>
        </is>
      </c>
      <c r="C107" s="2" t="inlineStr">
        <is>
          <t>2020-11-01</t>
        </is>
      </c>
      <c r="D107" s="3" t="n">
        <v>4.074662162162162</v>
      </c>
      <c r="E107" s="2" t="inlineStr">
        <is>
          <t>multiple (x)</t>
        </is>
      </c>
      <c r="F107" s="2" t="inlineStr">
        <is>
          <t>ok</t>
        </is>
      </c>
      <c r="G107" s="2" t="inlineStr">
        <is>
          <t>OCF / Net income (only when net income &gt; 0)</t>
        </is>
      </c>
      <c r="H107" s="2" t="inlineStr"/>
      <c r="I107" s="2" t="inlineStr">
        <is>
          <t>{"basis": "reported"}</t>
        </is>
      </c>
    </row>
    <row r="108" ht="42" customHeight="1">
      <c r="A108" s="6" t="inlineStr">
        <is>
          <t>ebitda</t>
        </is>
      </c>
      <c r="B108" s="6" t="inlineStr">
        <is>
          <t>ebitda</t>
        </is>
      </c>
      <c r="C108" s="6" t="inlineStr">
        <is>
          <t>2020-11-01</t>
        </is>
      </c>
      <c r="D108" s="6" t="n"/>
      <c r="E108" s="6" t="inlineStr">
        <is>
          <t>USD</t>
        </is>
      </c>
      <c r="F108" s="6" t="inlineStr">
        <is>
          <t>not_available</t>
        </is>
      </c>
      <c r="G108" s="6" t="inlineStr">
        <is>
          <t>Operating income + D&amp;A</t>
        </is>
      </c>
      <c r="H108" s="6" t="inlineStr">
        <is>
          <t>d_and_a</t>
        </is>
      </c>
      <c r="I108" s="6" t="inlineStr">
        <is>
          <t>{"basis": "reported"}</t>
        </is>
      </c>
    </row>
    <row r="109" ht="42" customHeight="1">
      <c r="A109" s="2" t="inlineStr">
        <is>
          <t>nopat</t>
        </is>
      </c>
      <c r="B109" s="2" t="inlineStr">
        <is>
          <t>nopat</t>
        </is>
      </c>
      <c r="C109" s="2" t="inlineStr">
        <is>
          <t>2020-11-01</t>
        </is>
      </c>
      <c r="D109" s="3" t="n">
        <v>4014000000</v>
      </c>
      <c r="E109" s="2" t="inlineStr">
        <is>
          <t>USD</t>
        </is>
      </c>
      <c r="F109" s="2" t="inlineStr">
        <is>
          <t>ok</t>
        </is>
      </c>
      <c r="G109" s="2" t="inlineStr">
        <is>
          <t>Operating income × (1 − Tax rate)</t>
        </is>
      </c>
      <c r="H109" s="2" t="inlineStr"/>
      <c r="I109" s="2" t="inlineStr">
        <is>
          <t>{"basis": "reported"}</t>
        </is>
      </c>
    </row>
    <row r="110" ht="42" customHeight="1">
      <c r="A110" s="2" t="inlineStr">
        <is>
          <t>invested-capital</t>
        </is>
      </c>
      <c r="B110" s="2" t="inlineStr">
        <is>
          <t>invested-capital</t>
        </is>
      </c>
      <c r="C110" s="2" t="inlineStr">
        <is>
          <t>2020-11-01</t>
        </is>
      </c>
      <c r="D110" s="3" t="n">
        <v>57318000000</v>
      </c>
      <c r="E110" s="2" t="inlineStr">
        <is>
          <t>USD</t>
        </is>
      </c>
      <c r="F110" s="2" t="inlineStr">
        <is>
          <t>ok</t>
        </is>
      </c>
      <c r="G110" s="2" t="inlineStr">
        <is>
          <t>Equity + Debt − Cash</t>
        </is>
      </c>
      <c r="H110" s="2" t="inlineStr"/>
      <c r="I110" s="2" t="inlineStr">
        <is>
          <t>{"basis": "reported"}</t>
        </is>
      </c>
    </row>
    <row r="111" ht="42" customHeight="1">
      <c r="A111" s="2" t="inlineStr">
        <is>
          <t>roic</t>
        </is>
      </c>
      <c r="B111" s="2" t="inlineStr">
        <is>
          <t>roic</t>
        </is>
      </c>
      <c r="C111" s="2" t="inlineStr">
        <is>
          <t>2020-11-01</t>
        </is>
      </c>
      <c r="D111" s="5" t="n">
        <v>0.0729804912637952</v>
      </c>
      <c r="E111" s="2" t="inlineStr">
        <is>
          <t>ratio (decimal; displayed as %)</t>
        </is>
      </c>
      <c r="F111" s="2" t="inlineStr">
        <is>
          <t>ok</t>
        </is>
      </c>
      <c r="G111" s="2" t="inlineStr">
        <is>
          <t>NOPAT / Average invested capital (only when invested capital &gt; 0)</t>
        </is>
      </c>
      <c r="H111" s="2" t="inlineStr"/>
      <c r="I111" s="2" t="inlineStr">
        <is>
          <t>{"basis": "reported"}</t>
        </is>
      </c>
    </row>
    <row r="112" ht="42" customHeight="1">
      <c r="A112" s="2" t="inlineStr">
        <is>
          <t>net-debt</t>
        </is>
      </c>
      <c r="B112" s="2" t="inlineStr">
        <is>
          <t>net-debt</t>
        </is>
      </c>
      <c r="C112" s="2" t="inlineStr">
        <is>
          <t>2020-11-01</t>
        </is>
      </c>
      <c r="D112" s="3" t="n">
        <v>33444000000</v>
      </c>
      <c r="E112" s="2" t="inlineStr">
        <is>
          <t>USD</t>
        </is>
      </c>
      <c r="F112" s="2" t="inlineStr">
        <is>
          <t>ok</t>
        </is>
      </c>
      <c r="G112" s="2" t="inlineStr">
        <is>
          <t>Debt − Cash</t>
        </is>
      </c>
      <c r="H112" s="2" t="inlineStr"/>
      <c r="I112" s="2" t="inlineStr">
        <is>
          <t>{"basis": "reported"}</t>
        </is>
      </c>
    </row>
    <row r="113" ht="42" customHeight="1">
      <c r="A113" s="6" t="inlineStr">
        <is>
          <t>debt-ebitda</t>
        </is>
      </c>
      <c r="B113" s="6" t="inlineStr">
        <is>
          <t>debt-ebitda</t>
        </is>
      </c>
      <c r="C113" s="6" t="inlineStr">
        <is>
          <t>2020-11-01</t>
        </is>
      </c>
      <c r="D113" s="6" t="n"/>
      <c r="E113" s="6" t="inlineStr">
        <is>
          <t>multiple (x)</t>
        </is>
      </c>
      <c r="F113" s="6" t="inlineStr">
        <is>
          <t>not_available</t>
        </is>
      </c>
      <c r="G113" s="6" t="inlineStr">
        <is>
          <t>Debt / EBITDA (only when EBITDA &gt; 0)</t>
        </is>
      </c>
      <c r="H113" s="6" t="inlineStr">
        <is>
          <t>ebitda</t>
        </is>
      </c>
      <c r="I113" s="6" t="inlineStr">
        <is>
          <t>{"basis": "reported"}</t>
        </is>
      </c>
    </row>
    <row r="114" ht="42" customHeight="1">
      <c r="A114" s="2" t="inlineStr">
        <is>
          <t>interest-coverage</t>
        </is>
      </c>
      <c r="B114" s="2" t="inlineStr">
        <is>
          <t>interest-coverage</t>
        </is>
      </c>
      <c r="C114" s="2" t="inlineStr">
        <is>
          <t>2020-11-01</t>
        </is>
      </c>
      <c r="D114" s="3" t="n">
        <v>2.258863252673045</v>
      </c>
      <c r="E114" s="2" t="inlineStr">
        <is>
          <t>multiple (x)</t>
        </is>
      </c>
      <c r="F114" s="2" t="inlineStr">
        <is>
          <t>ok</t>
        </is>
      </c>
      <c r="G114" s="2" t="inlineStr">
        <is>
          <t>Operating income / Interest expense (only when interest &gt; 0)</t>
        </is>
      </c>
      <c r="H114" s="2" t="inlineStr"/>
      <c r="I114" s="2" t="inlineStr">
        <is>
          <t>{"basis": "reported"}</t>
        </is>
      </c>
    </row>
    <row r="115" ht="42" customHeight="1">
      <c r="A115" s="2" t="inlineStr">
        <is>
          <t>current-ratio</t>
        </is>
      </c>
      <c r="B115" s="2" t="inlineStr">
        <is>
          <t>current-ratio</t>
        </is>
      </c>
      <c r="C115" s="2" t="inlineStr">
        <is>
          <t>2020-11-01</t>
        </is>
      </c>
      <c r="D115" s="3" t="n">
        <v>1.867053837702088</v>
      </c>
      <c r="E115" s="2" t="inlineStr">
        <is>
          <t>multiple (x)</t>
        </is>
      </c>
      <c r="F115" s="2" t="inlineStr">
        <is>
          <t>ok</t>
        </is>
      </c>
      <c r="G115" s="2" t="inlineStr">
        <is>
          <t>Current assets / Current liabilities</t>
        </is>
      </c>
      <c r="H115" s="2" t="inlineStr"/>
      <c r="I115" s="2" t="inlineStr">
        <is>
          <t>{"basis": "reported"}</t>
        </is>
      </c>
    </row>
    <row r="116" ht="42" customHeight="1">
      <c r="A116" s="2" t="inlineStr">
        <is>
          <t>tangible-book-value</t>
        </is>
      </c>
      <c r="B116" s="2" t="inlineStr">
        <is>
          <t>tangible-book-value</t>
        </is>
      </c>
      <c r="C116" s="2" t="inlineStr">
        <is>
          <t>2020-11-01</t>
        </is>
      </c>
      <c r="D116" s="3" t="n">
        <v>-36355000000</v>
      </c>
      <c r="E116" s="2" t="inlineStr">
        <is>
          <t>USD</t>
        </is>
      </c>
      <c r="F116" s="2" t="inlineStr">
        <is>
          <t>ok</t>
        </is>
      </c>
      <c r="G116" s="2" t="inlineStr">
        <is>
          <t>Equity − Preferred − Goodwill − Intangibles</t>
        </is>
      </c>
      <c r="H116" s="2" t="inlineStr"/>
      <c r="I116" s="2" t="inlineStr">
        <is>
          <t>{"basis": "reported"}</t>
        </is>
      </c>
    </row>
    <row r="117" ht="42" customHeight="1">
      <c r="A117" s="2" t="inlineStr">
        <is>
          <t>ncav</t>
        </is>
      </c>
      <c r="B117" s="2" t="inlineStr">
        <is>
          <t>ncav</t>
        </is>
      </c>
      <c r="C117" s="2" t="inlineStr">
        <is>
          <t>2020-11-01</t>
        </is>
      </c>
      <c r="D117" s="3" t="n">
        <v>-40137000000</v>
      </c>
      <c r="E117" s="2" t="inlineStr">
        <is>
          <t>USD</t>
        </is>
      </c>
      <c r="F117" s="2" t="inlineStr">
        <is>
          <t>ok</t>
        </is>
      </c>
      <c r="G117" s="2" t="inlineStr">
        <is>
          <t>Current assets − Total liabilities − Preferred</t>
        </is>
      </c>
      <c r="H117" s="2" t="inlineStr"/>
      <c r="I117" s="2" t="inlineStr">
        <is>
          <t>{"basis": "reported"}</t>
        </is>
      </c>
    </row>
    <row r="118" ht="42" customHeight="1">
      <c r="A118" s="2" t="inlineStr">
        <is>
          <t>dilution</t>
        </is>
      </c>
      <c r="B118" s="2" t="inlineStr">
        <is>
          <t>dilution</t>
        </is>
      </c>
      <c r="C118" s="2" t="inlineStr">
        <is>
          <t>2020-11-01</t>
        </is>
      </c>
      <c r="D118" s="5" t="n">
        <v>0.004773269689737569</v>
      </c>
      <c r="E118" s="2" t="inlineStr">
        <is>
          <t>ratio (decimal; displayed as %)</t>
        </is>
      </c>
      <c r="F118" s="2" t="inlineStr">
        <is>
          <t>ok</t>
        </is>
      </c>
      <c r="G118" s="2" t="inlineStr">
        <is>
          <t>Diluted shares / Previous diluted shares − 1</t>
        </is>
      </c>
      <c r="H118" s="2" t="inlineStr"/>
      <c r="I118" s="2" t="inlineStr">
        <is>
          <t>{"basis": "reported"}</t>
        </is>
      </c>
    </row>
    <row r="119" ht="42" customHeight="1">
      <c r="A119" s="2" t="inlineStr">
        <is>
          <t>sbc-to-revenue</t>
        </is>
      </c>
      <c r="B119" s="2" t="inlineStr">
        <is>
          <t>dilution</t>
        </is>
      </c>
      <c r="C119" s="2" t="inlineStr">
        <is>
          <t>2020-11-01</t>
        </is>
      </c>
      <c r="D119" s="5" t="n">
        <v>0.08271935699933021</v>
      </c>
      <c r="E119" s="2" t="inlineStr">
        <is>
          <t>ratio (decimal; displayed as %)</t>
        </is>
      </c>
      <c r="F119" s="2" t="inlineStr">
        <is>
          <t>ok</t>
        </is>
      </c>
      <c r="G119" s="2" t="inlineStr">
        <is>
          <t>SBC / Revenue</t>
        </is>
      </c>
      <c r="H119" s="2" t="inlineStr"/>
      <c r="I119" s="2" t="inlineStr">
        <is>
          <t>{"basis": "reported"}</t>
        </is>
      </c>
    </row>
    <row r="120" ht="42" customHeight="1">
      <c r="A120" s="2" t="inlineStr">
        <is>
          <t>eps</t>
        </is>
      </c>
      <c r="B120" s="2" t="inlineStr">
        <is>
          <t>eps</t>
        </is>
      </c>
      <c r="C120" s="2" t="inlineStr">
        <is>
          <t>2020-11-01</t>
        </is>
      </c>
      <c r="D120" s="3" t="n">
        <v>0.633</v>
      </c>
      <c r="E120" s="2" t="inlineStr">
        <is>
          <t>USD/share</t>
        </is>
      </c>
      <c r="F120" s="2" t="inlineStr">
        <is>
          <t>ok</t>
        </is>
      </c>
      <c r="G120" s="2" t="inlineStr">
        <is>
          <t>Reported diluted EPS</t>
        </is>
      </c>
      <c r="H120" s="2" t="inlineStr"/>
      <c r="I120" s="2" t="inlineStr">
        <is>
          <t>{"basis": "reported"}</t>
        </is>
      </c>
    </row>
    <row r="121" ht="42" customHeight="1">
      <c r="A121" s="6" t="inlineStr">
        <is>
          <t>debt-due-3y</t>
        </is>
      </c>
      <c r="B121" s="6" t="inlineStr">
        <is>
          <t>refinancing-risk</t>
        </is>
      </c>
      <c r="C121" s="6" t="inlineStr">
        <is>
          <t>2020-11-01</t>
        </is>
      </c>
      <c r="D121" s="6" t="n"/>
      <c r="E121" s="6" t="inlineStr">
        <is>
          <t>USD</t>
        </is>
      </c>
      <c r="F121" s="6" t="inlineStr">
        <is>
          <t>not_available</t>
        </is>
      </c>
      <c r="G121" s="6" t="inlineStr">
        <is>
          <t>Debt maturities in years 1 + 2 + 3</t>
        </is>
      </c>
      <c r="H121" s="6" t="inlineStr">
        <is>
          <t>maturity_y1</t>
        </is>
      </c>
      <c r="I121" s="6" t="inlineStr">
        <is>
          <t>{"basis": "reported"}</t>
        </is>
      </c>
    </row>
    <row r="122" ht="42" customHeight="1">
      <c r="A122" s="2" t="inlineStr">
        <is>
          <t>revenue-growth</t>
        </is>
      </c>
      <c r="B122" s="2" t="inlineStr">
        <is>
          <t>revenue</t>
        </is>
      </c>
      <c r="C122" s="2" t="inlineStr">
        <is>
          <t>2021-10-31</t>
        </is>
      </c>
      <c r="D122" s="5" t="n">
        <v>0.1491125251172136</v>
      </c>
      <c r="E122" s="2" t="inlineStr">
        <is>
          <t>ratio (decimal; displayed as %)</t>
        </is>
      </c>
      <c r="F122" s="2" t="inlineStr">
        <is>
          <t>ok</t>
        </is>
      </c>
      <c r="G122" s="2" t="inlineStr">
        <is>
          <t>Revenue / Previous revenue − 1</t>
        </is>
      </c>
      <c r="H122" s="2" t="inlineStr"/>
      <c r="I122" s="2" t="inlineStr">
        <is>
          <t>{"basis": "reported"}</t>
        </is>
      </c>
    </row>
    <row r="123" ht="42" customHeight="1">
      <c r="A123" s="2" t="inlineStr">
        <is>
          <t>gross-margin</t>
        </is>
      </c>
      <c r="B123" s="2" t="inlineStr">
        <is>
          <t>gross-margin</t>
        </is>
      </c>
      <c r="C123" s="2" t="inlineStr">
        <is>
          <t>2021-10-31</t>
        </is>
      </c>
      <c r="D123" s="5" t="n">
        <v>0.6136247723132969</v>
      </c>
      <c r="E123" s="2" t="inlineStr">
        <is>
          <t>ratio (decimal; displayed as %)</t>
        </is>
      </c>
      <c r="F123" s="2" t="inlineStr">
        <is>
          <t>ok</t>
        </is>
      </c>
      <c r="G123" s="2" t="inlineStr">
        <is>
          <t>Gross profit / Revenue</t>
        </is>
      </c>
      <c r="H123" s="2" t="inlineStr"/>
      <c r="I123" s="2" t="inlineStr">
        <is>
          <t>{"basis": "reported"}</t>
        </is>
      </c>
    </row>
    <row r="124" ht="42" customHeight="1">
      <c r="A124" s="2" t="inlineStr">
        <is>
          <t>operating-margin</t>
        </is>
      </c>
      <c r="B124" s="2" t="inlineStr">
        <is>
          <t>operating-margin</t>
        </is>
      </c>
      <c r="C124" s="2" t="inlineStr">
        <is>
          <t>2021-10-31</t>
        </is>
      </c>
      <c r="D124" s="5" t="n">
        <v>0.3103460837887068</v>
      </c>
      <c r="E124" s="2" t="inlineStr">
        <is>
          <t>ratio (decimal; displayed as %)</t>
        </is>
      </c>
      <c r="F124" s="2" t="inlineStr">
        <is>
          <t>ok</t>
        </is>
      </c>
      <c r="G124" s="2" t="inlineStr">
        <is>
          <t>Operating income / Revenue</t>
        </is>
      </c>
      <c r="H124" s="2" t="inlineStr"/>
      <c r="I124" s="2" t="inlineStr">
        <is>
          <t>{"basis": "reported"}</t>
        </is>
      </c>
    </row>
    <row r="125" ht="42" customHeight="1">
      <c r="A125" s="2" t="inlineStr">
        <is>
          <t>net-margin</t>
        </is>
      </c>
      <c r="B125" s="2" t="inlineStr">
        <is>
          <t>net-margin</t>
        </is>
      </c>
      <c r="C125" s="2" t="inlineStr">
        <is>
          <t>2021-10-31</t>
        </is>
      </c>
      <c r="D125" s="5" t="n">
        <v>0.2453916211293261</v>
      </c>
      <c r="E125" s="2" t="inlineStr">
        <is>
          <t>ratio (decimal; displayed as %)</t>
        </is>
      </c>
      <c r="F125" s="2" t="inlineStr">
        <is>
          <t>ok</t>
        </is>
      </c>
      <c r="G125" s="2" t="inlineStr">
        <is>
          <t>Net income / Revenue</t>
        </is>
      </c>
      <c r="H125" s="2" t="inlineStr"/>
      <c r="I125" s="2" t="inlineStr">
        <is>
          <t>{"basis": "reported"}</t>
        </is>
      </c>
    </row>
    <row r="126" ht="42" customHeight="1">
      <c r="A126" s="2" t="inlineStr">
        <is>
          <t>fcf</t>
        </is>
      </c>
      <c r="B126" s="2" t="inlineStr">
        <is>
          <t>fcf</t>
        </is>
      </c>
      <c r="C126" s="2" t="inlineStr">
        <is>
          <t>2021-10-31</t>
        </is>
      </c>
      <c r="D126" s="3" t="n">
        <v>13321000000</v>
      </c>
      <c r="E126" s="2" t="inlineStr">
        <is>
          <t>USD</t>
        </is>
      </c>
      <c r="F126" s="2" t="inlineStr">
        <is>
          <t>ok</t>
        </is>
      </c>
      <c r="G126" s="2" t="inlineStr">
        <is>
          <t>OCF − CapEx</t>
        </is>
      </c>
      <c r="H126" s="2" t="inlineStr"/>
      <c r="I126" s="2" t="inlineStr">
        <is>
          <t>{"basis": "reported"}</t>
        </is>
      </c>
    </row>
    <row r="127" ht="42" customHeight="1">
      <c r="A127" s="2" t="inlineStr">
        <is>
          <t>fcf-margin</t>
        </is>
      </c>
      <c r="B127" s="2" t="inlineStr">
        <is>
          <t>fcf-margin</t>
        </is>
      </c>
      <c r="C127" s="2" t="inlineStr">
        <is>
          <t>2021-10-31</t>
        </is>
      </c>
      <c r="D127" s="5" t="n">
        <v>0.4852823315118397</v>
      </c>
      <c r="E127" s="2" t="inlineStr">
        <is>
          <t>ratio (decimal; displayed as %)</t>
        </is>
      </c>
      <c r="F127" s="2" t="inlineStr">
        <is>
          <t>ok</t>
        </is>
      </c>
      <c r="G127" s="2" t="inlineStr">
        <is>
          <t>(OCF − CapEx) / Revenue</t>
        </is>
      </c>
      <c r="H127" s="2" t="inlineStr"/>
      <c r="I127" s="2" t="inlineStr">
        <is>
          <t>{"basis": "reported"}</t>
        </is>
      </c>
    </row>
    <row r="128" ht="42" customHeight="1">
      <c r="A128" s="2" t="inlineStr">
        <is>
          <t>fcff</t>
        </is>
      </c>
      <c r="B128" s="2" t="inlineStr">
        <is>
          <t>fcff</t>
        </is>
      </c>
      <c r="C128" s="2" t="inlineStr">
        <is>
          <t>2021-10-31</t>
        </is>
      </c>
      <c r="D128" s="3" t="n">
        <v>13493919438.28529</v>
      </c>
      <c r="E128" s="2" t="inlineStr">
        <is>
          <t>USD</t>
        </is>
      </c>
      <c r="F128" s="2" t="inlineStr">
        <is>
          <t>ok</t>
        </is>
      </c>
      <c r="G128" s="2" t="inlineStr">
        <is>
          <t>OCF + Interest × (1 − Tax rate) − CapEx − SBC</t>
        </is>
      </c>
      <c r="H128" s="2" t="inlineStr"/>
      <c r="I128" s="2" t="inlineStr">
        <is>
          <t>{"basis": "reported"}</t>
        </is>
      </c>
    </row>
    <row r="129" ht="42" customHeight="1">
      <c r="A129" s="6" t="inlineStr">
        <is>
          <t>fcfe</t>
        </is>
      </c>
      <c r="B129" s="6" t="inlineStr">
        <is>
          <t>fcfe</t>
        </is>
      </c>
      <c r="C129" s="6" t="inlineStr">
        <is>
          <t>2021-10-31</t>
        </is>
      </c>
      <c r="D129" s="6" t="n"/>
      <c r="E129" s="6" t="inlineStr">
        <is>
          <t>USD</t>
        </is>
      </c>
      <c r="F129" s="6" t="inlineStr">
        <is>
          <t>not_available</t>
        </is>
      </c>
      <c r="G129" s="6" t="inlineStr">
        <is>
          <t>Net income + D&amp;A − CapEx − ΔOperating working capital + (Debt issued − Debt repaid)</t>
        </is>
      </c>
      <c r="H129" s="6" t="inlineStr">
        <is>
          <t>d_and_a</t>
        </is>
      </c>
      <c r="I129" s="6" t="inlineStr">
        <is>
          <t>{"basis": "reported"}</t>
        </is>
      </c>
    </row>
    <row r="130" ht="42" customHeight="1">
      <c r="A130" s="6" t="inlineStr">
        <is>
          <t>owner-earnings</t>
        </is>
      </c>
      <c r="B130" s="6" t="inlineStr">
        <is>
          <t>owner-earnings</t>
        </is>
      </c>
      <c r="C130" s="6" t="inlineStr">
        <is>
          <t>2021-10-31</t>
        </is>
      </c>
      <c r="D130" s="6" t="n"/>
      <c r="E130" s="6" t="inlineStr">
        <is>
          <t>USD</t>
        </is>
      </c>
      <c r="F130" s="6" t="inlineStr">
        <is>
          <t>not_available</t>
        </is>
      </c>
      <c r="G130" s="6" t="inlineStr">
        <is>
          <t>Net income + D&amp;A − Maintenance CapEx (1 × D&amp;A) − ΔOperating working capital</t>
        </is>
      </c>
      <c r="H130" s="6" t="inlineStr">
        <is>
          <t>d_and_a</t>
        </is>
      </c>
      <c r="I130" s="6" t="inlineStr">
        <is>
          <t>{"basis": "reported"}</t>
        </is>
      </c>
    </row>
    <row r="131" ht="42" customHeight="1">
      <c r="A131" s="2" t="inlineStr">
        <is>
          <t>earnings-quality</t>
        </is>
      </c>
      <c r="B131" s="2" t="inlineStr">
        <is>
          <t>earnings-quality</t>
        </is>
      </c>
      <c r="C131" s="2" t="inlineStr">
        <is>
          <t>2021-10-31</t>
        </is>
      </c>
      <c r="D131" s="3" t="n">
        <v>2.043349168646081</v>
      </c>
      <c r="E131" s="2" t="inlineStr">
        <is>
          <t>multiple (x)</t>
        </is>
      </c>
      <c r="F131" s="2" t="inlineStr">
        <is>
          <t>ok</t>
        </is>
      </c>
      <c r="G131" s="2" t="inlineStr">
        <is>
          <t>OCF / Net income (only when net income &gt; 0)</t>
        </is>
      </c>
      <c r="H131" s="2" t="inlineStr"/>
      <c r="I131" s="2" t="inlineStr">
        <is>
          <t>{"basis": "reported"}</t>
        </is>
      </c>
    </row>
    <row r="132" ht="42" customHeight="1">
      <c r="A132" s="6" t="inlineStr">
        <is>
          <t>ebitda</t>
        </is>
      </c>
      <c r="B132" s="6" t="inlineStr">
        <is>
          <t>ebitda</t>
        </is>
      </c>
      <c r="C132" s="6" t="inlineStr">
        <is>
          <t>2021-10-31</t>
        </is>
      </c>
      <c r="D132" s="6" t="n"/>
      <c r="E132" s="6" t="inlineStr">
        <is>
          <t>USD</t>
        </is>
      </c>
      <c r="F132" s="6" t="inlineStr">
        <is>
          <t>not_available</t>
        </is>
      </c>
      <c r="G132" s="6" t="inlineStr">
        <is>
          <t>Operating income + D&amp;A</t>
        </is>
      </c>
      <c r="H132" s="6" t="inlineStr">
        <is>
          <t>d_and_a</t>
        </is>
      </c>
      <c r="I132" s="6" t="inlineStr">
        <is>
          <t>{"basis": "reported"}</t>
        </is>
      </c>
    </row>
    <row r="133" ht="42" customHeight="1">
      <c r="A133" s="2" t="inlineStr">
        <is>
          <t>nopat</t>
        </is>
      </c>
      <c r="B133" s="2" t="inlineStr">
        <is>
          <t>nopat</t>
        </is>
      </c>
      <c r="C133" s="2" t="inlineStr">
        <is>
          <t>2021-10-31</t>
        </is>
      </c>
      <c r="D133" s="3" t="n">
        <v>8482481005.173688</v>
      </c>
      <c r="E133" s="2" t="inlineStr">
        <is>
          <t>USD</t>
        </is>
      </c>
      <c r="F133" s="2" t="inlineStr">
        <is>
          <t>ok</t>
        </is>
      </c>
      <c r="G133" s="2" t="inlineStr">
        <is>
          <t>Operating income × (1 − Tax rate)</t>
        </is>
      </c>
      <c r="H133" s="2" t="inlineStr"/>
      <c r="I133" s="2" t="inlineStr">
        <is>
          <t>{"basis": "reported"}</t>
        </is>
      </c>
    </row>
    <row r="134" ht="42" customHeight="1">
      <c r="A134" s="2" t="inlineStr">
        <is>
          <t>invested-capital</t>
        </is>
      </c>
      <c r="B134" s="2" t="inlineStr">
        <is>
          <t>invested-capital</t>
        </is>
      </c>
      <c r="C134" s="2" t="inlineStr">
        <is>
          <t>2021-10-31</t>
        </is>
      </c>
      <c r="D134" s="3" t="n">
        <v>52503000000</v>
      </c>
      <c r="E134" s="2" t="inlineStr">
        <is>
          <t>USD</t>
        </is>
      </c>
      <c r="F134" s="2" t="inlineStr">
        <is>
          <t>ok</t>
        </is>
      </c>
      <c r="G134" s="2" t="inlineStr">
        <is>
          <t>Equity + Debt − Cash</t>
        </is>
      </c>
      <c r="H134" s="2" t="inlineStr"/>
      <c r="I134" s="2" t="inlineStr">
        <is>
          <t>{"basis": "reported"}</t>
        </is>
      </c>
    </row>
    <row r="135" ht="42" customHeight="1">
      <c r="A135" s="2" t="inlineStr">
        <is>
          <t>roic</t>
        </is>
      </c>
      <c r="B135" s="2" t="inlineStr">
        <is>
          <t>roic</t>
        </is>
      </c>
      <c r="C135" s="2" t="inlineStr">
        <is>
          <t>2021-10-31</t>
        </is>
      </c>
      <c r="D135" s="5" t="n">
        <v>0.1544783057006162</v>
      </c>
      <c r="E135" s="2" t="inlineStr">
        <is>
          <t>ratio (decimal; displayed as %)</t>
        </is>
      </c>
      <c r="F135" s="2" t="inlineStr">
        <is>
          <t>ok</t>
        </is>
      </c>
      <c r="G135" s="2" t="inlineStr">
        <is>
          <t>NOPAT / Average invested capital (only when invested capital &gt; 0)</t>
        </is>
      </c>
      <c r="H135" s="2" t="inlineStr"/>
      <c r="I135" s="2" t="inlineStr">
        <is>
          <t>{"basis": "reported"}</t>
        </is>
      </c>
    </row>
    <row r="136" ht="42" customHeight="1">
      <c r="A136" s="2" t="inlineStr">
        <is>
          <t>net-debt</t>
        </is>
      </c>
      <c r="B136" s="2" t="inlineStr">
        <is>
          <t>net-debt</t>
        </is>
      </c>
      <c r="C136" s="2" t="inlineStr">
        <is>
          <t>2021-10-31</t>
        </is>
      </c>
      <c r="D136" s="3" t="n">
        <v>27541000000</v>
      </c>
      <c r="E136" s="2" t="inlineStr">
        <is>
          <t>USD</t>
        </is>
      </c>
      <c r="F136" s="2" t="inlineStr">
        <is>
          <t>ok</t>
        </is>
      </c>
      <c r="G136" s="2" t="inlineStr">
        <is>
          <t>Debt − Cash</t>
        </is>
      </c>
      <c r="H136" s="2" t="inlineStr"/>
      <c r="I136" s="2" t="inlineStr">
        <is>
          <t>{"basis": "reported"}</t>
        </is>
      </c>
    </row>
    <row r="137" ht="42" customHeight="1">
      <c r="A137" s="6" t="inlineStr">
        <is>
          <t>debt-ebitda</t>
        </is>
      </c>
      <c r="B137" s="6" t="inlineStr">
        <is>
          <t>debt-ebitda</t>
        </is>
      </c>
      <c r="C137" s="6" t="inlineStr">
        <is>
          <t>2021-10-31</t>
        </is>
      </c>
      <c r="D137" s="6" t="n"/>
      <c r="E137" s="6" t="inlineStr">
        <is>
          <t>multiple (x)</t>
        </is>
      </c>
      <c r="F137" s="6" t="inlineStr">
        <is>
          <t>not_available</t>
        </is>
      </c>
      <c r="G137" s="6" t="inlineStr">
        <is>
          <t>Debt / EBITDA (only when EBITDA &gt; 0)</t>
        </is>
      </c>
      <c r="H137" s="6" t="inlineStr">
        <is>
          <t>ebitda</t>
        </is>
      </c>
      <c r="I137" s="6" t="inlineStr">
        <is>
          <t>{"basis": "reported"}</t>
        </is>
      </c>
    </row>
    <row r="138" ht="42" customHeight="1">
      <c r="A138" s="2" t="inlineStr">
        <is>
          <t>interest-coverage</t>
        </is>
      </c>
      <c r="B138" s="2" t="inlineStr">
        <is>
          <t>interest-coverage</t>
        </is>
      </c>
      <c r="C138" s="2" t="inlineStr">
        <is>
          <t>2021-10-31</t>
        </is>
      </c>
      <c r="D138" s="3" t="n">
        <v>4.519363395225464</v>
      </c>
      <c r="E138" s="2" t="inlineStr">
        <is>
          <t>multiple (x)</t>
        </is>
      </c>
      <c r="F138" s="2" t="inlineStr">
        <is>
          <t>ok</t>
        </is>
      </c>
      <c r="G138" s="2" t="inlineStr">
        <is>
          <t>Operating income / Interest expense (only when interest &gt; 0)</t>
        </is>
      </c>
      <c r="H138" s="2" t="inlineStr"/>
      <c r="I138" s="2" t="inlineStr">
        <is>
          <t>{"basis": "reported"}</t>
        </is>
      </c>
    </row>
    <row r="139" ht="42" customHeight="1">
      <c r="A139" s="2" t="inlineStr">
        <is>
          <t>current-ratio</t>
        </is>
      </c>
      <c r="B139" s="2" t="inlineStr">
        <is>
          <t>current-ratio</t>
        </is>
      </c>
      <c r="C139" s="2" t="inlineStr">
        <is>
          <t>2021-10-31</t>
        </is>
      </c>
      <c r="D139" s="3" t="n">
        <v>2.640662314918007</v>
      </c>
      <c r="E139" s="2" t="inlineStr">
        <is>
          <t>multiple (x)</t>
        </is>
      </c>
      <c r="F139" s="2" t="inlineStr">
        <is>
          <t>ok</t>
        </is>
      </c>
      <c r="G139" s="2" t="inlineStr">
        <is>
          <t>Current assets / Current liabilities</t>
        </is>
      </c>
      <c r="H139" s="2" t="inlineStr"/>
      <c r="I139" s="2" t="inlineStr">
        <is>
          <t>{"basis": "reported"}</t>
        </is>
      </c>
    </row>
    <row r="140" ht="42" customHeight="1">
      <c r="A140" s="2" t="inlineStr">
        <is>
          <t>tangible-book-value</t>
        </is>
      </c>
      <c r="B140" s="2" t="inlineStr">
        <is>
          <t>tangible-book-value</t>
        </is>
      </c>
      <c r="C140" s="2" t="inlineStr">
        <is>
          <t>2021-10-31</t>
        </is>
      </c>
      <c r="D140" s="3" t="n">
        <v>-29862000000</v>
      </c>
      <c r="E140" s="2" t="inlineStr">
        <is>
          <t>USD</t>
        </is>
      </c>
      <c r="F140" s="2" t="inlineStr">
        <is>
          <t>ok</t>
        </is>
      </c>
      <c r="G140" s="2" t="inlineStr">
        <is>
          <t>Equity − Preferred − Goodwill − Intangibles</t>
        </is>
      </c>
      <c r="H140" s="2" t="inlineStr"/>
      <c r="I140" s="2" t="inlineStr">
        <is>
          <t>{"basis": "reported"}</t>
        </is>
      </c>
    </row>
    <row r="141" ht="42" customHeight="1">
      <c r="A141" s="2" t="inlineStr">
        <is>
          <t>ncav</t>
        </is>
      </c>
      <c r="B141" s="2" t="inlineStr">
        <is>
          <t>ncav</t>
        </is>
      </c>
      <c r="C141" s="2" t="inlineStr">
        <is>
          <t>2021-10-31</t>
        </is>
      </c>
      <c r="D141" s="3" t="n">
        <v>-33995000000</v>
      </c>
      <c r="E141" s="2" t="inlineStr">
        <is>
          <t>USD</t>
        </is>
      </c>
      <c r="F141" s="2" t="inlineStr">
        <is>
          <t>ok</t>
        </is>
      </c>
      <c r="G141" s="2" t="inlineStr">
        <is>
          <t>Current assets − Total liabilities − Preferred</t>
        </is>
      </c>
      <c r="H141" s="2" t="inlineStr"/>
      <c r="I141" s="2" t="inlineStr">
        <is>
          <t>{"basis": "reported"}</t>
        </is>
      </c>
    </row>
    <row r="142" ht="42" customHeight="1">
      <c r="A142" s="2" t="inlineStr">
        <is>
          <t>dilution</t>
        </is>
      </c>
      <c r="B142" s="2" t="inlineStr">
        <is>
          <t>dilution</t>
        </is>
      </c>
      <c r="C142" s="2" t="inlineStr">
        <is>
          <t>2021-10-31</t>
        </is>
      </c>
      <c r="D142" s="5" t="n">
        <v>0.01900237529691218</v>
      </c>
      <c r="E142" s="2" t="inlineStr">
        <is>
          <t>ratio (decimal; displayed as %)</t>
        </is>
      </c>
      <c r="F142" s="2" t="inlineStr">
        <is>
          <t>ok</t>
        </is>
      </c>
      <c r="G142" s="2" t="inlineStr">
        <is>
          <t>Diluted shares / Previous diluted shares − 1</t>
        </is>
      </c>
      <c r="H142" s="2" t="inlineStr"/>
      <c r="I142" s="2" t="inlineStr">
        <is>
          <t>{"basis": "reported"}</t>
        </is>
      </c>
    </row>
    <row r="143" ht="42" customHeight="1">
      <c r="A143" s="2" t="inlineStr">
        <is>
          <t>sbc-to-revenue</t>
        </is>
      </c>
      <c r="B143" s="2" t="inlineStr">
        <is>
          <t>dilution</t>
        </is>
      </c>
      <c r="C143" s="2" t="inlineStr">
        <is>
          <t>2021-10-31</t>
        </is>
      </c>
      <c r="D143" s="5" t="n">
        <v>0.06207650273224044</v>
      </c>
      <c r="E143" s="2" t="inlineStr">
        <is>
          <t>ratio (decimal; displayed as %)</t>
        </is>
      </c>
      <c r="F143" s="2" t="inlineStr">
        <is>
          <t>ok</t>
        </is>
      </c>
      <c r="G143" s="2" t="inlineStr">
        <is>
          <t>SBC / Revenue</t>
        </is>
      </c>
      <c r="H143" s="2" t="inlineStr"/>
      <c r="I143" s="2" t="inlineStr">
        <is>
          <t>{"basis": "reported"}</t>
        </is>
      </c>
    </row>
    <row r="144" ht="42" customHeight="1">
      <c r="A144" s="2" t="inlineStr">
        <is>
          <t>eps</t>
        </is>
      </c>
      <c r="B144" s="2" t="inlineStr">
        <is>
          <t>eps</t>
        </is>
      </c>
      <c r="C144" s="2" t="inlineStr">
        <is>
          <t>2021-10-31</t>
        </is>
      </c>
      <c r="D144" s="3" t="n">
        <v>1.5</v>
      </c>
      <c r="E144" s="2" t="inlineStr">
        <is>
          <t>USD/share</t>
        </is>
      </c>
      <c r="F144" s="2" t="inlineStr">
        <is>
          <t>ok</t>
        </is>
      </c>
      <c r="G144" s="2" t="inlineStr">
        <is>
          <t>Reported diluted EPS</t>
        </is>
      </c>
      <c r="H144" s="2" t="inlineStr"/>
      <c r="I144" s="2" t="inlineStr">
        <is>
          <t>{"basis": "reported"}</t>
        </is>
      </c>
    </row>
    <row r="145" ht="42" customHeight="1">
      <c r="A145" s="2" t="inlineStr">
        <is>
          <t>debt-due-3y</t>
        </is>
      </c>
      <c r="B145" s="2" t="inlineStr">
        <is>
          <t>refinancing-risk</t>
        </is>
      </c>
      <c r="C145" s="2" t="inlineStr">
        <is>
          <t>2021-10-31</t>
        </is>
      </c>
      <c r="D145" s="3" t="n">
        <v>2230000000</v>
      </c>
      <c r="E145" s="2" t="inlineStr">
        <is>
          <t>USD</t>
        </is>
      </c>
      <c r="F145" s="2" t="inlineStr">
        <is>
          <t>ok</t>
        </is>
      </c>
      <c r="G145" s="2" t="inlineStr">
        <is>
          <t>Debt maturities in years 1 + 2 + 3</t>
        </is>
      </c>
      <c r="H145" s="2" t="inlineStr"/>
      <c r="I145" s="2" t="inlineStr">
        <is>
          <t>{"basis": "reported"}</t>
        </is>
      </c>
    </row>
    <row r="146" ht="42" customHeight="1">
      <c r="A146" s="2" t="inlineStr">
        <is>
          <t>revenue-growth</t>
        </is>
      </c>
      <c r="B146" s="2" t="inlineStr">
        <is>
          <t>revenue</t>
        </is>
      </c>
      <c r="C146" s="2" t="inlineStr">
        <is>
          <t>2022-10-30</t>
        </is>
      </c>
      <c r="D146" s="5" t="n">
        <v>0.2095810564663023</v>
      </c>
      <c r="E146" s="2" t="inlineStr">
        <is>
          <t>ratio (decimal; displayed as %)</t>
        </is>
      </c>
      <c r="F146" s="2" t="inlineStr">
        <is>
          <t>ok</t>
        </is>
      </c>
      <c r="G146" s="2" t="inlineStr">
        <is>
          <t>Revenue / Previous revenue − 1</t>
        </is>
      </c>
      <c r="H146" s="2" t="inlineStr"/>
      <c r="I146" s="2" t="inlineStr">
        <is>
          <t>{"basis": "reported"}</t>
        </is>
      </c>
    </row>
    <row r="147" ht="42" customHeight="1">
      <c r="A147" s="2" t="inlineStr">
        <is>
          <t>gross-margin</t>
        </is>
      </c>
      <c r="B147" s="2" t="inlineStr">
        <is>
          <t>gross-margin</t>
        </is>
      </c>
      <c r="C147" s="2" t="inlineStr">
        <is>
          <t>2022-10-30</t>
        </is>
      </c>
      <c r="D147" s="5" t="n">
        <v>0.6654519169954523</v>
      </c>
      <c r="E147" s="2" t="inlineStr">
        <is>
          <t>ratio (decimal; displayed as %)</t>
        </is>
      </c>
      <c r="F147" s="2" t="inlineStr">
        <is>
          <t>ok</t>
        </is>
      </c>
      <c r="G147" s="2" t="inlineStr">
        <is>
          <t>Gross profit / Revenue</t>
        </is>
      </c>
      <c r="H147" s="2" t="inlineStr"/>
      <c r="I147" s="2" t="inlineStr">
        <is>
          <t>{"basis": "reported"}</t>
        </is>
      </c>
    </row>
    <row r="148" ht="42" customHeight="1">
      <c r="A148" s="2" t="inlineStr">
        <is>
          <t>operating-margin</t>
        </is>
      </c>
      <c r="B148" s="2" t="inlineStr">
        <is>
          <t>operating-margin</t>
        </is>
      </c>
      <c r="C148" s="2" t="inlineStr">
        <is>
          <t>2022-10-30</t>
        </is>
      </c>
      <c r="D148" s="5" t="n">
        <v>0.4284251423064181</v>
      </c>
      <c r="E148" s="2" t="inlineStr">
        <is>
          <t>ratio (decimal; displayed as %)</t>
        </is>
      </c>
      <c r="F148" s="2" t="inlineStr">
        <is>
          <t>ok</t>
        </is>
      </c>
      <c r="G148" s="2" t="inlineStr">
        <is>
          <t>Operating income / Revenue</t>
        </is>
      </c>
      <c r="H148" s="2" t="inlineStr"/>
      <c r="I148" s="2" t="inlineStr">
        <is>
          <t>{"basis": "reported"}</t>
        </is>
      </c>
    </row>
    <row r="149" ht="42" customHeight="1">
      <c r="A149" s="2" t="inlineStr">
        <is>
          <t>net-margin</t>
        </is>
      </c>
      <c r="B149" s="2" t="inlineStr">
        <is>
          <t>net-margin</t>
        </is>
      </c>
      <c r="C149" s="2" t="inlineStr">
        <is>
          <t>2022-10-30</t>
        </is>
      </c>
      <c r="D149" s="5" t="n">
        <v>0.3462036562961178</v>
      </c>
      <c r="E149" s="2" t="inlineStr">
        <is>
          <t>ratio (decimal; displayed as %)</t>
        </is>
      </c>
      <c r="F149" s="2" t="inlineStr">
        <is>
          <t>ok</t>
        </is>
      </c>
      <c r="G149" s="2" t="inlineStr">
        <is>
          <t>Net income / Revenue</t>
        </is>
      </c>
      <c r="H149" s="2" t="inlineStr"/>
      <c r="I149" s="2" t="inlineStr">
        <is>
          <t>{"basis": "reported"}</t>
        </is>
      </c>
    </row>
    <row r="150" ht="42" customHeight="1">
      <c r="A150" s="2" t="inlineStr">
        <is>
          <t>fcf</t>
        </is>
      </c>
      <c r="B150" s="2" t="inlineStr">
        <is>
          <t>fcf</t>
        </is>
      </c>
      <c r="C150" s="2" t="inlineStr">
        <is>
          <t>2022-10-30</t>
        </is>
      </c>
      <c r="D150" s="3" t="n">
        <v>16312000000</v>
      </c>
      <c r="E150" s="2" t="inlineStr">
        <is>
          <t>USD</t>
        </is>
      </c>
      <c r="F150" s="2" t="inlineStr">
        <is>
          <t>ok</t>
        </is>
      </c>
      <c r="G150" s="2" t="inlineStr">
        <is>
          <t>OCF − CapEx</t>
        </is>
      </c>
      <c r="H150" s="2" t="inlineStr"/>
      <c r="I150" s="2" t="inlineStr">
        <is>
          <t>{"basis": "reported"}</t>
        </is>
      </c>
    </row>
    <row r="151" ht="42" customHeight="1">
      <c r="A151" s="2" t="inlineStr">
        <is>
          <t>fcf-margin</t>
        </is>
      </c>
      <c r="B151" s="2" t="inlineStr">
        <is>
          <t>fcf-margin</t>
        </is>
      </c>
      <c r="C151" s="2" t="inlineStr">
        <is>
          <t>2022-10-30</t>
        </is>
      </c>
      <c r="D151" s="5" t="n">
        <v>0.4912809083516549</v>
      </c>
      <c r="E151" s="2" t="inlineStr">
        <is>
          <t>ratio (decimal; displayed as %)</t>
        </is>
      </c>
      <c r="F151" s="2" t="inlineStr">
        <is>
          <t>ok</t>
        </is>
      </c>
      <c r="G151" s="2" t="inlineStr">
        <is>
          <t>(OCF − CapEx) / Revenue</t>
        </is>
      </c>
      <c r="H151" s="2" t="inlineStr"/>
      <c r="I151" s="2" t="inlineStr">
        <is>
          <t>{"basis": "reported"}</t>
        </is>
      </c>
    </row>
    <row r="152" ht="42" customHeight="1">
      <c r="A152" s="2" t="inlineStr">
        <is>
          <t>fcff</t>
        </is>
      </c>
      <c r="B152" s="2" t="inlineStr">
        <is>
          <t>fcff</t>
        </is>
      </c>
      <c r="C152" s="2" t="inlineStr">
        <is>
          <t>2022-10-30</t>
        </is>
      </c>
      <c r="D152" s="3" t="n">
        <v>16384823950.45842</v>
      </c>
      <c r="E152" s="2" t="inlineStr">
        <is>
          <t>USD</t>
        </is>
      </c>
      <c r="F152" s="2" t="inlineStr">
        <is>
          <t>ok</t>
        </is>
      </c>
      <c r="G152" s="2" t="inlineStr">
        <is>
          <t>OCF + Interest × (1 − Tax rate) − CapEx − SBC</t>
        </is>
      </c>
      <c r="H152" s="2" t="inlineStr"/>
      <c r="I152" s="2" t="inlineStr">
        <is>
          <t>{"basis": "reported"}</t>
        </is>
      </c>
    </row>
    <row r="153" ht="42" customHeight="1">
      <c r="A153" s="6" t="inlineStr">
        <is>
          <t>fcfe</t>
        </is>
      </c>
      <c r="B153" s="6" t="inlineStr">
        <is>
          <t>fcfe</t>
        </is>
      </c>
      <c r="C153" s="6" t="inlineStr">
        <is>
          <t>2022-10-30</t>
        </is>
      </c>
      <c r="D153" s="6" t="n"/>
      <c r="E153" s="6" t="inlineStr">
        <is>
          <t>USD</t>
        </is>
      </c>
      <c r="F153" s="6" t="inlineStr">
        <is>
          <t>not_available</t>
        </is>
      </c>
      <c r="G153" s="6" t="inlineStr">
        <is>
          <t>Net income + D&amp;A − CapEx − ΔOperating working capital + (Debt issued − Debt repaid)</t>
        </is>
      </c>
      <c r="H153" s="6" t="inlineStr">
        <is>
          <t>d_and_a</t>
        </is>
      </c>
      <c r="I153" s="6" t="inlineStr">
        <is>
          <t>{"basis": "reported"}</t>
        </is>
      </c>
    </row>
    <row r="154" ht="42" customHeight="1">
      <c r="A154" s="6" t="inlineStr">
        <is>
          <t>owner-earnings</t>
        </is>
      </c>
      <c r="B154" s="6" t="inlineStr">
        <is>
          <t>owner-earnings</t>
        </is>
      </c>
      <c r="C154" s="6" t="inlineStr">
        <is>
          <t>2022-10-30</t>
        </is>
      </c>
      <c r="D154" s="6" t="n"/>
      <c r="E154" s="6" t="inlineStr">
        <is>
          <t>USD</t>
        </is>
      </c>
      <c r="F154" s="6" t="inlineStr">
        <is>
          <t>not_available</t>
        </is>
      </c>
      <c r="G154" s="6" t="inlineStr">
        <is>
          <t>Net income + D&amp;A − Maintenance CapEx (1 × D&amp;A) − ΔOperating working capital</t>
        </is>
      </c>
      <c r="H154" s="6" t="inlineStr">
        <is>
          <t>d_and_a</t>
        </is>
      </c>
      <c r="I154" s="6" t="inlineStr">
        <is>
          <t>{"basis": "reported"}</t>
        </is>
      </c>
    </row>
    <row r="155" ht="42" customHeight="1">
      <c r="A155" s="2" t="inlineStr">
        <is>
          <t>earnings-quality</t>
        </is>
      </c>
      <c r="B155" s="2" t="inlineStr">
        <is>
          <t>earnings-quality</t>
        </is>
      </c>
      <c r="C155" s="2" t="inlineStr">
        <is>
          <t>2022-10-30</t>
        </is>
      </c>
      <c r="D155" s="3" t="n">
        <v>1.455937364071335</v>
      </c>
      <c r="E155" s="2" t="inlineStr">
        <is>
          <t>multiple (x)</t>
        </is>
      </c>
      <c r="F155" s="2" t="inlineStr">
        <is>
          <t>ok</t>
        </is>
      </c>
      <c r="G155" s="2" t="inlineStr">
        <is>
          <t>OCF / Net income (only when net income &gt; 0)</t>
        </is>
      </c>
      <c r="H155" s="2" t="inlineStr"/>
      <c r="I155" s="2" t="inlineStr">
        <is>
          <t>{"basis": "reported"}</t>
        </is>
      </c>
    </row>
    <row r="156" ht="42" customHeight="1">
      <c r="A156" s="6" t="inlineStr">
        <is>
          <t>ebitda</t>
        </is>
      </c>
      <c r="B156" s="6" t="inlineStr">
        <is>
          <t>ebitda</t>
        </is>
      </c>
      <c r="C156" s="6" t="inlineStr">
        <is>
          <t>2022-10-30</t>
        </is>
      </c>
      <c r="D156" s="6" t="n"/>
      <c r="E156" s="6" t="inlineStr">
        <is>
          <t>USD</t>
        </is>
      </c>
      <c r="F156" s="6" t="inlineStr">
        <is>
          <t>not_available</t>
        </is>
      </c>
      <c r="G156" s="6" t="inlineStr">
        <is>
          <t>Operating income + D&amp;A</t>
        </is>
      </c>
      <c r="H156" s="6" t="inlineStr">
        <is>
          <t>d_and_a</t>
        </is>
      </c>
      <c r="I156" s="6" t="inlineStr">
        <is>
          <t>{"basis": "reported"}</t>
        </is>
      </c>
    </row>
    <row r="157" ht="42" customHeight="1">
      <c r="A157" s="2" t="inlineStr">
        <is>
          <t>nopat</t>
        </is>
      </c>
      <c r="B157" s="2" t="inlineStr">
        <is>
          <t>nopat</t>
        </is>
      </c>
      <c r="C157" s="2" t="inlineStr">
        <is>
          <t>2022-10-30</t>
        </is>
      </c>
      <c r="D157" s="3" t="n">
        <v>13150745938.55557</v>
      </c>
      <c r="E157" s="2" t="inlineStr">
        <is>
          <t>USD</t>
        </is>
      </c>
      <c r="F157" s="2" t="inlineStr">
        <is>
          <t>ok</t>
        </is>
      </c>
      <c r="G157" s="2" t="inlineStr">
        <is>
          <t>Operating income × (1 − Tax rate)</t>
        </is>
      </c>
      <c r="H157" s="2" t="inlineStr"/>
      <c r="I157" s="2" t="inlineStr">
        <is>
          <t>{"basis": "reported"}</t>
        </is>
      </c>
    </row>
    <row r="158" ht="42" customHeight="1">
      <c r="A158" s="2" t="inlineStr">
        <is>
          <t>invested-capital</t>
        </is>
      </c>
      <c r="B158" s="2" t="inlineStr">
        <is>
          <t>invested-capital</t>
        </is>
      </c>
      <c r="C158" s="2" t="inlineStr">
        <is>
          <t>2022-10-30</t>
        </is>
      </c>
      <c r="D158" s="3" t="n">
        <v>49771000000</v>
      </c>
      <c r="E158" s="2" t="inlineStr">
        <is>
          <t>USD</t>
        </is>
      </c>
      <c r="F158" s="2" t="inlineStr">
        <is>
          <t>ok</t>
        </is>
      </c>
      <c r="G158" s="2" t="inlineStr">
        <is>
          <t>Equity + Debt − Cash</t>
        </is>
      </c>
      <c r="H158" s="2" t="inlineStr"/>
      <c r="I158" s="2" t="inlineStr">
        <is>
          <t>{"basis": "reported"}</t>
        </is>
      </c>
    </row>
    <row r="159" ht="42" customHeight="1">
      <c r="A159" s="2" t="inlineStr">
        <is>
          <t>roic</t>
        </is>
      </c>
      <c r="B159" s="2" t="inlineStr">
        <is>
          <t>roic</t>
        </is>
      </c>
      <c r="C159" s="2" t="inlineStr">
        <is>
          <t>2022-10-30</t>
        </is>
      </c>
      <c r="D159" s="5" t="n">
        <v>0.2571669424986913</v>
      </c>
      <c r="E159" s="2" t="inlineStr">
        <is>
          <t>ratio (decimal; displayed as %)</t>
        </is>
      </c>
      <c r="F159" s="2" t="inlineStr">
        <is>
          <t>ok</t>
        </is>
      </c>
      <c r="G159" s="2" t="inlineStr">
        <is>
          <t>NOPAT / Average invested capital (only when invested capital &gt; 0)</t>
        </is>
      </c>
      <c r="H159" s="2" t="inlineStr"/>
      <c r="I159" s="2" t="inlineStr">
        <is>
          <t>{"basis": "reported"}</t>
        </is>
      </c>
    </row>
    <row r="160" ht="42" customHeight="1">
      <c r="A160" s="2" t="inlineStr">
        <is>
          <t>net-debt</t>
        </is>
      </c>
      <c r="B160" s="2" t="inlineStr">
        <is>
          <t>net-debt</t>
        </is>
      </c>
      <c r="C160" s="2" t="inlineStr">
        <is>
          <t>2022-10-30</t>
        </is>
      </c>
      <c r="D160" s="3" t="n">
        <v>27062000000</v>
      </c>
      <c r="E160" s="2" t="inlineStr">
        <is>
          <t>USD</t>
        </is>
      </c>
      <c r="F160" s="2" t="inlineStr">
        <is>
          <t>ok</t>
        </is>
      </c>
      <c r="G160" s="2" t="inlineStr">
        <is>
          <t>Debt − Cash</t>
        </is>
      </c>
      <c r="H160" s="2" t="inlineStr"/>
      <c r="I160" s="2" t="inlineStr">
        <is>
          <t>{"basis": "reported"}</t>
        </is>
      </c>
    </row>
    <row r="161" ht="42" customHeight="1">
      <c r="A161" s="6" t="inlineStr">
        <is>
          <t>debt-ebitda</t>
        </is>
      </c>
      <c r="B161" s="6" t="inlineStr">
        <is>
          <t>debt-ebitda</t>
        </is>
      </c>
      <c r="C161" s="6" t="inlineStr">
        <is>
          <t>2022-10-30</t>
        </is>
      </c>
      <c r="D161" s="6" t="n"/>
      <c r="E161" s="6" t="inlineStr">
        <is>
          <t>multiple (x)</t>
        </is>
      </c>
      <c r="F161" s="6" t="inlineStr">
        <is>
          <t>not_available</t>
        </is>
      </c>
      <c r="G161" s="6" t="inlineStr">
        <is>
          <t>Debt / EBITDA (only when EBITDA &gt; 0)</t>
        </is>
      </c>
      <c r="H161" s="6" t="inlineStr">
        <is>
          <t>ebitda</t>
        </is>
      </c>
      <c r="I161" s="6" t="inlineStr">
        <is>
          <t>{"basis": "reported"}</t>
        </is>
      </c>
    </row>
    <row r="162" ht="42" customHeight="1">
      <c r="A162" s="2" t="inlineStr">
        <is>
          <t>interest-coverage</t>
        </is>
      </c>
      <c r="B162" s="2" t="inlineStr">
        <is>
          <t>interest-coverage</t>
        </is>
      </c>
      <c r="C162" s="2" t="inlineStr">
        <is>
          <t>2022-10-30</t>
        </is>
      </c>
      <c r="D162" s="3" t="n">
        <v>8.189407023603914</v>
      </c>
      <c r="E162" s="2" t="inlineStr">
        <is>
          <t>multiple (x)</t>
        </is>
      </c>
      <c r="F162" s="2" t="inlineStr">
        <is>
          <t>ok</t>
        </is>
      </c>
      <c r="G162" s="2" t="inlineStr">
        <is>
          <t>Operating income / Interest expense (only when interest &gt; 0)</t>
        </is>
      </c>
      <c r="H162" s="2" t="inlineStr"/>
      <c r="I162" s="2" t="inlineStr">
        <is>
          <t>{"basis": "reported"}</t>
        </is>
      </c>
    </row>
    <row r="163" ht="42" customHeight="1">
      <c r="A163" s="2" t="inlineStr">
        <is>
          <t>current-ratio</t>
        </is>
      </c>
      <c r="B163" s="2" t="inlineStr">
        <is>
          <t>current-ratio</t>
        </is>
      </c>
      <c r="C163" s="2" t="inlineStr">
        <is>
          <t>2022-10-30</t>
        </is>
      </c>
      <c r="D163" s="3" t="n">
        <v>2.623936471922859</v>
      </c>
      <c r="E163" s="2" t="inlineStr">
        <is>
          <t>multiple (x)</t>
        </is>
      </c>
      <c r="F163" s="2" t="inlineStr">
        <is>
          <t>ok</t>
        </is>
      </c>
      <c r="G163" s="2" t="inlineStr">
        <is>
          <t>Current assets / Current liabilities</t>
        </is>
      </c>
      <c r="H163" s="2" t="inlineStr"/>
      <c r="I163" s="2" t="inlineStr">
        <is>
          <t>{"basis": "reported"}</t>
        </is>
      </c>
    </row>
    <row r="164" ht="42" customHeight="1">
      <c r="A164" s="2" t="inlineStr">
        <is>
          <t>tangible-book-value</t>
        </is>
      </c>
      <c r="B164" s="2" t="inlineStr">
        <is>
          <t>tangible-book-value</t>
        </is>
      </c>
      <c r="C164" s="2" t="inlineStr">
        <is>
          <t>2022-10-30</t>
        </is>
      </c>
      <c r="D164" s="3" t="n">
        <v>-28016000000</v>
      </c>
      <c r="E164" s="2" t="inlineStr">
        <is>
          <t>USD</t>
        </is>
      </c>
      <c r="F164" s="2" t="inlineStr">
        <is>
          <t>ok</t>
        </is>
      </c>
      <c r="G164" s="2" t="inlineStr">
        <is>
          <t>Equity − Preferred − Goodwill − Intangibles</t>
        </is>
      </c>
      <c r="H164" s="2" t="inlineStr"/>
      <c r="I164" s="2" t="inlineStr">
        <is>
          <t>{"basis": "reported"}</t>
        </is>
      </c>
    </row>
    <row r="165" ht="42" customHeight="1">
      <c r="A165" s="2" t="inlineStr">
        <is>
          <t>ncav</t>
        </is>
      </c>
      <c r="B165" s="2" t="inlineStr">
        <is>
          <t>ncav</t>
        </is>
      </c>
      <c r="C165" s="2" t="inlineStr">
        <is>
          <t>2022-10-30</t>
        </is>
      </c>
      <c r="D165" s="3" t="n">
        <v>-32036000000</v>
      </c>
      <c r="E165" s="2" t="inlineStr">
        <is>
          <t>USD</t>
        </is>
      </c>
      <c r="F165" s="2" t="inlineStr">
        <is>
          <t>ok</t>
        </is>
      </c>
      <c r="G165" s="2" t="inlineStr">
        <is>
          <t>Current assets − Total liabilities − Preferred</t>
        </is>
      </c>
      <c r="H165" s="2" t="inlineStr"/>
      <c r="I165" s="2" t="inlineStr">
        <is>
          <t>{"basis": "reported"}</t>
        </is>
      </c>
    </row>
    <row r="166" ht="42" customHeight="1">
      <c r="A166" s="2" t="inlineStr">
        <is>
          <t>dilution</t>
        </is>
      </c>
      <c r="B166" s="2" t="inlineStr">
        <is>
          <t>dilution</t>
        </is>
      </c>
      <c r="C166" s="2" t="inlineStr">
        <is>
          <t>2022-10-30</t>
        </is>
      </c>
      <c r="D166" s="5" t="n">
        <v>-0.01351981351981357</v>
      </c>
      <c r="E166" s="2" t="inlineStr">
        <is>
          <t>ratio (decimal; displayed as %)</t>
        </is>
      </c>
      <c r="F166" s="2" t="inlineStr">
        <is>
          <t>ok</t>
        </is>
      </c>
      <c r="G166" s="2" t="inlineStr">
        <is>
          <t>Diluted shares / Previous diluted shares − 1</t>
        </is>
      </c>
      <c r="H166" s="2" t="inlineStr"/>
      <c r="I166" s="2" t="inlineStr">
        <is>
          <t>{"basis": "reported"}</t>
        </is>
      </c>
    </row>
    <row r="167" ht="42" customHeight="1">
      <c r="A167" s="2" t="inlineStr">
        <is>
          <t>sbc-to-revenue</t>
        </is>
      </c>
      <c r="B167" s="2" t="inlineStr">
        <is>
          <t>dilution</t>
        </is>
      </c>
      <c r="C167" s="2" t="inlineStr">
        <is>
          <t>2022-10-30</t>
        </is>
      </c>
      <c r="D167" s="5" t="n">
        <v>0.04617052675963015</v>
      </c>
      <c r="E167" s="2" t="inlineStr">
        <is>
          <t>ratio (decimal; displayed as %)</t>
        </is>
      </c>
      <c r="F167" s="2" t="inlineStr">
        <is>
          <t>ok</t>
        </is>
      </c>
      <c r="G167" s="2" t="inlineStr">
        <is>
          <t>SBC / Revenue</t>
        </is>
      </c>
      <c r="H167" s="2" t="inlineStr"/>
      <c r="I167" s="2" t="inlineStr">
        <is>
          <t>{"basis": "reported"}</t>
        </is>
      </c>
    </row>
    <row r="168" ht="42" customHeight="1">
      <c r="A168" s="2" t="inlineStr">
        <is>
          <t>eps</t>
        </is>
      </c>
      <c r="B168" s="2" t="inlineStr">
        <is>
          <t>eps</t>
        </is>
      </c>
      <c r="C168" s="2" t="inlineStr">
        <is>
          <t>2022-10-30</t>
        </is>
      </c>
      <c r="D168" s="3" t="n">
        <v>2.65</v>
      </c>
      <c r="E168" s="2" t="inlineStr">
        <is>
          <t>USD/share</t>
        </is>
      </c>
      <c r="F168" s="2" t="inlineStr">
        <is>
          <t>ok</t>
        </is>
      </c>
      <c r="G168" s="2" t="inlineStr">
        <is>
          <t>Reported diluted EPS</t>
        </is>
      </c>
      <c r="H168" s="2" t="inlineStr"/>
      <c r="I168" s="2" t="inlineStr">
        <is>
          <t>{"basis": "reported"}</t>
        </is>
      </c>
    </row>
    <row r="169" ht="42" customHeight="1">
      <c r="A169" s="2" t="inlineStr">
        <is>
          <t>debt-due-3y</t>
        </is>
      </c>
      <c r="B169" s="2" t="inlineStr">
        <is>
          <t>refinancing-risk</t>
        </is>
      </c>
      <c r="C169" s="2" t="inlineStr">
        <is>
          <t>2022-10-30</t>
        </is>
      </c>
      <c r="D169" s="3" t="n">
        <v>2461000000</v>
      </c>
      <c r="E169" s="2" t="inlineStr">
        <is>
          <t>USD</t>
        </is>
      </c>
      <c r="F169" s="2" t="inlineStr">
        <is>
          <t>ok</t>
        </is>
      </c>
      <c r="G169" s="2" t="inlineStr">
        <is>
          <t>Debt maturities in years 1 + 2 + 3</t>
        </is>
      </c>
      <c r="H169" s="2" t="inlineStr"/>
      <c r="I169" s="2" t="inlineStr">
        <is>
          <t>{"basis": "reported"}</t>
        </is>
      </c>
    </row>
    <row r="170" ht="42" customHeight="1">
      <c r="A170" s="2" t="inlineStr">
        <is>
          <t>revenue-growth</t>
        </is>
      </c>
      <c r="B170" s="2" t="inlineStr">
        <is>
          <t>revenue</t>
        </is>
      </c>
      <c r="C170" s="2" t="inlineStr">
        <is>
          <t>2023-10-29</t>
        </is>
      </c>
      <c r="D170" s="5" t="n">
        <v>0.07878806131976024</v>
      </c>
      <c r="E170" s="2" t="inlineStr">
        <is>
          <t>ratio (decimal; displayed as %)</t>
        </is>
      </c>
      <c r="F170" s="2" t="inlineStr">
        <is>
          <t>ok</t>
        </is>
      </c>
      <c r="G170" s="2" t="inlineStr">
        <is>
          <t>Revenue / Previous revenue − 1</t>
        </is>
      </c>
      <c r="H170" s="2" t="inlineStr"/>
      <c r="I170" s="2" t="inlineStr">
        <is>
          <t>{"basis": "reported"}</t>
        </is>
      </c>
    </row>
    <row r="171" ht="42" customHeight="1">
      <c r="A171" s="2" t="inlineStr">
        <is>
          <t>gross-margin</t>
        </is>
      </c>
      <c r="B171" s="2" t="inlineStr">
        <is>
          <t>gross-margin</t>
        </is>
      </c>
      <c r="C171" s="2" t="inlineStr">
        <is>
          <t>2023-10-29</t>
        </is>
      </c>
      <c r="D171" s="5" t="n">
        <v>0.6892989754041151</v>
      </c>
      <c r="E171" s="2" t="inlineStr">
        <is>
          <t>ratio (decimal; displayed as %)</t>
        </is>
      </c>
      <c r="F171" s="2" t="inlineStr">
        <is>
          <t>ok</t>
        </is>
      </c>
      <c r="G171" s="2" t="inlineStr">
        <is>
          <t>Gross profit / Revenue</t>
        </is>
      </c>
      <c r="H171" s="2" t="inlineStr"/>
      <c r="I171" s="2" t="inlineStr">
        <is>
          <t>{"basis": "reported"}</t>
        </is>
      </c>
    </row>
    <row r="172" ht="42" customHeight="1">
      <c r="A172" s="2" t="inlineStr">
        <is>
          <t>operating-margin</t>
        </is>
      </c>
      <c r="B172" s="2" t="inlineStr">
        <is>
          <t>operating-margin</t>
        </is>
      </c>
      <c r="C172" s="2" t="inlineStr">
        <is>
          <t>2023-10-29</t>
        </is>
      </c>
      <c r="D172" s="5" t="n">
        <v>0.452469359836958</v>
      </c>
      <c r="E172" s="2" t="inlineStr">
        <is>
          <t>ratio (decimal; displayed as %)</t>
        </is>
      </c>
      <c r="F172" s="2" t="inlineStr">
        <is>
          <t>ok</t>
        </is>
      </c>
      <c r="G172" s="2" t="inlineStr">
        <is>
          <t>Operating income / Revenue</t>
        </is>
      </c>
      <c r="H172" s="2" t="inlineStr"/>
      <c r="I172" s="2" t="inlineStr">
        <is>
          <t>{"basis": "reported"}</t>
        </is>
      </c>
    </row>
    <row r="173" ht="42" customHeight="1">
      <c r="A173" s="2" t="inlineStr">
        <is>
          <t>net-margin</t>
        </is>
      </c>
      <c r="B173" s="2" t="inlineStr">
        <is>
          <t>net-margin</t>
        </is>
      </c>
      <c r="C173" s="2" t="inlineStr">
        <is>
          <t>2023-10-29</t>
        </is>
      </c>
      <c r="D173" s="5" t="n">
        <v>0.3931433038331612</v>
      </c>
      <c r="E173" s="2" t="inlineStr">
        <is>
          <t>ratio (decimal; displayed as %)</t>
        </is>
      </c>
      <c r="F173" s="2" t="inlineStr">
        <is>
          <t>ok</t>
        </is>
      </c>
      <c r="G173" s="2" t="inlineStr">
        <is>
          <t>Net income / Revenue</t>
        </is>
      </c>
      <c r="H173" s="2" t="inlineStr"/>
      <c r="I173" s="2" t="inlineStr">
        <is>
          <t>{"basis": "reported"}</t>
        </is>
      </c>
    </row>
    <row r="174" ht="42" customHeight="1">
      <c r="A174" s="2" t="inlineStr">
        <is>
          <t>fcf</t>
        </is>
      </c>
      <c r="B174" s="2" t="inlineStr">
        <is>
          <t>fcf</t>
        </is>
      </c>
      <c r="C174" s="2" t="inlineStr">
        <is>
          <t>2023-10-29</t>
        </is>
      </c>
      <c r="D174" s="3" t="n">
        <v>17633000000</v>
      </c>
      <c r="E174" s="2" t="inlineStr">
        <is>
          <t>USD</t>
        </is>
      </c>
      <c r="F174" s="2" t="inlineStr">
        <is>
          <t>ok</t>
        </is>
      </c>
      <c r="G174" s="2" t="inlineStr">
        <is>
          <t>OCF − CapEx</t>
        </is>
      </c>
      <c r="H174" s="2" t="inlineStr"/>
      <c r="I174" s="2" t="inlineStr">
        <is>
          <t>{"basis": "reported"}</t>
        </is>
      </c>
    </row>
    <row r="175" ht="42" customHeight="1">
      <c r="A175" s="2" t="inlineStr">
        <is>
          <t>fcf-margin</t>
        </is>
      </c>
      <c r="B175" s="2" t="inlineStr">
        <is>
          <t>fcf-margin</t>
        </is>
      </c>
      <c r="C175" s="2" t="inlineStr">
        <is>
          <t>2023-10-29</t>
        </is>
      </c>
      <c r="D175" s="5" t="n">
        <v>0.492280633183506</v>
      </c>
      <c r="E175" s="2" t="inlineStr">
        <is>
          <t>ratio (decimal; displayed as %)</t>
        </is>
      </c>
      <c r="F175" s="2" t="inlineStr">
        <is>
          <t>ok</t>
        </is>
      </c>
      <c r="G175" s="2" t="inlineStr">
        <is>
          <t>(OCF − CapEx) / Revenue</t>
        </is>
      </c>
      <c r="H175" s="2" t="inlineStr"/>
      <c r="I175" s="2" t="inlineStr">
        <is>
          <t>{"basis": "reported"}</t>
        </is>
      </c>
    </row>
    <row r="176" ht="42" customHeight="1">
      <c r="A176" s="2" t="inlineStr">
        <is>
          <t>fcff</t>
        </is>
      </c>
      <c r="B176" s="2" t="inlineStr">
        <is>
          <t>fcff</t>
        </is>
      </c>
      <c r="C176" s="2" t="inlineStr">
        <is>
          <t>2023-10-29</t>
        </is>
      </c>
      <c r="D176" s="3" t="n">
        <v>16974949857.5876</v>
      </c>
      <c r="E176" s="2" t="inlineStr">
        <is>
          <t>USD</t>
        </is>
      </c>
      <c r="F176" s="2" t="inlineStr">
        <is>
          <t>ok</t>
        </is>
      </c>
      <c r="G176" s="2" t="inlineStr">
        <is>
          <t>OCF + Interest × (1 − Tax rate) − CapEx − SBC</t>
        </is>
      </c>
      <c r="H176" s="2" t="inlineStr"/>
      <c r="I176" s="2" t="inlineStr">
        <is>
          <t>{"basis": "reported"}</t>
        </is>
      </c>
    </row>
    <row r="177" ht="42" customHeight="1">
      <c r="A177" s="2" t="inlineStr">
        <is>
          <t>fcfe</t>
        </is>
      </c>
      <c r="B177" s="2" t="inlineStr">
        <is>
          <t>fcfe</t>
        </is>
      </c>
      <c r="C177" s="2" t="inlineStr">
        <is>
          <t>2023-10-29</t>
        </is>
      </c>
      <c r="D177" s="3" t="n">
        <v>17019000000</v>
      </c>
      <c r="E177" s="2" t="inlineStr">
        <is>
          <t>USD</t>
        </is>
      </c>
      <c r="F177" s="2" t="inlineStr">
        <is>
          <t>ok</t>
        </is>
      </c>
      <c r="G177" s="2" t="inlineStr">
        <is>
          <t>Net income + D&amp;A − CapEx − ΔOperating working capital + (Debt issued − Debt repaid)</t>
        </is>
      </c>
      <c r="H177" s="2" t="inlineStr"/>
      <c r="I177" s="2" t="inlineStr">
        <is>
          <t>{"basis": "reported"}</t>
        </is>
      </c>
    </row>
    <row r="178" ht="42" customHeight="1">
      <c r="A178" s="2" t="inlineStr">
        <is>
          <t>owner-earnings</t>
        </is>
      </c>
      <c r="B178" s="2" t="inlineStr">
        <is>
          <t>owner-earnings</t>
        </is>
      </c>
      <c r="C178" s="2" t="inlineStr">
        <is>
          <t>2023-10-29</t>
        </is>
      </c>
      <c r="D178" s="3" t="n">
        <v>14125000000</v>
      </c>
      <c r="E178" s="2" t="inlineStr">
        <is>
          <t>USD</t>
        </is>
      </c>
      <c r="F178" s="2" t="inlineStr">
        <is>
          <t>ok</t>
        </is>
      </c>
      <c r="G178" s="2" t="inlineStr">
        <is>
          <t>Net income + D&amp;A − Maintenance CapEx (1 × D&amp;A) − ΔOperating working capital</t>
        </is>
      </c>
      <c r="H178" s="2" t="inlineStr"/>
      <c r="I178" s="2" t="inlineStr">
        <is>
          <t>{"basis": "reported"}</t>
        </is>
      </c>
    </row>
    <row r="179" ht="42" customHeight="1">
      <c r="A179" s="2" t="inlineStr">
        <is>
          <t>earnings-quality</t>
        </is>
      </c>
      <c r="B179" s="2" t="inlineStr">
        <is>
          <t>earnings-quality</t>
        </is>
      </c>
      <c r="C179" s="2" t="inlineStr">
        <is>
          <t>2023-10-29</t>
        </is>
      </c>
      <c r="D179" s="3" t="n">
        <v>1.284263598920608</v>
      </c>
      <c r="E179" s="2" t="inlineStr">
        <is>
          <t>multiple (x)</t>
        </is>
      </c>
      <c r="F179" s="2" t="inlineStr">
        <is>
          <t>ok</t>
        </is>
      </c>
      <c r="G179" s="2" t="inlineStr">
        <is>
          <t>OCF / Net income (only when net income &gt; 0)</t>
        </is>
      </c>
      <c r="H179" s="2" t="inlineStr"/>
      <c r="I179" s="2" t="inlineStr">
        <is>
          <t>{"basis": "reported"}</t>
        </is>
      </c>
    </row>
    <row r="180" ht="42" customHeight="1">
      <c r="A180" s="2" t="inlineStr">
        <is>
          <t>ebitda</t>
        </is>
      </c>
      <c r="B180" s="2" t="inlineStr">
        <is>
          <t>ebitda</t>
        </is>
      </c>
      <c r="C180" s="2" t="inlineStr">
        <is>
          <t>2023-10-29</t>
        </is>
      </c>
      <c r="D180" s="3" t="n">
        <v>19956000000</v>
      </c>
      <c r="E180" s="2" t="inlineStr">
        <is>
          <t>USD</t>
        </is>
      </c>
      <c r="F180" s="2" t="inlineStr">
        <is>
          <t>ok</t>
        </is>
      </c>
      <c r="G180" s="2" t="inlineStr">
        <is>
          <t>Operating income + D&amp;A</t>
        </is>
      </c>
      <c r="H180" s="2" t="inlineStr"/>
      <c r="I180" s="2" t="inlineStr">
        <is>
          <t>{"basis": "reported"}</t>
        </is>
      </c>
    </row>
    <row r="181" ht="42" customHeight="1">
      <c r="A181" s="2" t="inlineStr">
        <is>
          <t>nopat</t>
        </is>
      </c>
      <c r="B181" s="2" t="inlineStr">
        <is>
          <t>nopat</t>
        </is>
      </c>
      <c r="C181" s="2" t="inlineStr">
        <is>
          <t>2023-10-29</t>
        </is>
      </c>
      <c r="D181" s="3" t="n">
        <v>15117372590.58091</v>
      </c>
      <c r="E181" s="2" t="inlineStr">
        <is>
          <t>USD</t>
        </is>
      </c>
      <c r="F181" s="2" t="inlineStr">
        <is>
          <t>ok</t>
        </is>
      </c>
      <c r="G181" s="2" t="inlineStr">
        <is>
          <t>Operating income × (1 − Tax rate)</t>
        </is>
      </c>
      <c r="H181" s="2" t="inlineStr"/>
      <c r="I181" s="2" t="inlineStr">
        <is>
          <t>{"basis": "reported"}</t>
        </is>
      </c>
    </row>
    <row r="182" ht="42" customHeight="1">
      <c r="A182" s="2" t="inlineStr">
        <is>
          <t>invested-capital</t>
        </is>
      </c>
      <c r="B182" s="2" t="inlineStr">
        <is>
          <t>invested-capital</t>
        </is>
      </c>
      <c r="C182" s="2" t="inlineStr">
        <is>
          <t>2023-10-29</t>
        </is>
      </c>
      <c r="D182" s="3" t="n">
        <v>48983000000</v>
      </c>
      <c r="E182" s="2" t="inlineStr">
        <is>
          <t>USD</t>
        </is>
      </c>
      <c r="F182" s="2" t="inlineStr">
        <is>
          <t>ok</t>
        </is>
      </c>
      <c r="G182" s="2" t="inlineStr">
        <is>
          <t>Equity + Debt − Cash</t>
        </is>
      </c>
      <c r="H182" s="2" t="inlineStr"/>
      <c r="I182" s="2" t="inlineStr">
        <is>
          <t>{"basis": "reported"}</t>
        </is>
      </c>
    </row>
    <row r="183" ht="42" customHeight="1">
      <c r="A183" s="2" t="inlineStr">
        <is>
          <t>roic</t>
        </is>
      </c>
      <c r="B183" s="2" t="inlineStr">
        <is>
          <t>roic</t>
        </is>
      </c>
      <c r="C183" s="2" t="inlineStr">
        <is>
          <t>2023-10-29</t>
        </is>
      </c>
      <c r="D183" s="5" t="n">
        <v>0.3061622332377607</v>
      </c>
      <c r="E183" s="2" t="inlineStr">
        <is>
          <t>ratio (decimal; displayed as %)</t>
        </is>
      </c>
      <c r="F183" s="2" t="inlineStr">
        <is>
          <t>ok</t>
        </is>
      </c>
      <c r="G183" s="2" t="inlineStr">
        <is>
          <t>NOPAT / Average invested capital (only when invested capital &gt; 0)</t>
        </is>
      </c>
      <c r="H183" s="2" t="inlineStr"/>
      <c r="I183" s="2" t="inlineStr">
        <is>
          <t>{"basis": "reported"}</t>
        </is>
      </c>
    </row>
    <row r="184" ht="42" customHeight="1">
      <c r="A184" s="2" t="inlineStr">
        <is>
          <t>net-debt</t>
        </is>
      </c>
      <c r="B184" s="2" t="inlineStr">
        <is>
          <t>net-debt</t>
        </is>
      </c>
      <c r="C184" s="2" t="inlineStr">
        <is>
          <t>2023-10-29</t>
        </is>
      </c>
      <c r="D184" s="3" t="n">
        <v>24995000000</v>
      </c>
      <c r="E184" s="2" t="inlineStr">
        <is>
          <t>USD</t>
        </is>
      </c>
      <c r="F184" s="2" t="inlineStr">
        <is>
          <t>ok</t>
        </is>
      </c>
      <c r="G184" s="2" t="inlineStr">
        <is>
          <t>Debt − Cash</t>
        </is>
      </c>
      <c r="H184" s="2" t="inlineStr"/>
      <c r="I184" s="2" t="inlineStr">
        <is>
          <t>{"basis": "reported"}</t>
        </is>
      </c>
    </row>
    <row r="185" ht="42" customHeight="1">
      <c r="A185" s="2" t="inlineStr">
        <is>
          <t>debt-ebitda</t>
        </is>
      </c>
      <c r="B185" s="2" t="inlineStr">
        <is>
          <t>debt-ebitda</t>
        </is>
      </c>
      <c r="C185" s="2" t="inlineStr">
        <is>
          <t>2023-10-29</t>
        </is>
      </c>
      <c r="D185" s="3" t="n">
        <v>1.963519743435558</v>
      </c>
      <c r="E185" s="2" t="inlineStr">
        <is>
          <t>multiple (x)</t>
        </is>
      </c>
      <c r="F185" s="2" t="inlineStr">
        <is>
          <t>ok</t>
        </is>
      </c>
      <c r="G185" s="2" t="inlineStr">
        <is>
          <t>Debt / EBITDA (only when EBITDA &gt; 0)</t>
        </is>
      </c>
      <c r="H185" s="2" t="inlineStr"/>
      <c r="I185" s="2" t="inlineStr">
        <is>
          <t>{"basis": "reported"}</t>
        </is>
      </c>
    </row>
    <row r="186" ht="42" customHeight="1">
      <c r="A186" s="2" t="inlineStr">
        <is>
          <t>interest-coverage</t>
        </is>
      </c>
      <c r="B186" s="2" t="inlineStr">
        <is>
          <t>interest-coverage</t>
        </is>
      </c>
      <c r="C186" s="2" t="inlineStr">
        <is>
          <t>2023-10-29</t>
        </is>
      </c>
      <c r="D186" s="3" t="n">
        <v>9.991985203452527</v>
      </c>
      <c r="E186" s="2" t="inlineStr">
        <is>
          <t>multiple (x)</t>
        </is>
      </c>
      <c r="F186" s="2" t="inlineStr">
        <is>
          <t>ok</t>
        </is>
      </c>
      <c r="G186" s="2" t="inlineStr">
        <is>
          <t>Operating income / Interest expense (only when interest &gt; 0)</t>
        </is>
      </c>
      <c r="H186" s="2" t="inlineStr"/>
      <c r="I186" s="2" t="inlineStr">
        <is>
          <t>{"basis": "reported"}</t>
        </is>
      </c>
    </row>
    <row r="187" ht="42" customHeight="1">
      <c r="A187" s="2" t="inlineStr">
        <is>
          <t>current-ratio</t>
        </is>
      </c>
      <c r="B187" s="2" t="inlineStr">
        <is>
          <t>current-ratio</t>
        </is>
      </c>
      <c r="C187" s="2" t="inlineStr">
        <is>
          <t>2023-10-29</t>
        </is>
      </c>
      <c r="D187" s="3" t="n">
        <v>2.815259959486833</v>
      </c>
      <c r="E187" s="2" t="inlineStr">
        <is>
          <t>multiple (x)</t>
        </is>
      </c>
      <c r="F187" s="2" t="inlineStr">
        <is>
          <t>ok</t>
        </is>
      </c>
      <c r="G187" s="2" t="inlineStr">
        <is>
          <t>Current assets / Current liabilities</t>
        </is>
      </c>
      <c r="H187" s="2" t="inlineStr"/>
      <c r="I187" s="2" t="inlineStr">
        <is>
          <t>{"basis": "reported"}</t>
        </is>
      </c>
    </row>
    <row r="188" ht="42" customHeight="1">
      <c r="A188" s="2" t="inlineStr">
        <is>
          <t>tangible-book-value</t>
        </is>
      </c>
      <c r="B188" s="2" t="inlineStr">
        <is>
          <t>tangible-book-value</t>
        </is>
      </c>
      <c r="C188" s="2" t="inlineStr">
        <is>
          <t>2023-10-29</t>
        </is>
      </c>
      <c r="D188" s="3" t="n">
        <v>-23532000000</v>
      </c>
      <c r="E188" s="2" t="inlineStr">
        <is>
          <t>USD</t>
        </is>
      </c>
      <c r="F188" s="2" t="inlineStr">
        <is>
          <t>ok</t>
        </is>
      </c>
      <c r="G188" s="2" t="inlineStr">
        <is>
          <t>Equity − Preferred − Goodwill − Intangibles</t>
        </is>
      </c>
      <c r="H188" s="2" t="inlineStr"/>
      <c r="I188" s="2" t="inlineStr">
        <is>
          <t>{"basis": "reported"}</t>
        </is>
      </c>
    </row>
    <row r="189" ht="42" customHeight="1">
      <c r="A189" s="2" t="inlineStr">
        <is>
          <t>ncav</t>
        </is>
      </c>
      <c r="B189" s="2" t="inlineStr">
        <is>
          <t>ncav</t>
        </is>
      </c>
      <c r="C189" s="2" t="inlineStr">
        <is>
          <t>2023-10-29</t>
        </is>
      </c>
      <c r="D189" s="3" t="n">
        <v>-28026000000</v>
      </c>
      <c r="E189" s="2" t="inlineStr">
        <is>
          <t>USD</t>
        </is>
      </c>
      <c r="F189" s="2" t="inlineStr">
        <is>
          <t>ok</t>
        </is>
      </c>
      <c r="G189" s="2" t="inlineStr">
        <is>
          <t>Current assets − Total liabilities − Preferred</t>
        </is>
      </c>
      <c r="H189" s="2" t="inlineStr"/>
      <c r="I189" s="2" t="inlineStr">
        <is>
          <t>{"basis": "reported"}</t>
        </is>
      </c>
    </row>
    <row r="190" ht="42" customHeight="1">
      <c r="A190" s="2" t="inlineStr">
        <is>
          <t>dilution</t>
        </is>
      </c>
      <c r="B190" s="2" t="inlineStr">
        <is>
          <t>dilution</t>
        </is>
      </c>
      <c r="C190" s="2" t="inlineStr">
        <is>
          <t>2023-10-29</t>
        </is>
      </c>
      <c r="D190" s="5" t="n">
        <v>0.00945179584120992</v>
      </c>
      <c r="E190" s="2" t="inlineStr">
        <is>
          <t>ratio (decimal; displayed as %)</t>
        </is>
      </c>
      <c r="F190" s="2" t="inlineStr">
        <is>
          <t>ok</t>
        </is>
      </c>
      <c r="G190" s="2" t="inlineStr">
        <is>
          <t>Diluted shares / Previous diluted shares − 1</t>
        </is>
      </c>
      <c r="H190" s="2" t="inlineStr"/>
      <c r="I190" s="2" t="inlineStr">
        <is>
          <t>{"basis": "reported"}</t>
        </is>
      </c>
    </row>
    <row r="191" ht="42" customHeight="1">
      <c r="A191" s="2" t="inlineStr">
        <is>
          <t>sbc-to-revenue</t>
        </is>
      </c>
      <c r="B191" s="2" t="inlineStr">
        <is>
          <t>dilution</t>
        </is>
      </c>
      <c r="C191" s="2" t="inlineStr">
        <is>
          <t>2023-10-29</t>
        </is>
      </c>
      <c r="D191" s="5" t="n">
        <v>0.06061029062787906</v>
      </c>
      <c r="E191" s="2" t="inlineStr">
        <is>
          <t>ratio (decimal; displayed as %)</t>
        </is>
      </c>
      <c r="F191" s="2" t="inlineStr">
        <is>
          <t>ok</t>
        </is>
      </c>
      <c r="G191" s="2" t="inlineStr">
        <is>
          <t>SBC / Revenue</t>
        </is>
      </c>
      <c r="H191" s="2" t="inlineStr"/>
      <c r="I191" s="2" t="inlineStr">
        <is>
          <t>{"basis": "reported"}</t>
        </is>
      </c>
    </row>
    <row r="192" ht="42" customHeight="1">
      <c r="A192" s="2" t="inlineStr">
        <is>
          <t>eps</t>
        </is>
      </c>
      <c r="B192" s="2" t="inlineStr">
        <is>
          <t>eps</t>
        </is>
      </c>
      <c r="C192" s="2" t="inlineStr">
        <is>
          <t>2023-10-29</t>
        </is>
      </c>
      <c r="D192" s="3" t="n">
        <v>3.3</v>
      </c>
      <c r="E192" s="2" t="inlineStr">
        <is>
          <t>USD/share</t>
        </is>
      </c>
      <c r="F192" s="2" t="inlineStr">
        <is>
          <t>ok</t>
        </is>
      </c>
      <c r="G192" s="2" t="inlineStr">
        <is>
          <t>Reported diluted EPS</t>
        </is>
      </c>
      <c r="H192" s="2" t="inlineStr"/>
      <c r="I192" s="2" t="inlineStr">
        <is>
          <t>{"basis": "reported"}</t>
        </is>
      </c>
    </row>
    <row r="193" ht="42" customHeight="1">
      <c r="A193" s="2" t="inlineStr">
        <is>
          <t>debt-due-3y</t>
        </is>
      </c>
      <c r="B193" s="2" t="inlineStr">
        <is>
          <t>refinancing-risk</t>
        </is>
      </c>
      <c r="C193" s="2" t="inlineStr">
        <is>
          <t>2023-10-29</t>
        </is>
      </c>
      <c r="D193" s="3" t="n">
        <v>3710000000</v>
      </c>
      <c r="E193" s="2" t="inlineStr">
        <is>
          <t>USD</t>
        </is>
      </c>
      <c r="F193" s="2" t="inlineStr">
        <is>
          <t>ok</t>
        </is>
      </c>
      <c r="G193" s="2" t="inlineStr">
        <is>
          <t>Debt maturities in years 1 + 2 + 3</t>
        </is>
      </c>
      <c r="H193" s="2" t="inlineStr"/>
      <c r="I193" s="2" t="inlineStr">
        <is>
          <t>{"basis": "reported"}</t>
        </is>
      </c>
    </row>
    <row r="194" ht="42" customHeight="1">
      <c r="A194" s="2" t="inlineStr">
        <is>
          <t>revenue-growth</t>
        </is>
      </c>
      <c r="B194" s="2" t="inlineStr">
        <is>
          <t>revenue</t>
        </is>
      </c>
      <c r="C194" s="2" t="inlineStr">
        <is>
          <t>2024-11-03</t>
        </is>
      </c>
      <c r="D194" s="5" t="n">
        <v>0.4126833708472419</v>
      </c>
      <c r="E194" s="2" t="inlineStr">
        <is>
          <t>ratio (decimal; displayed as %)</t>
        </is>
      </c>
      <c r="F194" s="2" t="inlineStr">
        <is>
          <t>ok</t>
        </is>
      </c>
      <c r="G194" s="2" t="inlineStr">
        <is>
          <t>Revenue / Previous revenue − 1 (annualized: 53-week year scaled to 364 days)</t>
        </is>
      </c>
      <c r="H194" s="2" t="inlineStr"/>
      <c r="I194" s="2" t="inlineStr">
        <is>
          <t>{"basis": "reported"}</t>
        </is>
      </c>
    </row>
    <row r="195" ht="42" customHeight="1">
      <c r="A195" s="2" t="inlineStr">
        <is>
          <t>gross-margin</t>
        </is>
      </c>
      <c r="B195" s="2" t="inlineStr">
        <is>
          <t>gross-margin</t>
        </is>
      </c>
      <c r="C195" s="2" t="inlineStr">
        <is>
          <t>2024-11-03</t>
        </is>
      </c>
      <c r="D195" s="5" t="n">
        <v>0.6303369915073487</v>
      </c>
      <c r="E195" s="2" t="inlineStr">
        <is>
          <t>ratio (decimal; displayed as %)</t>
        </is>
      </c>
      <c r="F195" s="2" t="inlineStr">
        <is>
          <t>ok</t>
        </is>
      </c>
      <c r="G195" s="2" t="inlineStr">
        <is>
          <t>Gross profit / Revenue</t>
        </is>
      </c>
      <c r="H195" s="2" t="inlineStr"/>
      <c r="I195" s="2" t="inlineStr">
        <is>
          <t>{"basis": "reported"}</t>
        </is>
      </c>
    </row>
    <row r="196" ht="42" customHeight="1">
      <c r="A196" s="2" t="inlineStr">
        <is>
          <t>operating-margin</t>
        </is>
      </c>
      <c r="B196" s="2" t="inlineStr">
        <is>
          <t>operating-margin</t>
        </is>
      </c>
      <c r="C196" s="2" t="inlineStr">
        <is>
          <t>2024-11-03</t>
        </is>
      </c>
      <c r="D196" s="5" t="n">
        <v>0.26104238569822</v>
      </c>
      <c r="E196" s="2" t="inlineStr">
        <is>
          <t>ratio (decimal; displayed as %)</t>
        </is>
      </c>
      <c r="F196" s="2" t="inlineStr">
        <is>
          <t>ok</t>
        </is>
      </c>
      <c r="G196" s="2" t="inlineStr">
        <is>
          <t>Operating income / Revenue</t>
        </is>
      </c>
      <c r="H196" s="2" t="inlineStr"/>
      <c r="I196" s="2" t="inlineStr">
        <is>
          <t>{"basis": "reported"}</t>
        </is>
      </c>
    </row>
    <row r="197" ht="42" customHeight="1">
      <c r="A197" s="2" t="inlineStr">
        <is>
          <t>net-margin</t>
        </is>
      </c>
      <c r="B197" s="2" t="inlineStr">
        <is>
          <t>net-margin</t>
        </is>
      </c>
      <c r="C197" s="2" t="inlineStr">
        <is>
          <t>2024-11-03</t>
        </is>
      </c>
      <c r="D197" s="5" t="n">
        <v>0.1143017799666499</v>
      </c>
      <c r="E197" s="2" t="inlineStr">
        <is>
          <t>ratio (decimal; displayed as %)</t>
        </is>
      </c>
      <c r="F197" s="2" t="inlineStr">
        <is>
          <t>ok</t>
        </is>
      </c>
      <c r="G197" s="2" t="inlineStr">
        <is>
          <t>Net income / Revenue</t>
        </is>
      </c>
      <c r="H197" s="2" t="inlineStr"/>
      <c r="I197" s="2" t="inlineStr">
        <is>
          <t>{"basis": "reported"}</t>
        </is>
      </c>
    </row>
    <row r="198" ht="42" customHeight="1">
      <c r="A198" s="2" t="inlineStr">
        <is>
          <t>fcf</t>
        </is>
      </c>
      <c r="B198" s="2" t="inlineStr">
        <is>
          <t>fcf</t>
        </is>
      </c>
      <c r="C198" s="2" t="inlineStr">
        <is>
          <t>2024-11-03</t>
        </is>
      </c>
      <c r="D198" s="3" t="n">
        <v>19414000000</v>
      </c>
      <c r="E198" s="2" t="inlineStr">
        <is>
          <t>USD</t>
        </is>
      </c>
      <c r="F198" s="2" t="inlineStr">
        <is>
          <t>ok</t>
        </is>
      </c>
      <c r="G198" s="2" t="inlineStr">
        <is>
          <t>OCF − CapEx</t>
        </is>
      </c>
      <c r="H198" s="2" t="inlineStr"/>
      <c r="I198" s="2" t="inlineStr">
        <is>
          <t>{"basis": "reported"}</t>
        </is>
      </c>
    </row>
    <row r="199" ht="42" customHeight="1">
      <c r="A199" s="2" t="inlineStr">
        <is>
          <t>fcf-margin</t>
        </is>
      </c>
      <c r="B199" s="2" t="inlineStr">
        <is>
          <t>fcf-margin</t>
        </is>
      </c>
      <c r="C199" s="2" t="inlineStr">
        <is>
          <t>2024-11-03</t>
        </is>
      </c>
      <c r="D199" s="5" t="n">
        <v>0.3764299841005158</v>
      </c>
      <c r="E199" s="2" t="inlineStr">
        <is>
          <t>ratio (decimal; displayed as %)</t>
        </is>
      </c>
      <c r="F199" s="2" t="inlineStr">
        <is>
          <t>ok</t>
        </is>
      </c>
      <c r="G199" s="2" t="inlineStr">
        <is>
          <t>(OCF − CapEx) / Revenue</t>
        </is>
      </c>
      <c r="H199" s="2" t="inlineStr"/>
      <c r="I199" s="2" t="inlineStr">
        <is>
          <t>{"basis": "reported"}</t>
        </is>
      </c>
    </row>
    <row r="200" ht="42" customHeight="1">
      <c r="A200" s="2" t="inlineStr">
        <is>
          <t>fcff</t>
        </is>
      </c>
      <c r="B200" s="2" t="inlineStr">
        <is>
          <t>fcff</t>
        </is>
      </c>
      <c r="C200" s="2" t="inlineStr">
        <is>
          <t>2024-11-03</t>
        </is>
      </c>
      <c r="D200" s="3" t="n">
        <v>16242450000</v>
      </c>
      <c r="E200" s="2" t="inlineStr">
        <is>
          <t>USD</t>
        </is>
      </c>
      <c r="F200" s="2" t="inlineStr">
        <is>
          <t>ok</t>
        </is>
      </c>
      <c r="G200" s="2" t="inlineStr">
        <is>
          <t>OCF + Interest × (1 − Tax rate) − CapEx − SBC</t>
        </is>
      </c>
      <c r="H200" s="2" t="inlineStr"/>
      <c r="I200" s="2" t="inlineStr">
        <is>
          <t>{"basis": "reported"}</t>
        </is>
      </c>
    </row>
    <row r="201" ht="42" customHeight="1">
      <c r="A201" s="2" t="inlineStr">
        <is>
          <t>fcfe</t>
        </is>
      </c>
      <c r="B201" s="2" t="inlineStr">
        <is>
          <t>fcfe</t>
        </is>
      </c>
      <c r="C201" s="2" t="inlineStr">
        <is>
          <t>2024-11-03</t>
        </is>
      </c>
      <c r="D201" s="3" t="n">
        <v>34881000000</v>
      </c>
      <c r="E201" s="2" t="inlineStr">
        <is>
          <t>USD</t>
        </is>
      </c>
      <c r="F201" s="2" t="inlineStr">
        <is>
          <t>ok</t>
        </is>
      </c>
      <c r="G201" s="2" t="inlineStr">
        <is>
          <t>Net income + D&amp;A − CapEx − ΔOperating working capital + (Debt issued − Debt repaid)</t>
        </is>
      </c>
      <c r="H201" s="2" t="inlineStr"/>
      <c r="I201" s="2" t="inlineStr">
        <is>
          <t>{"basis": "reported"}</t>
        </is>
      </c>
    </row>
    <row r="202" ht="42" customHeight="1">
      <c r="A202" s="2" t="inlineStr">
        <is>
          <t>owner-earnings</t>
        </is>
      </c>
      <c r="B202" s="2" t="inlineStr">
        <is>
          <t>owner-earnings</t>
        </is>
      </c>
      <c r="C202" s="2" t="inlineStr">
        <is>
          <t>2024-11-03</t>
        </is>
      </c>
      <c r="D202" s="3" t="n">
        <v>5223000000</v>
      </c>
      <c r="E202" s="2" t="inlineStr">
        <is>
          <t>USD</t>
        </is>
      </c>
      <c r="F202" s="2" t="inlineStr">
        <is>
          <t>ok</t>
        </is>
      </c>
      <c r="G202" s="2" t="inlineStr">
        <is>
          <t>Net income + D&amp;A − Maintenance CapEx (1 × D&amp;A) − ΔOperating working capital</t>
        </is>
      </c>
      <c r="H202" s="2" t="inlineStr"/>
      <c r="I202" s="2" t="inlineStr">
        <is>
          <t>{"basis": "reported"}</t>
        </is>
      </c>
    </row>
    <row r="203" ht="42" customHeight="1">
      <c r="A203" s="2" t="inlineStr">
        <is>
          <t>earnings-quality</t>
        </is>
      </c>
      <c r="B203" s="2" t="inlineStr">
        <is>
          <t>earnings-quality</t>
        </is>
      </c>
      <c r="C203" s="2" t="inlineStr">
        <is>
          <t>2024-11-03</t>
        </is>
      </c>
      <c r="D203" s="3" t="n">
        <v>3.386259541984733</v>
      </c>
      <c r="E203" s="2" t="inlineStr">
        <is>
          <t>multiple (x)</t>
        </is>
      </c>
      <c r="F203" s="2" t="inlineStr">
        <is>
          <t>ok</t>
        </is>
      </c>
      <c r="G203" s="2" t="inlineStr">
        <is>
          <t>OCF / Net income (only when net income &gt; 0)</t>
        </is>
      </c>
      <c r="H203" s="2" t="inlineStr"/>
      <c r="I203" s="2" t="inlineStr">
        <is>
          <t>{"basis": "reported"}</t>
        </is>
      </c>
    </row>
    <row r="204" ht="42" customHeight="1">
      <c r="A204" s="2" t="inlineStr">
        <is>
          <t>ebitda</t>
        </is>
      </c>
      <c r="B204" s="2" t="inlineStr">
        <is>
          <t>ebitda</t>
        </is>
      </c>
      <c r="C204" s="2" t="inlineStr">
        <is>
          <t>2024-11-03</t>
        </is>
      </c>
      <c r="D204" s="3" t="n">
        <v>23323000000</v>
      </c>
      <c r="E204" s="2" t="inlineStr">
        <is>
          <t>USD</t>
        </is>
      </c>
      <c r="F204" s="2" t="inlineStr">
        <is>
          <t>ok</t>
        </is>
      </c>
      <c r="G204" s="2" t="inlineStr">
        <is>
          <t>Operating income + D&amp;A</t>
        </is>
      </c>
      <c r="H204" s="2" t="inlineStr"/>
      <c r="I204" s="2" t="inlineStr">
        <is>
          <t>{"basis": "reported"}</t>
        </is>
      </c>
    </row>
    <row r="205" ht="42" customHeight="1">
      <c r="A205" s="2" t="inlineStr">
        <is>
          <t>nopat</t>
        </is>
      </c>
      <c r="B205" s="2" t="inlineStr">
        <is>
          <t>nopat</t>
        </is>
      </c>
      <c r="C205" s="2" t="inlineStr">
        <is>
          <t>2024-11-03</t>
        </is>
      </c>
      <c r="D205" s="3" t="n">
        <v>8750950000</v>
      </c>
      <c r="E205" s="2" t="inlineStr">
        <is>
          <t>USD</t>
        </is>
      </c>
      <c r="F205" s="2" t="inlineStr">
        <is>
          <t>ok</t>
        </is>
      </c>
      <c r="G205" s="2" t="inlineStr">
        <is>
          <t>Operating income × (1 − Tax rate)</t>
        </is>
      </c>
      <c r="H205" s="2" t="inlineStr"/>
      <c r="I205" s="2" t="inlineStr">
        <is>
          <t>{"basis": "reported"}</t>
        </is>
      </c>
    </row>
    <row r="206" ht="42" customHeight="1">
      <c r="A206" s="2" t="inlineStr">
        <is>
          <t>invested-capital</t>
        </is>
      </c>
      <c r="B206" s="2" t="inlineStr">
        <is>
          <t>invested-capital</t>
        </is>
      </c>
      <c r="C206" s="2" t="inlineStr">
        <is>
          <t>2024-11-03</t>
        </is>
      </c>
      <c r="D206" s="3" t="n">
        <v>125870000000</v>
      </c>
      <c r="E206" s="2" t="inlineStr">
        <is>
          <t>USD</t>
        </is>
      </c>
      <c r="F206" s="2" t="inlineStr">
        <is>
          <t>ok</t>
        </is>
      </c>
      <c r="G206" s="2" t="inlineStr">
        <is>
          <t>Equity + Debt − Cash</t>
        </is>
      </c>
      <c r="H206" s="2" t="inlineStr"/>
      <c r="I206" s="2" t="inlineStr">
        <is>
          <t>{"basis": "reported"}</t>
        </is>
      </c>
    </row>
    <row r="207" ht="42" customHeight="1">
      <c r="A207" s="2" t="inlineStr">
        <is>
          <t>roic</t>
        </is>
      </c>
      <c r="B207" s="2" t="inlineStr">
        <is>
          <t>roic</t>
        </is>
      </c>
      <c r="C207" s="2" t="inlineStr">
        <is>
          <t>2024-11-03</t>
        </is>
      </c>
      <c r="D207" s="5" t="n">
        <v>0.1000949368898446</v>
      </c>
      <c r="E207" s="2" t="inlineStr">
        <is>
          <t>ratio (decimal; displayed as %)</t>
        </is>
      </c>
      <c r="F207" s="2" t="inlineStr">
        <is>
          <t>ok</t>
        </is>
      </c>
      <c r="G207" s="2" t="inlineStr">
        <is>
          <t>NOPAT / Average invested capital (only when invested capital &gt; 0)</t>
        </is>
      </c>
      <c r="H207" s="2" t="inlineStr"/>
      <c r="I207" s="2" t="inlineStr">
        <is>
          <t>{"basis": "reported"}</t>
        </is>
      </c>
    </row>
    <row r="208" ht="42" customHeight="1">
      <c r="A208" s="2" t="inlineStr">
        <is>
          <t>net-debt</t>
        </is>
      </c>
      <c r="B208" s="2" t="inlineStr">
        <is>
          <t>net-debt</t>
        </is>
      </c>
      <c r="C208" s="2" t="inlineStr">
        <is>
          <t>2024-11-03</t>
        </is>
      </c>
      <c r="D208" s="3" t="n">
        <v>58192000000</v>
      </c>
      <c r="E208" s="2" t="inlineStr">
        <is>
          <t>USD</t>
        </is>
      </c>
      <c r="F208" s="2" t="inlineStr">
        <is>
          <t>ok</t>
        </is>
      </c>
      <c r="G208" s="2" t="inlineStr">
        <is>
          <t>Debt − Cash</t>
        </is>
      </c>
      <c r="H208" s="2" t="inlineStr"/>
      <c r="I208" s="2" t="inlineStr">
        <is>
          <t>{"basis": "reported"}</t>
        </is>
      </c>
    </row>
    <row r="209" ht="42" customHeight="1">
      <c r="A209" s="2" t="inlineStr">
        <is>
          <t>debt-ebitda</t>
        </is>
      </c>
      <c r="B209" s="2" t="inlineStr">
        <is>
          <t>debt-ebitda</t>
        </is>
      </c>
      <c r="C209" s="2" t="inlineStr">
        <is>
          <t>2024-11-03</t>
        </is>
      </c>
      <c r="D209" s="3" t="n">
        <v>2.895853878146036</v>
      </c>
      <c r="E209" s="2" t="inlineStr">
        <is>
          <t>multiple (x)</t>
        </is>
      </c>
      <c r="F209" s="2" t="inlineStr">
        <is>
          <t>ok</t>
        </is>
      </c>
      <c r="G209" s="2" t="inlineStr">
        <is>
          <t>Debt / EBITDA (only when EBITDA &gt; 0)</t>
        </is>
      </c>
      <c r="H209" s="2" t="inlineStr"/>
      <c r="I209" s="2" t="inlineStr">
        <is>
          <t>{"basis": "reported"}</t>
        </is>
      </c>
    </row>
    <row r="210" ht="42" customHeight="1">
      <c r="A210" s="2" t="inlineStr">
        <is>
          <t>interest-coverage</t>
        </is>
      </c>
      <c r="B210" s="2" t="inlineStr">
        <is>
          <t>interest-coverage</t>
        </is>
      </c>
      <c r="C210" s="2" t="inlineStr">
        <is>
          <t>2024-11-03</t>
        </is>
      </c>
      <c r="D210" s="3" t="n">
        <v>3.405767771312927</v>
      </c>
      <c r="E210" s="2" t="inlineStr">
        <is>
          <t>multiple (x)</t>
        </is>
      </c>
      <c r="F210" s="2" t="inlineStr">
        <is>
          <t>ok</t>
        </is>
      </c>
      <c r="G210" s="2" t="inlineStr">
        <is>
          <t>Operating income / Interest expense (only when interest &gt; 0)</t>
        </is>
      </c>
      <c r="H210" s="2" t="inlineStr"/>
      <c r="I210" s="2" t="inlineStr">
        <is>
          <t>{"basis": "reported"}</t>
        </is>
      </c>
    </row>
    <row r="211" ht="42" customHeight="1">
      <c r="A211" s="2" t="inlineStr">
        <is>
          <t>current-ratio</t>
        </is>
      </c>
      <c r="B211" s="2" t="inlineStr">
        <is>
          <t>current-ratio</t>
        </is>
      </c>
      <c r="C211" s="2" t="inlineStr">
        <is>
          <t>2024-11-03</t>
        </is>
      </c>
      <c r="D211" s="3" t="n">
        <v>1.173564113313769</v>
      </c>
      <c r="E211" s="2" t="inlineStr">
        <is>
          <t>multiple (x)</t>
        </is>
      </c>
      <c r="F211" s="2" t="inlineStr">
        <is>
          <t>ok</t>
        </is>
      </c>
      <c r="G211" s="2" t="inlineStr">
        <is>
          <t>Current assets / Current liabilities</t>
        </is>
      </c>
      <c r="H211" s="2" t="inlineStr"/>
      <c r="I211" s="2" t="inlineStr">
        <is>
          <t>{"basis": "reported"}</t>
        </is>
      </c>
    </row>
    <row r="212" ht="42" customHeight="1">
      <c r="A212" s="2" t="inlineStr">
        <is>
          <t>tangible-book-value</t>
        </is>
      </c>
      <c r="B212" s="2" t="inlineStr">
        <is>
          <t>tangible-book-value</t>
        </is>
      </c>
      <c r="C212" s="2" t="inlineStr">
        <is>
          <t>2024-11-03</t>
        </is>
      </c>
      <c r="D212" s="3" t="n">
        <v>-70778000000</v>
      </c>
      <c r="E212" s="2" t="inlineStr">
        <is>
          <t>USD</t>
        </is>
      </c>
      <c r="F212" s="2" t="inlineStr">
        <is>
          <t>ok</t>
        </is>
      </c>
      <c r="G212" s="2" t="inlineStr">
        <is>
          <t>Equity − Preferred − Goodwill − Intangibles</t>
        </is>
      </c>
      <c r="H212" s="2" t="inlineStr"/>
      <c r="I212" s="2" t="inlineStr">
        <is>
          <t>{"basis": "reported"}</t>
        </is>
      </c>
    </row>
    <row r="213" ht="42" customHeight="1">
      <c r="A213" s="2" t="inlineStr">
        <is>
          <t>ncav</t>
        </is>
      </c>
      <c r="B213" s="2" t="inlineStr">
        <is>
          <t>ncav</t>
        </is>
      </c>
      <c r="C213" s="2" t="inlineStr">
        <is>
          <t>2024-11-03</t>
        </is>
      </c>
      <c r="D213" s="3" t="n">
        <v>-78372000000</v>
      </c>
      <c r="E213" s="2" t="inlineStr">
        <is>
          <t>USD</t>
        </is>
      </c>
      <c r="F213" s="2" t="inlineStr">
        <is>
          <t>ok</t>
        </is>
      </c>
      <c r="G213" s="2" t="inlineStr">
        <is>
          <t>Current assets − Total liabilities − Preferred</t>
        </is>
      </c>
      <c r="H213" s="2" t="inlineStr"/>
      <c r="I213" s="2" t="inlineStr">
        <is>
          <t>{"basis": "reported"}</t>
        </is>
      </c>
    </row>
    <row r="214" ht="42" customHeight="1">
      <c r="A214" s="2" t="inlineStr">
        <is>
          <t>dilution</t>
        </is>
      </c>
      <c r="B214" s="2" t="inlineStr">
        <is>
          <t>dilution</t>
        </is>
      </c>
      <c r="C214" s="2" t="inlineStr">
        <is>
          <t>2024-11-03</t>
        </is>
      </c>
      <c r="D214" s="5" t="n">
        <v>0.1184456928838951</v>
      </c>
      <c r="E214" s="2" t="inlineStr">
        <is>
          <t>ratio (decimal; displayed as %)</t>
        </is>
      </c>
      <c r="F214" s="2" t="inlineStr">
        <is>
          <t>ok</t>
        </is>
      </c>
      <c r="G214" s="2" t="inlineStr">
        <is>
          <t>Diluted shares / Previous diluted shares − 1</t>
        </is>
      </c>
      <c r="H214" s="2" t="inlineStr"/>
      <c r="I214" s="2" t="inlineStr">
        <is>
          <t>{"basis": "reported"}</t>
        </is>
      </c>
    </row>
    <row r="215" ht="42" customHeight="1">
      <c r="A215" s="2" t="inlineStr">
        <is>
          <t>sbc-to-revenue</t>
        </is>
      </c>
      <c r="B215" s="2" t="inlineStr">
        <is>
          <t>dilution</t>
        </is>
      </c>
      <c r="C215" s="2" t="inlineStr">
        <is>
          <t>2024-11-03</t>
        </is>
      </c>
      <c r="D215" s="5" t="n">
        <v>0.1113157792686237</v>
      </c>
      <c r="E215" s="2" t="inlineStr">
        <is>
          <t>ratio (decimal; displayed as %)</t>
        </is>
      </c>
      <c r="F215" s="2" t="inlineStr">
        <is>
          <t>ok</t>
        </is>
      </c>
      <c r="G215" s="2" t="inlineStr">
        <is>
          <t>SBC / Revenue</t>
        </is>
      </c>
      <c r="H215" s="2" t="inlineStr"/>
      <c r="I215" s="2" t="inlineStr">
        <is>
          <t>{"basis": "reported"}</t>
        </is>
      </c>
    </row>
    <row r="216" ht="42" customHeight="1">
      <c r="A216" s="2" t="inlineStr">
        <is>
          <t>eps</t>
        </is>
      </c>
      <c r="B216" s="2" t="inlineStr">
        <is>
          <t>eps</t>
        </is>
      </c>
      <c r="C216" s="2" t="inlineStr">
        <is>
          <t>2024-11-03</t>
        </is>
      </c>
      <c r="D216" s="3" t="n">
        <v>1.23</v>
      </c>
      <c r="E216" s="2" t="inlineStr">
        <is>
          <t>USD/share</t>
        </is>
      </c>
      <c r="F216" s="2" t="inlineStr">
        <is>
          <t>ok</t>
        </is>
      </c>
      <c r="G216" s="2" t="inlineStr">
        <is>
          <t>Reported diluted EPS</t>
        </is>
      </c>
      <c r="H216" s="2" t="inlineStr"/>
      <c r="I216" s="2" t="inlineStr">
        <is>
          <t>{"basis": "reported"}</t>
        </is>
      </c>
    </row>
    <row r="217" ht="42" customHeight="1">
      <c r="A217" s="2" t="inlineStr">
        <is>
          <t>debt-due-3y</t>
        </is>
      </c>
      <c r="B217" s="2" t="inlineStr">
        <is>
          <t>refinancing-risk</t>
        </is>
      </c>
      <c r="C217" s="2" t="inlineStr">
        <is>
          <t>2024-11-03</t>
        </is>
      </c>
      <c r="D217" s="3" t="n">
        <v>16129000000</v>
      </c>
      <c r="E217" s="2" t="inlineStr">
        <is>
          <t>USD</t>
        </is>
      </c>
      <c r="F217" s="2" t="inlineStr">
        <is>
          <t>ok</t>
        </is>
      </c>
      <c r="G217" s="2" t="inlineStr">
        <is>
          <t>Debt maturities in years 1 + 2 + 3</t>
        </is>
      </c>
      <c r="H217" s="2" t="inlineStr"/>
      <c r="I217" s="2" t="inlineStr">
        <is>
          <t>{"basis": "reported"}</t>
        </is>
      </c>
    </row>
    <row r="218" ht="42" customHeight="1">
      <c r="A218" s="2" t="inlineStr">
        <is>
          <t>revenue-growth</t>
        </is>
      </c>
      <c r="B218" s="2" t="inlineStr">
        <is>
          <t>revenue</t>
        </is>
      </c>
      <c r="C218" s="2" t="inlineStr">
        <is>
          <t>2025-11-02</t>
        </is>
      </c>
      <c r="D218" s="5" t="n">
        <v>0.2625663348556666</v>
      </c>
      <c r="E218" s="2" t="inlineStr">
        <is>
          <t>ratio (decimal; displayed as %)</t>
        </is>
      </c>
      <c r="F218" s="2" t="inlineStr">
        <is>
          <t>ok</t>
        </is>
      </c>
      <c r="G218" s="2" t="inlineStr">
        <is>
          <t>Revenue / Previous revenue − 1 (annualized: 53-week year scaled to 364 days)</t>
        </is>
      </c>
      <c r="H218" s="2" t="inlineStr"/>
      <c r="I218" s="2" t="inlineStr">
        <is>
          <t>{"basis": "reported"}</t>
        </is>
      </c>
    </row>
    <row r="219" ht="42" customHeight="1">
      <c r="A219" s="2" t="inlineStr">
        <is>
          <t>gross-margin</t>
        </is>
      </c>
      <c r="B219" s="2" t="inlineStr">
        <is>
          <t>gross-margin</t>
        </is>
      </c>
      <c r="C219" s="2" t="inlineStr">
        <is>
          <t>2025-11-02</t>
        </is>
      </c>
      <c r="D219" s="5" t="n">
        <v>0.6776652527118193</v>
      </c>
      <c r="E219" s="2" t="inlineStr">
        <is>
          <t>ratio (decimal; displayed as %)</t>
        </is>
      </c>
      <c r="F219" s="2" t="inlineStr">
        <is>
          <t>ok</t>
        </is>
      </c>
      <c r="G219" s="2" t="inlineStr">
        <is>
          <t>Gross profit / Revenue</t>
        </is>
      </c>
      <c r="H219" s="2" t="inlineStr"/>
      <c r="I219" s="2" t="inlineStr">
        <is>
          <t>{"basis": "reported"}</t>
        </is>
      </c>
    </row>
    <row r="220" ht="42" customHeight="1">
      <c r="A220" s="2" t="inlineStr">
        <is>
          <t>operating-margin</t>
        </is>
      </c>
      <c r="B220" s="2" t="inlineStr">
        <is>
          <t>operating-margin</t>
        </is>
      </c>
      <c r="C220" s="2" t="inlineStr">
        <is>
          <t>2025-11-02</t>
        </is>
      </c>
      <c r="D220" s="5" t="n">
        <v>0.3988917933225852</v>
      </c>
      <c r="E220" s="2" t="inlineStr">
        <is>
          <t>ratio (decimal; displayed as %)</t>
        </is>
      </c>
      <c r="F220" s="2" t="inlineStr">
        <is>
          <t>ok</t>
        </is>
      </c>
      <c r="G220" s="2" t="inlineStr">
        <is>
          <t>Operating income / Revenue</t>
        </is>
      </c>
      <c r="H220" s="2" t="inlineStr"/>
      <c r="I220" s="2" t="inlineStr">
        <is>
          <t>{"basis": "reported"}</t>
        </is>
      </c>
    </row>
    <row r="221" ht="42" customHeight="1">
      <c r="A221" s="2" t="inlineStr">
        <is>
          <t>net-margin</t>
        </is>
      </c>
      <c r="B221" s="2" t="inlineStr">
        <is>
          <t>net-margin</t>
        </is>
      </c>
      <c r="C221" s="2" t="inlineStr">
        <is>
          <t>2025-11-02</t>
        </is>
      </c>
      <c r="D221" s="5" t="n">
        <v>0.3619828760154648</v>
      </c>
      <c r="E221" s="2" t="inlineStr">
        <is>
          <t>ratio (decimal; displayed as %)</t>
        </is>
      </c>
      <c r="F221" s="2" t="inlineStr">
        <is>
          <t>ok</t>
        </is>
      </c>
      <c r="G221" s="2" t="inlineStr">
        <is>
          <t>Net income / Revenue</t>
        </is>
      </c>
      <c r="H221" s="2" t="inlineStr"/>
      <c r="I221" s="2" t="inlineStr">
        <is>
          <t>{"basis": "reported"}</t>
        </is>
      </c>
    </row>
    <row r="222" ht="42" customHeight="1">
      <c r="A222" s="2" t="inlineStr">
        <is>
          <t>fcf</t>
        </is>
      </c>
      <c r="B222" s="2" t="inlineStr">
        <is>
          <t>fcf</t>
        </is>
      </c>
      <c r="C222" s="2" t="inlineStr">
        <is>
          <t>2025-11-02</t>
        </is>
      </c>
      <c r="D222" s="3" t="n">
        <v>26914000000</v>
      </c>
      <c r="E222" s="2" t="inlineStr">
        <is>
          <t>USD</t>
        </is>
      </c>
      <c r="F222" s="2" t="inlineStr">
        <is>
          <t>ok</t>
        </is>
      </c>
      <c r="G222" s="2" t="inlineStr">
        <is>
          <t>OCF − CapEx</t>
        </is>
      </c>
      <c r="H222" s="2" t="inlineStr"/>
      <c r="I222" s="2" t="inlineStr">
        <is>
          <t>{"basis": "reported"}</t>
        </is>
      </c>
    </row>
    <row r="223" ht="42" customHeight="1">
      <c r="A223" s="2" t="inlineStr">
        <is>
          <t>fcf-margin</t>
        </is>
      </c>
      <c r="B223" s="2" t="inlineStr">
        <is>
          <t>fcf-margin</t>
        </is>
      </c>
      <c r="C223" s="2" t="inlineStr">
        <is>
          <t>2025-11-02</t>
        </is>
      </c>
      <c r="D223" s="5" t="n">
        <v>0.4212750637844945</v>
      </c>
      <c r="E223" s="2" t="inlineStr">
        <is>
          <t>ratio (decimal; displayed as %)</t>
        </is>
      </c>
      <c r="F223" s="2" t="inlineStr">
        <is>
          <t>ok</t>
        </is>
      </c>
      <c r="G223" s="2" t="inlineStr">
        <is>
          <t>(OCF − CapEx) / Revenue</t>
        </is>
      </c>
      <c r="H223" s="2" t="inlineStr"/>
      <c r="I223" s="2" t="inlineStr">
        <is>
          <t>{"basis": "reported"}</t>
        </is>
      </c>
    </row>
    <row r="224" ht="42" customHeight="1">
      <c r="A224" s="2" t="inlineStr">
        <is>
          <t>fcff</t>
        </is>
      </c>
      <c r="B224" s="2" t="inlineStr">
        <is>
          <t>fcff</t>
        </is>
      </c>
      <c r="C224" s="2" t="inlineStr">
        <is>
          <t>2025-11-02</t>
        </is>
      </c>
      <c r="D224" s="3" t="n">
        <v>22556000000</v>
      </c>
      <c r="E224" s="2" t="inlineStr">
        <is>
          <t>USD</t>
        </is>
      </c>
      <c r="F224" s="2" t="inlineStr">
        <is>
          <t>ok</t>
        </is>
      </c>
      <c r="G224" s="2" t="inlineStr">
        <is>
          <t>OCF + Interest × (1 − Tax rate) − CapEx − SBC</t>
        </is>
      </c>
      <c r="H224" s="2" t="inlineStr"/>
      <c r="I224" s="2" t="inlineStr">
        <is>
          <t>{"basis": "reported"}</t>
        </is>
      </c>
    </row>
    <row r="225" ht="42" customHeight="1">
      <c r="A225" s="2" t="inlineStr">
        <is>
          <t>fcfe</t>
        </is>
      </c>
      <c r="B225" s="2" t="inlineStr">
        <is>
          <t>fcfe</t>
        </is>
      </c>
      <c r="C225" s="2" t="inlineStr">
        <is>
          <t>2025-11-02</t>
        </is>
      </c>
      <c r="D225" s="3" t="n">
        <v>24986000000</v>
      </c>
      <c r="E225" s="2" t="inlineStr">
        <is>
          <t>USD</t>
        </is>
      </c>
      <c r="F225" s="2" t="inlineStr">
        <is>
          <t>ok</t>
        </is>
      </c>
      <c r="G225" s="2" t="inlineStr">
        <is>
          <t>Net income + D&amp;A − CapEx − ΔOperating working capital + (Debt issued − Debt repaid)</t>
        </is>
      </c>
      <c r="H225" s="2" t="inlineStr"/>
      <c r="I225" s="2" t="inlineStr">
        <is>
          <t>{"basis": "reported"}</t>
        </is>
      </c>
    </row>
    <row r="226" ht="42" customHeight="1">
      <c r="A226" s="2" t="inlineStr">
        <is>
          <t>owner-earnings</t>
        </is>
      </c>
      <c r="B226" s="2" t="inlineStr">
        <is>
          <t>owner-earnings</t>
        </is>
      </c>
      <c r="C226" s="2" t="inlineStr">
        <is>
          <t>2025-11-02</t>
        </is>
      </c>
      <c r="D226" s="3" t="n">
        <v>19785000000</v>
      </c>
      <c r="E226" s="2" t="inlineStr">
        <is>
          <t>USD</t>
        </is>
      </c>
      <c r="F226" s="2" t="inlineStr">
        <is>
          <t>ok</t>
        </is>
      </c>
      <c r="G226" s="2" t="inlineStr">
        <is>
          <t>Net income + D&amp;A − Maintenance CapEx (1 × D&amp;A) − ΔOperating working capital</t>
        </is>
      </c>
      <c r="H226" s="2" t="inlineStr"/>
      <c r="I226" s="2" t="inlineStr">
        <is>
          <t>{"basis": "reported"}</t>
        </is>
      </c>
    </row>
    <row r="227" ht="42" customHeight="1">
      <c r="A227" s="2" t="inlineStr">
        <is>
          <t>earnings-quality</t>
        </is>
      </c>
      <c r="B227" s="2" t="inlineStr">
        <is>
          <t>earnings-quality</t>
        </is>
      </c>
      <c r="C227" s="2" t="inlineStr">
        <is>
          <t>2025-11-02</t>
        </is>
      </c>
      <c r="D227" s="3" t="n">
        <v>1.190737697829283</v>
      </c>
      <c r="E227" s="2" t="inlineStr">
        <is>
          <t>multiple (x)</t>
        </is>
      </c>
      <c r="F227" s="2" t="inlineStr">
        <is>
          <t>ok</t>
        </is>
      </c>
      <c r="G227" s="2" t="inlineStr">
        <is>
          <t>OCF / Net income (only when net income &gt; 0)</t>
        </is>
      </c>
      <c r="H227" s="2" t="inlineStr"/>
      <c r="I227" s="2" t="inlineStr">
        <is>
          <t>{"basis": "reported"}</t>
        </is>
      </c>
    </row>
    <row r="228" ht="42" customHeight="1">
      <c r="A228" s="2" t="inlineStr">
        <is>
          <t>ebitda</t>
        </is>
      </c>
      <c r="B228" s="2" t="inlineStr">
        <is>
          <t>ebitda</t>
        </is>
      </c>
      <c r="C228" s="2" t="inlineStr">
        <is>
          <t>2025-11-02</t>
        </is>
      </c>
      <c r="D228" s="3" t="n">
        <v>34120000000</v>
      </c>
      <c r="E228" s="2" t="inlineStr">
        <is>
          <t>USD</t>
        </is>
      </c>
      <c r="F228" s="2" t="inlineStr">
        <is>
          <t>ok</t>
        </is>
      </c>
      <c r="G228" s="2" t="inlineStr">
        <is>
          <t>Operating income + D&amp;A</t>
        </is>
      </c>
      <c r="H228" s="2" t="inlineStr"/>
      <c r="I228" s="2" t="inlineStr">
        <is>
          <t>{"basis": "reported"}</t>
        </is>
      </c>
    </row>
    <row r="229" ht="42" customHeight="1">
      <c r="A229" s="2" t="inlineStr">
        <is>
          <t>nopat</t>
        </is>
      </c>
      <c r="B229" s="2" t="inlineStr">
        <is>
          <t>nopat</t>
        </is>
      </c>
      <c r="C229" s="2" t="inlineStr">
        <is>
          <t>2025-11-02</t>
        </is>
      </c>
      <c r="D229" s="3" t="n">
        <v>25484000000</v>
      </c>
      <c r="E229" s="2" t="inlineStr">
        <is>
          <t>USD</t>
        </is>
      </c>
      <c r="F229" s="2" t="inlineStr">
        <is>
          <t>ok</t>
        </is>
      </c>
      <c r="G229" s="2" t="inlineStr">
        <is>
          <t>Operating income × (1 − Tax rate)</t>
        </is>
      </c>
      <c r="H229" s="2" t="inlineStr"/>
      <c r="I229" s="2" t="inlineStr">
        <is>
          <t>{"basis": "reported"}</t>
        </is>
      </c>
    </row>
    <row r="230" ht="42" customHeight="1">
      <c r="A230" s="2" t="inlineStr">
        <is>
          <t>invested-capital</t>
        </is>
      </c>
      <c r="B230" s="2" t="inlineStr">
        <is>
          <t>invested-capital</t>
        </is>
      </c>
      <c r="C230" s="2" t="inlineStr">
        <is>
          <t>2025-11-02</t>
        </is>
      </c>
      <c r="D230" s="3" t="n">
        <v>130250000000</v>
      </c>
      <c r="E230" s="2" t="inlineStr">
        <is>
          <t>USD</t>
        </is>
      </c>
      <c r="F230" s="2" t="inlineStr">
        <is>
          <t>ok</t>
        </is>
      </c>
      <c r="G230" s="2" t="inlineStr">
        <is>
          <t>Equity + Debt − Cash</t>
        </is>
      </c>
      <c r="H230" s="2" t="inlineStr"/>
      <c r="I230" s="2" t="inlineStr">
        <is>
          <t>{"basis": "reported"}</t>
        </is>
      </c>
    </row>
    <row r="231" ht="42" customHeight="1">
      <c r="A231" s="2" t="inlineStr">
        <is>
          <t>roic</t>
        </is>
      </c>
      <c r="B231" s="2" t="inlineStr">
        <is>
          <t>roic</t>
        </is>
      </c>
      <c r="C231" s="2" t="inlineStr">
        <is>
          <t>2025-11-02</t>
        </is>
      </c>
      <c r="D231" s="5" t="n">
        <v>0.1990004685303764</v>
      </c>
      <c r="E231" s="2" t="inlineStr">
        <is>
          <t>ratio (decimal; displayed as %)</t>
        </is>
      </c>
      <c r="F231" s="2" t="inlineStr">
        <is>
          <t>ok</t>
        </is>
      </c>
      <c r="G231" s="2" t="inlineStr">
        <is>
          <t>NOPAT / Average invested capital (only when invested capital &gt; 0)</t>
        </is>
      </c>
      <c r="H231" s="2" t="inlineStr"/>
      <c r="I231" s="2" t="inlineStr">
        <is>
          <t>{"basis": "reported"}</t>
        </is>
      </c>
    </row>
    <row r="232" ht="42" customHeight="1">
      <c r="A232" s="2" t="inlineStr">
        <is>
          <t>net-debt</t>
        </is>
      </c>
      <c r="B232" s="2" t="inlineStr">
        <is>
          <t>net-debt</t>
        </is>
      </c>
      <c r="C232" s="2" t="inlineStr">
        <is>
          <t>2025-11-02</t>
        </is>
      </c>
      <c r="D232" s="3" t="n">
        <v>48958000000</v>
      </c>
      <c r="E232" s="2" t="inlineStr">
        <is>
          <t>USD</t>
        </is>
      </c>
      <c r="F232" s="2" t="inlineStr">
        <is>
          <t>ok</t>
        </is>
      </c>
      <c r="G232" s="2" t="inlineStr">
        <is>
          <t>Debt − Cash</t>
        </is>
      </c>
      <c r="H232" s="2" t="inlineStr"/>
      <c r="I232" s="2" t="inlineStr">
        <is>
          <t>{"basis": "reported"}</t>
        </is>
      </c>
    </row>
    <row r="233" ht="42" customHeight="1">
      <c r="A233" s="2" t="inlineStr">
        <is>
          <t>debt-ebitda</t>
        </is>
      </c>
      <c r="B233" s="2" t="inlineStr">
        <is>
          <t>debt-ebitda</t>
        </is>
      </c>
      <c r="C233" s="2" t="inlineStr">
        <is>
          <t>2025-11-02</t>
        </is>
      </c>
      <c r="D233" s="3" t="n">
        <v>1.909026963657679</v>
      </c>
      <c r="E233" s="2" t="inlineStr">
        <is>
          <t>multiple (x)</t>
        </is>
      </c>
      <c r="F233" s="2" t="inlineStr">
        <is>
          <t>ok</t>
        </is>
      </c>
      <c r="G233" s="2" t="inlineStr">
        <is>
          <t>Debt / EBITDA (only when EBITDA &gt; 0)</t>
        </is>
      </c>
      <c r="H233" s="2" t="inlineStr"/>
      <c r="I233" s="2" t="inlineStr">
        <is>
          <t>{"basis": "reported"}</t>
        </is>
      </c>
    </row>
    <row r="234" ht="42" customHeight="1">
      <c r="A234" s="2" t="inlineStr">
        <is>
          <t>interest-coverage</t>
        </is>
      </c>
      <c r="B234" s="2" t="inlineStr">
        <is>
          <t>interest-coverage</t>
        </is>
      </c>
      <c r="C234" s="2" t="inlineStr">
        <is>
          <t>2025-11-02</t>
        </is>
      </c>
      <c r="D234" s="3" t="n">
        <v>7.938940809968847</v>
      </c>
      <c r="E234" s="2" t="inlineStr">
        <is>
          <t>multiple (x)</t>
        </is>
      </c>
      <c r="F234" s="2" t="inlineStr">
        <is>
          <t>ok</t>
        </is>
      </c>
      <c r="G234" s="2" t="inlineStr">
        <is>
          <t>Operating income / Interest expense (only when interest &gt; 0)</t>
        </is>
      </c>
      <c r="H234" s="2" t="inlineStr"/>
      <c r="I234" s="2" t="inlineStr">
        <is>
          <t>{"basis": "reported"}</t>
        </is>
      </c>
    </row>
    <row r="235" ht="42" customHeight="1">
      <c r="A235" s="2" t="inlineStr">
        <is>
          <t>current-ratio</t>
        </is>
      </c>
      <c r="B235" s="2" t="inlineStr">
        <is>
          <t>current-ratio</t>
        </is>
      </c>
      <c r="C235" s="2" t="inlineStr">
        <is>
          <t>2025-11-02</t>
        </is>
      </c>
      <c r="D235" s="3" t="n">
        <v>1.7053581073782</v>
      </c>
      <c r="E235" s="2" t="inlineStr">
        <is>
          <t>multiple (x)</t>
        </is>
      </c>
      <c r="F235" s="2" t="inlineStr">
        <is>
          <t>ok</t>
        </is>
      </c>
      <c r="G235" s="2" t="inlineStr">
        <is>
          <t>Current assets / Current liabilities</t>
        </is>
      </c>
      <c r="H235" s="2" t="inlineStr"/>
      <c r="I235" s="2" t="inlineStr">
        <is>
          <t>{"basis": "reported"}</t>
        </is>
      </c>
    </row>
    <row r="236" ht="42" customHeight="1">
      <c r="A236" s="2" t="inlineStr">
        <is>
          <t>tangible-book-value</t>
        </is>
      </c>
      <c r="B236" s="2" t="inlineStr">
        <is>
          <t>tangible-book-value</t>
        </is>
      </c>
      <c r="C236" s="2" t="inlineStr">
        <is>
          <t>2025-11-02</t>
        </is>
      </c>
      <c r="D236" s="3" t="n">
        <v>-48782000000</v>
      </c>
      <c r="E236" s="2" t="inlineStr">
        <is>
          <t>USD</t>
        </is>
      </c>
      <c r="F236" s="2" t="inlineStr">
        <is>
          <t>ok</t>
        </is>
      </c>
      <c r="G236" s="2" t="inlineStr">
        <is>
          <t>Equity − Preferred − Goodwill − Intangibles</t>
        </is>
      </c>
      <c r="H236" s="2" t="inlineStr"/>
      <c r="I236" s="2" t="inlineStr">
        <is>
          <t>{"basis": "reported"}</t>
        </is>
      </c>
    </row>
    <row r="237" ht="42" customHeight="1">
      <c r="A237" s="2" t="inlineStr">
        <is>
          <t>ncav</t>
        </is>
      </c>
      <c r="B237" s="2" t="inlineStr">
        <is>
          <t>ncav</t>
        </is>
      </c>
      <c r="C237" s="2" t="inlineStr">
        <is>
          <t>2025-11-02</t>
        </is>
      </c>
      <c r="D237" s="3" t="n">
        <v>-58227000000</v>
      </c>
      <c r="E237" s="2" t="inlineStr">
        <is>
          <t>USD</t>
        </is>
      </c>
      <c r="F237" s="2" t="inlineStr">
        <is>
          <t>ok</t>
        </is>
      </c>
      <c r="G237" s="2" t="inlineStr">
        <is>
          <t>Current assets − Total liabilities − Preferred</t>
        </is>
      </c>
      <c r="H237" s="2" t="inlineStr"/>
      <c r="I237" s="2" t="inlineStr">
        <is>
          <t>{"basis": "reported"}</t>
        </is>
      </c>
    </row>
    <row r="238" ht="42" customHeight="1">
      <c r="A238" s="2" t="inlineStr">
        <is>
          <t>dilution</t>
        </is>
      </c>
      <c r="B238" s="2" t="inlineStr">
        <is>
          <t>dilution</t>
        </is>
      </c>
      <c r="C238" s="2" t="inlineStr">
        <is>
          <t>2025-11-02</t>
        </is>
      </c>
      <c r="D238" s="5" t="n">
        <v>0.0156969443281707</v>
      </c>
      <c r="E238" s="2" t="inlineStr">
        <is>
          <t>ratio (decimal; displayed as %)</t>
        </is>
      </c>
      <c r="F238" s="2" t="inlineStr">
        <is>
          <t>ok</t>
        </is>
      </c>
      <c r="G238" s="2" t="inlineStr">
        <is>
          <t>Diluted shares / Previous diluted shares − 1</t>
        </is>
      </c>
      <c r="H238" s="2" t="inlineStr"/>
      <c r="I238" s="2" t="inlineStr">
        <is>
          <t>{"basis": "reported"}</t>
        </is>
      </c>
    </row>
    <row r="239" ht="42" customHeight="1">
      <c r="A239" s="2" t="inlineStr">
        <is>
          <t>sbc-to-revenue</t>
        </is>
      </c>
      <c r="B239" s="2" t="inlineStr">
        <is>
          <t>dilution</t>
        </is>
      </c>
      <c r="C239" s="2" t="inlineStr">
        <is>
          <t>2025-11-02</t>
        </is>
      </c>
      <c r="D239" s="5" t="n">
        <v>0.1184591544445662</v>
      </c>
      <c r="E239" s="2" t="inlineStr">
        <is>
          <t>ratio (decimal; displayed as %)</t>
        </is>
      </c>
      <c r="F239" s="2" t="inlineStr">
        <is>
          <t>ok</t>
        </is>
      </c>
      <c r="G239" s="2" t="inlineStr">
        <is>
          <t>SBC / Revenue</t>
        </is>
      </c>
      <c r="H239" s="2" t="inlineStr"/>
      <c r="I239" s="2" t="inlineStr">
        <is>
          <t>{"basis": "reported"}</t>
        </is>
      </c>
    </row>
    <row r="240" ht="42" customHeight="1">
      <c r="A240" s="2" t="inlineStr">
        <is>
          <t>eps</t>
        </is>
      </c>
      <c r="B240" s="2" t="inlineStr">
        <is>
          <t>eps</t>
        </is>
      </c>
      <c r="C240" s="2" t="inlineStr">
        <is>
          <t>2025-11-02</t>
        </is>
      </c>
      <c r="D240" s="3" t="n">
        <v>4.77</v>
      </c>
      <c r="E240" s="2" t="inlineStr">
        <is>
          <t>USD/share</t>
        </is>
      </c>
      <c r="F240" s="2" t="inlineStr">
        <is>
          <t>ok</t>
        </is>
      </c>
      <c r="G240" s="2" t="inlineStr">
        <is>
          <t>Reported diluted EPS</t>
        </is>
      </c>
      <c r="H240" s="2" t="inlineStr"/>
      <c r="I240" s="2" t="inlineStr">
        <is>
          <t>{"basis": "reported"}</t>
        </is>
      </c>
    </row>
    <row r="241" ht="42" customHeight="1">
      <c r="A241" s="2" t="inlineStr">
        <is>
          <t>debt-due-3y</t>
        </is>
      </c>
      <c r="B241" s="2" t="inlineStr">
        <is>
          <t>refinancing-risk</t>
        </is>
      </c>
      <c r="C241" s="2" t="inlineStr">
        <is>
          <t>2025-11-02</t>
        </is>
      </c>
      <c r="D241" s="3" t="n">
        <v>12772000000</v>
      </c>
      <c r="E241" s="2" t="inlineStr">
        <is>
          <t>USD</t>
        </is>
      </c>
      <c r="F241" s="2" t="inlineStr">
        <is>
          <t>ok</t>
        </is>
      </c>
      <c r="G241" s="2" t="inlineStr">
        <is>
          <t>Debt maturities in years 1 + 2 + 3</t>
        </is>
      </c>
      <c r="H241" s="2" t="inlineStr"/>
      <c r="I241" s="2" t="inlineStr">
        <is>
          <t>{"basis": "reported"}</t>
        </is>
      </c>
    </row>
    <row r="242" ht="42" customHeight="1">
      <c r="A242" s="2" t="inlineStr">
        <is>
          <t>revenue-cagr-5</t>
        </is>
      </c>
      <c r="B242" s="2" t="inlineStr">
        <is>
          <t>revenue</t>
        </is>
      </c>
      <c r="C242" s="2" t="inlineStr">
        <is>
          <t>2025-11-02</t>
        </is>
      </c>
      <c r="D242" s="5" t="n">
        <v>0.2174371243564193</v>
      </c>
      <c r="E242" s="2" t="inlineStr">
        <is>
          <t>ratio (decimal; displayed as %)</t>
        </is>
      </c>
      <c r="F242" s="2" t="inlineStr">
        <is>
          <t>ok</t>
        </is>
      </c>
      <c r="G242" s="2" t="inlineStr">
        <is>
          <t>(Revenue / Revenue 5 years earlier)^(1/5) − 1 (53-week years annualized)</t>
        </is>
      </c>
      <c r="H242" s="2" t="inlineStr"/>
      <c r="I242" s="2" t="inlineStr">
        <is>
          <t>{"basis": "reported"}</t>
        </is>
      </c>
    </row>
    <row r="243" ht="42" customHeight="1">
      <c r="A243" s="2" t="inlineStr">
        <is>
          <t>revenue-cagr-9</t>
        </is>
      </c>
      <c r="B243" s="2" t="inlineStr">
        <is>
          <t>revenue</t>
        </is>
      </c>
      <c r="C243" s="2" t="inlineStr">
        <is>
          <t>2025-11-02</t>
        </is>
      </c>
      <c r="D243" s="5" t="n">
        <v>0.191097101416065</v>
      </c>
      <c r="E243" s="2" t="inlineStr">
        <is>
          <t>ratio (decimal; displayed as %)</t>
        </is>
      </c>
      <c r="F243" s="2" t="inlineStr">
        <is>
          <t>ok</t>
        </is>
      </c>
      <c r="G243" s="2" t="inlineStr">
        <is>
          <t>(Revenue / Revenue 9 years earlier)^(1/9) − 1 (53-week years annualized)</t>
        </is>
      </c>
      <c r="H243" s="2" t="inlineStr"/>
      <c r="I243" s="2" t="inlineStr">
        <is>
          <t>{"basis": "reported"}</t>
        </is>
      </c>
    </row>
    <row r="244" ht="42" customHeight="1">
      <c r="A244" s="2" t="inlineStr">
        <is>
          <t>diluted-shares-change</t>
        </is>
      </c>
      <c r="B244" s="2" t="inlineStr">
        <is>
          <t>dilution</t>
        </is>
      </c>
      <c r="C244" s="2" t="inlineStr">
        <is>
          <t>2025-11-02</t>
        </is>
      </c>
      <c r="D244" s="5" t="n">
        <v>0.2671018276762402</v>
      </c>
      <c r="E244" s="2" t="inlineStr">
        <is>
          <t>ratio (decimal; displayed as %)</t>
        </is>
      </c>
      <c r="F244" s="2" t="inlineStr">
        <is>
          <t>ok</t>
        </is>
      </c>
      <c r="G244" s="2" t="inlineStr">
        <is>
          <t>Diluted shares / Diluted shares 9 years earlier − 1</t>
        </is>
      </c>
      <c r="H244" s="2" t="inlineStr"/>
      <c r="I244" s="2" t="inlineStr">
        <is>
          <t>{"basis": "reported"}</t>
        </is>
      </c>
    </row>
    <row r="245" ht="42" customHeight="1">
      <c r="A245" s="2" t="inlineStr">
        <is>
          <t>incremental-roic-5</t>
        </is>
      </c>
      <c r="B245" s="2" t="inlineStr">
        <is>
          <t>incremental-roic</t>
        </is>
      </c>
      <c r="C245" s="2" t="inlineStr">
        <is>
          <t>2025-11-02</t>
        </is>
      </c>
      <c r="D245" s="5" t="n">
        <v>0.2943838095760434</v>
      </c>
      <c r="E245" s="2" t="inlineStr">
        <is>
          <t>ratio (decimal; displayed as %)</t>
        </is>
      </c>
      <c r="F245" s="2" t="inlineStr">
        <is>
          <t>ok</t>
        </is>
      </c>
      <c r="G245" s="2" t="inlineStr">
        <is>
          <t>ΔNOPAT / ΔInvested capital over 5 years (only when ΔIC &gt; 0)</t>
        </is>
      </c>
      <c r="H245" s="2" t="inlineStr"/>
      <c r="I245" s="2" t="inlineStr">
        <is>
          <t>{"basis": "reported"}</t>
        </is>
      </c>
    </row>
    <row r="246" ht="42" customHeight="1">
      <c r="A246" s="2" t="inlineStr">
        <is>
          <t>roic-years-above-wacc</t>
        </is>
      </c>
      <c r="B246" s="2" t="inlineStr">
        <is>
          <t>roic</t>
        </is>
      </c>
      <c r="C246" s="2" t="inlineStr">
        <is>
          <t>2025-11-02</t>
        </is>
      </c>
      <c r="D246" s="3" t="n">
        <v>6</v>
      </c>
      <c r="E246" s="2" t="inlineStr">
        <is>
          <t>years</t>
        </is>
      </c>
      <c r="F246" s="2" t="inlineStr">
        <is>
          <t>ok</t>
        </is>
      </c>
      <c r="G246" s="2" t="inlineStr">
        <is>
          <t>Count of years with ROIC &gt; WACC (0.09) in the last 10 years</t>
        </is>
      </c>
      <c r="H246" s="2" t="inlineStr"/>
      <c r="I246" s="2" t="inlineStr">
        <is>
          <t>{"years_available": 9, "basis": "reported"}</t>
        </is>
      </c>
    </row>
    <row r="247" ht="42" customHeight="1">
      <c r="A247" s="2" t="inlineStr">
        <is>
          <t>normalized-net-income</t>
        </is>
      </c>
      <c r="B247" s="2" t="inlineStr">
        <is>
          <t>normalized-earnings</t>
        </is>
      </c>
      <c r="C247" s="2" t="inlineStr">
        <is>
          <t>2025-11-02</t>
        </is>
      </c>
      <c r="D247" s="3" t="n">
        <v>12266800000</v>
      </c>
      <c r="E247" s="2" t="inlineStr">
        <is>
          <t>USD</t>
        </is>
      </c>
      <c r="F247" s="2" t="inlineStr">
        <is>
          <t>ok</t>
        </is>
      </c>
      <c r="G247" s="2" t="inlineStr">
        <is>
          <t>Average net income of the last 5 years (mid-cycle proxy)</t>
        </is>
      </c>
      <c r="H247" s="2" t="inlineStr"/>
      <c r="I247" s="2" t="inlineStr">
        <is>
          <t>{"basis": "reported"}</t>
        </is>
      </c>
    </row>
    <row r="248" ht="42" customHeight="1">
      <c r="A248" s="2" t="inlineStr">
        <is>
          <t>market-cap</t>
        </is>
      </c>
      <c r="B248" s="2" t="inlineStr">
        <is>
          <t>market-cap</t>
        </is>
      </c>
      <c r="C248" s="2" t="inlineStr">
        <is>
          <t>2025-11-02</t>
        </is>
      </c>
      <c r="D248" s="3" t="n">
        <v>1725858141392.1</v>
      </c>
      <c r="E248" s="2" t="inlineStr">
        <is>
          <t>USD</t>
        </is>
      </c>
      <c r="F248" s="2" t="inlineStr">
        <is>
          <t>ok</t>
        </is>
      </c>
      <c r="G248" s="2" t="inlineStr">
        <is>
          <t>Price × Shares outstanding</t>
        </is>
      </c>
      <c r="H248" s="2" t="inlineStr"/>
      <c r="I248" s="2" t="inlineStr">
        <is>
          <t>{"basis": "reported"}</t>
        </is>
      </c>
    </row>
    <row r="249" ht="42" customHeight="1">
      <c r="A249" s="2" t="inlineStr">
        <is>
          <t>enterprise-value</t>
        </is>
      </c>
      <c r="B249" s="2" t="inlineStr">
        <is>
          <t>enterprise-value</t>
        </is>
      </c>
      <c r="C249" s="2" t="inlineStr">
        <is>
          <t>2025-11-02</t>
        </is>
      </c>
      <c r="D249" s="3" t="n">
        <v>1761302141392.1</v>
      </c>
      <c r="E249" s="2" t="inlineStr">
        <is>
          <t>USD</t>
        </is>
      </c>
      <c r="F249" s="2" t="inlineStr">
        <is>
          <t>ok</t>
        </is>
      </c>
      <c r="G249" s="2" t="inlineStr">
        <is>
          <t>Market cap + Debt − Cash + Minority interest + Preferred</t>
        </is>
      </c>
      <c r="H249" s="2" t="inlineStr"/>
      <c r="I249" s="2" t="inlineStr">
        <is>
          <t>{"basis": "reported"}</t>
        </is>
      </c>
    </row>
    <row r="250" ht="42" customHeight="1">
      <c r="A250" s="2" t="inlineStr">
        <is>
          <t>pe</t>
        </is>
      </c>
      <c r="B250" s="2" t="inlineStr">
        <is>
          <t>pe</t>
        </is>
      </c>
      <c r="C250" s="2" t="inlineStr">
        <is>
          <t>2025-11-02</t>
        </is>
      </c>
      <c r="D250" s="3" t="n">
        <v>74.62847623419961</v>
      </c>
      <c r="E250" s="2" t="inlineStr">
        <is>
          <t>multiple (x)</t>
        </is>
      </c>
      <c r="F250" s="2" t="inlineStr">
        <is>
          <t>ok</t>
        </is>
      </c>
      <c r="G250" s="2" t="inlineStr">
        <is>
          <t>Market cap / Net income (only when net income &gt; 0)</t>
        </is>
      </c>
      <c r="H250" s="2" t="inlineStr"/>
      <c r="I250" s="2" t="inlineStr">
        <is>
          <t>{"basis": "reported"}</t>
        </is>
      </c>
    </row>
    <row r="251" ht="42" customHeight="1">
      <c r="A251" s="2" t="inlineStr">
        <is>
          <t>ev-ebitda</t>
        </is>
      </c>
      <c r="B251" s="2" t="inlineStr">
        <is>
          <t>ev-ebitda</t>
        </is>
      </c>
      <c r="C251" s="2" t="inlineStr">
        <is>
          <t>2025-11-02</t>
        </is>
      </c>
      <c r="D251" s="3" t="n">
        <v>51.62081305369578</v>
      </c>
      <c r="E251" s="2" t="inlineStr">
        <is>
          <t>multiple (x)</t>
        </is>
      </c>
      <c r="F251" s="2" t="inlineStr">
        <is>
          <t>ok</t>
        </is>
      </c>
      <c r="G251" s="2" t="inlineStr">
        <is>
          <t>EV / EBITDA (only when EBITDA &gt; 0)</t>
        </is>
      </c>
      <c r="H251" s="2" t="inlineStr"/>
      <c r="I251" s="2" t="inlineStr">
        <is>
          <t>{"basis": "reported"}</t>
        </is>
      </c>
    </row>
    <row r="252" ht="42" customHeight="1">
      <c r="A252" s="2" t="inlineStr">
        <is>
          <t>fcf-yield</t>
        </is>
      </c>
      <c r="B252" s="2" t="inlineStr">
        <is>
          <t>fcf-yield</t>
        </is>
      </c>
      <c r="C252" s="2" t="inlineStr">
        <is>
          <t>2025-11-02</t>
        </is>
      </c>
      <c r="D252" s="5" t="n">
        <v>0.01559456096333086</v>
      </c>
      <c r="E252" s="2" t="inlineStr">
        <is>
          <t>ratio (decimal; displayed as %)</t>
        </is>
      </c>
      <c r="F252" s="2" t="inlineStr">
        <is>
          <t>ok</t>
        </is>
      </c>
      <c r="G252" s="2" t="inlineStr">
        <is>
          <t>FCF / Market cap</t>
        </is>
      </c>
      <c r="H252" s="2" t="inlineStr"/>
      <c r="I252" s="2" t="inlineStr">
        <is>
          <t>{"basis": "reported"}</t>
        </is>
      </c>
    </row>
    <row r="253" ht="42" customHeight="1">
      <c r="A253" s="2" t="inlineStr">
        <is>
          <t>dcf-value-bear</t>
        </is>
      </c>
      <c r="B253" s="2" t="inlineStr">
        <is>
          <t>fair-value-per-share</t>
        </is>
      </c>
      <c r="C253" s="2" t="inlineStr">
        <is>
          <t>2025-11-02</t>
        </is>
      </c>
      <c r="D253" s="3" t="n">
        <v>63.51194904948458</v>
      </c>
      <c r="E253" s="2" t="inlineStr">
        <is>
          <t>USD/share</t>
        </is>
      </c>
      <c r="F253" s="2" t="inlineStr">
        <is>
          <t>ok</t>
        </is>
      </c>
      <c r="G253" s="2" t="inlineStr">
        <is>
          <t>FCFF DCF, 10 years, FCFF0 = 3-year average FCFF, growth = base − 0.05, WACC 0.09, terminal growth 0.02</t>
        </is>
      </c>
      <c r="H253" s="2" t="inlineStr"/>
      <c r="I253" s="2" t="inlineStr">
        <is>
          <t>{"basis": "reported"}</t>
        </is>
      </c>
    </row>
    <row r="254" ht="42" customHeight="1">
      <c r="A254" s="2" t="inlineStr">
        <is>
          <t>dcf-value-base</t>
        </is>
      </c>
      <c r="B254" s="2" t="inlineStr">
        <is>
          <t>fair-value-per-share</t>
        </is>
      </c>
      <c r="C254" s="2" t="inlineStr">
        <is>
          <t>2025-11-02</t>
        </is>
      </c>
      <c r="D254" s="3" t="n">
        <v>100.8275011282553</v>
      </c>
      <c r="E254" s="2" t="inlineStr">
        <is>
          <t>USD/share</t>
        </is>
      </c>
      <c r="F254" s="2" t="inlineStr">
        <is>
          <t>ok</t>
        </is>
      </c>
      <c r="G254" s="2" t="inlineStr">
        <is>
          <t>FCFF DCF, 10 years, FCFF0 = 3-year average FCFF, growth = base + 0, WACC 0.09, terminal growth 0.025</t>
        </is>
      </c>
      <c r="H254" s="2" t="inlineStr"/>
      <c r="I254" s="2" t="inlineStr">
        <is>
          <t>{"basis": "reported"}</t>
        </is>
      </c>
    </row>
    <row r="255" ht="42" customHeight="1">
      <c r="A255" s="2" t="inlineStr">
        <is>
          <t>dcf-value-bull</t>
        </is>
      </c>
      <c r="B255" s="2" t="inlineStr">
        <is>
          <t>fair-value-per-share</t>
        </is>
      </c>
      <c r="C255" s="2" t="inlineStr">
        <is>
          <t>2025-11-02</t>
        </is>
      </c>
      <c r="D255" s="3" t="n">
        <v>136.1789137578978</v>
      </c>
      <c r="E255" s="2" t="inlineStr">
        <is>
          <t>USD/share</t>
        </is>
      </c>
      <c r="F255" s="2" t="inlineStr">
        <is>
          <t>ok</t>
        </is>
      </c>
      <c r="G255" s="2" t="inlineStr">
        <is>
          <t>FCFF DCF, 10 years, FCFF0 = 3-year average FCFF, growth = base + 0.03, WACC 0.09, terminal growth 0.03</t>
        </is>
      </c>
      <c r="H255" s="2" t="inlineStr"/>
      <c r="I255" s="2" t="inlineStr">
        <is>
          <t>{"basis": "reported"}</t>
        </is>
      </c>
    </row>
    <row r="256" ht="42" customHeight="1">
      <c r="A256" s="2" t="inlineStr">
        <is>
          <t>reverse-dcf-growth</t>
        </is>
      </c>
      <c r="B256" s="2" t="inlineStr">
        <is>
          <t>reverse-dcf</t>
        </is>
      </c>
      <c r="C256" s="2" t="inlineStr">
        <is>
          <t>2025-11-02</t>
        </is>
      </c>
      <c r="D256" s="5" t="n">
        <v>0.2650462545518429</v>
      </c>
      <c r="E256" s="2" t="inlineStr">
        <is>
          <t>ratio (decimal; displayed as %)</t>
        </is>
      </c>
      <c r="F256" s="2" t="inlineStr">
        <is>
          <t>ok</t>
        </is>
      </c>
      <c r="G256" s="2" t="inlineStr">
        <is>
          <t>Growth for 10 years that makes the base DCF value equal the price</t>
        </is>
      </c>
      <c r="H256" s="2" t="inlineStr"/>
      <c r="I256" s="2" t="inlineStr">
        <is>
          <t>{"basis": "reported"}</t>
        </is>
      </c>
    </row>
    <row r="257" ht="42" customHeight="1">
      <c r="A257" s="6" t="inlineStr">
        <is>
          <t>reverse-dcf-revenue</t>
        </is>
      </c>
      <c r="B257" s="6" t="inlineStr">
        <is>
          <t>reverse-dcf</t>
        </is>
      </c>
      <c r="C257" s="6" t="inlineStr">
        <is>
          <t>2025-11-02</t>
        </is>
      </c>
      <c r="D257" s="6" t="n"/>
      <c r="E257" s="6" t="inlineStr">
        <is>
          <t>USD</t>
        </is>
      </c>
      <c r="F257" s="6" t="inlineStr">
        <is>
          <t>not_available</t>
        </is>
      </c>
      <c r="G257" s="6" t="inlineStr">
        <is>
          <t>Year-10 revenue that makes a revenue DCF equal the price (FCF margin moves from current to target; WACC 0.09; terminal growth 0.025)</t>
        </is>
      </c>
      <c r="H257" s="6" t="inlineStr">
        <is>
          <t>target_fcf_margin</t>
        </is>
      </c>
      <c r="I257" s="6" t="inlineStr">
        <is>
          <t>{"basis": "reported"}</t>
        </is>
      </c>
    </row>
    <row r="258" ht="42" customHeight="1">
      <c r="A258" s="2" t="inlineStr">
        <is>
          <t>earnings-value-per-share</t>
        </is>
      </c>
      <c r="B258" s="2" t="inlineStr">
        <is>
          <t>normalized-earnings</t>
        </is>
      </c>
      <c r="C258" s="2" t="inlineStr">
        <is>
          <t>2025-11-02</t>
        </is>
      </c>
      <c r="D258" s="3" t="n">
        <v>38.54551048230464</v>
      </c>
      <c r="E258" s="2" t="inlineStr">
        <is>
          <t>USD/share</t>
        </is>
      </c>
      <c r="F258" s="2" t="inlineStr">
        <is>
          <t>ok</t>
        </is>
      </c>
      <c r="G258" s="2" t="inlineStr">
        <is>
          <t>Normalized net income × 15 / Shares</t>
        </is>
      </c>
      <c r="H258" s="2" t="inlineStr"/>
      <c r="I258" s="2" t="inlineStr">
        <is>
          <t>{"basis": "reported"}</t>
        </is>
      </c>
    </row>
    <row r="259" ht="42" customHeight="1">
      <c r="A259" s="2" t="inlineStr">
        <is>
          <t>tbv-per-share</t>
        </is>
      </c>
      <c r="B259" s="2" t="inlineStr">
        <is>
          <t>tangible-book-value</t>
        </is>
      </c>
      <c r="C259" s="2" t="inlineStr">
        <is>
          <t>2025-11-02</t>
        </is>
      </c>
      <c r="D259" s="3" t="n">
        <v>-10.21905790343467</v>
      </c>
      <c r="E259" s="2" t="inlineStr">
        <is>
          <t>USD/share</t>
        </is>
      </c>
      <c r="F259" s="2" t="inlineStr">
        <is>
          <t>ok</t>
        </is>
      </c>
      <c r="G259" s="2" t="inlineStr">
        <is>
          <t>Tangible book value / Shares</t>
        </is>
      </c>
      <c r="H259" s="2" t="inlineStr"/>
      <c r="I259" s="2" t="inlineStr">
        <is>
          <t>{"basis": "reported"}</t>
        </is>
      </c>
    </row>
    <row r="260" ht="42" customHeight="1">
      <c r="A260" s="2" t="inlineStr">
        <is>
          <t>ncav-per-share</t>
        </is>
      </c>
      <c r="B260" s="2" t="inlineStr">
        <is>
          <t>ncav</t>
        </is>
      </c>
      <c r="C260" s="2" t="inlineStr">
        <is>
          <t>2025-11-02</t>
        </is>
      </c>
      <c r="D260" s="3" t="n">
        <v>-12.19763610641815</v>
      </c>
      <c r="E260" s="2" t="inlineStr">
        <is>
          <t>USD/share</t>
        </is>
      </c>
      <c r="F260" s="2" t="inlineStr">
        <is>
          <t>ok</t>
        </is>
      </c>
      <c r="G260" s="2" t="inlineStr">
        <is>
          <t>NCAV / Shares</t>
        </is>
      </c>
      <c r="H260" s="2" t="inlineStr"/>
      <c r="I260" s="2" t="inlineStr">
        <is>
          <t>{"basis": "reported"}</t>
        </is>
      </c>
    </row>
    <row r="261" ht="42" customHeight="1">
      <c r="A261" s="2" t="inlineStr">
        <is>
          <t>margin-of-safety-base</t>
        </is>
      </c>
      <c r="B261" s="2" t="inlineStr">
        <is>
          <t>margin-of-safety</t>
        </is>
      </c>
      <c r="C261" s="2" t="inlineStr">
        <is>
          <t>2025-11-02</t>
        </is>
      </c>
      <c r="D261" s="5" t="n">
        <v>-2.585728059848587</v>
      </c>
      <c r="E261" s="2" t="inlineStr">
        <is>
          <t>ratio (decimal; displayed as %)</t>
        </is>
      </c>
      <c r="F261" s="2" t="inlineStr">
        <is>
          <t>ok</t>
        </is>
      </c>
      <c r="G261" s="2" t="inlineStr">
        <is>
          <t>(DCF value base − Price) / DCF value base (only when value &gt; 0)</t>
        </is>
      </c>
      <c r="H261" s="2" t="inlineStr"/>
      <c r="I261" s="2" t="inlineStr">
        <is>
          <t>{"basis": "reported"}</t>
        </is>
      </c>
    </row>
    <row r="262" ht="42" customHeight="1">
      <c r="A262" s="2" t="inlineStr">
        <is>
          <t>margin-of-safety-bear</t>
        </is>
      </c>
      <c r="B262" s="2" t="inlineStr">
        <is>
          <t>margin-of-safety</t>
        </is>
      </c>
      <c r="C262" s="2" t="inlineStr">
        <is>
          <t>2025-11-02</t>
        </is>
      </c>
      <c r="D262" s="5" t="n">
        <v>-4.692472131792246</v>
      </c>
      <c r="E262" s="2" t="inlineStr">
        <is>
          <t>ratio (decimal; displayed as %)</t>
        </is>
      </c>
      <c r="F262" s="2" t="inlineStr">
        <is>
          <t>ok</t>
        </is>
      </c>
      <c r="G262" s="2" t="inlineStr">
        <is>
          <t>(DCF value bear − Price) / DCF value bear (only when value &gt; 0)</t>
        </is>
      </c>
      <c r="H262" s="2" t="inlineStr"/>
      <c r="I262" s="2" t="inlineStr">
        <is>
          <t>{"basis": "reported"}</t>
        </is>
      </c>
    </row>
    <row r="263" ht="42" customHeight="1">
      <c r="A263" s="2" t="inlineStr">
        <is>
          <t>reported-tax-rate-annual</t>
        </is>
      </c>
      <c r="B263" s="2" t="inlineStr">
        <is>
          <t>nopat</t>
        </is>
      </c>
      <c r="C263" s="2" t="inlineStr">
        <is>
          <t>2025-11-02</t>
        </is>
      </c>
      <c r="D263" s="5" t="n">
        <v>-0.0174666725328875</v>
      </c>
      <c r="E263" s="2" t="inlineStr">
        <is>
          <t>ratio (decimal; displayed as %)</t>
        </is>
      </c>
      <c r="F263" s="2" t="inlineStr">
        <is>
          <t>ok</t>
        </is>
      </c>
      <c r="G263" s="2" t="inlineStr">
        <is>
          <t>Income tax expense / Pretax income (unclipped; positive pretax income required)</t>
        </is>
      </c>
      <c r="H263" s="2" t="inlineStr"/>
      <c r="I263" s="2" t="inlineStr">
        <is>
          <t>{"basis": "reported", "period_basis": "annual"}</t>
        </is>
      </c>
    </row>
    <row r="264" ht="42" customHeight="1">
      <c r="A264" s="2" t="inlineStr">
        <is>
          <t>normalized-tax-rate-annual</t>
        </is>
      </c>
      <c r="B264" s="2" t="inlineStr">
        <is>
          <t>nopat</t>
        </is>
      </c>
      <c r="C264" s="2" t="inlineStr">
        <is>
          <t>2025-11-02</t>
        </is>
      </c>
      <c r="D264" s="5" t="n">
        <v>0.21</v>
      </c>
      <c r="E264" s="2" t="inlineStr">
        <is>
          <t>ratio (decimal; displayed as %)</t>
        </is>
      </c>
      <c r="F264" s="2" t="inlineStr">
        <is>
          <t>ok</t>
        </is>
      </c>
      <c r="G264" s="2" t="inlineStr">
        <is>
          <t>Explicit normalized tax assumption; never replaces the reported tax rate</t>
        </is>
      </c>
      <c r="H264" s="2" t="inlineStr"/>
      <c r="I264" s="2" t="inlineStr">
        <is>
          <t>{"basis": "normalized", "period_basis": "annual"}</t>
        </is>
      </c>
    </row>
    <row r="265" ht="42" customHeight="1">
      <c r="A265" s="2" t="inlineStr">
        <is>
          <t>normalized-nopat-annual</t>
        </is>
      </c>
      <c r="B265" s="2" t="inlineStr">
        <is>
          <t>nopat</t>
        </is>
      </c>
      <c r="C265" s="2" t="inlineStr">
        <is>
          <t>2025-11-02</t>
        </is>
      </c>
      <c r="D265" s="3" t="n">
        <v>20132360000</v>
      </c>
      <c r="E265" s="2" t="inlineStr">
        <is>
          <t>USD</t>
        </is>
      </c>
      <c r="F265" s="2" t="inlineStr">
        <is>
          <t>ok</t>
        </is>
      </c>
      <c r="G265" s="2" t="inlineStr">
        <is>
          <t>Operating income × (1 - normalized tax rate)</t>
        </is>
      </c>
      <c r="H265" s="2" t="inlineStr"/>
      <c r="I265" s="2" t="inlineStr">
        <is>
          <t>{"basis": "normalized", "period_basis": "annual"}</t>
        </is>
      </c>
    </row>
    <row r="266" ht="42" customHeight="1">
      <c r="A266" s="2" t="inlineStr">
        <is>
          <t>normalized-roic-annual</t>
        </is>
      </c>
      <c r="B266" s="2" t="inlineStr">
        <is>
          <t>roic</t>
        </is>
      </c>
      <c r="C266" s="2" t="inlineStr">
        <is>
          <t>2025-11-02</t>
        </is>
      </c>
      <c r="D266" s="5" t="n">
        <v>0.1572103701389974</v>
      </c>
      <c r="E266" s="2" t="inlineStr">
        <is>
          <t>ratio (decimal; displayed as %)</t>
        </is>
      </c>
      <c r="F266" s="2" t="inlineStr">
        <is>
          <t>ok</t>
        </is>
      </c>
      <c r="G266" s="2" t="inlineStr">
        <is>
          <t>Operating income × (1 - normalized tax rate) / average invested capital</t>
        </is>
      </c>
      <c r="H266" s="2" t="inlineStr"/>
      <c r="I266" s="2" t="inlineStr">
        <is>
          <t>{"basis": "normalized", "period_basis": "annual"}</t>
        </is>
      </c>
    </row>
    <row r="267" ht="42" customHeight="1">
      <c r="A267" s="2" t="inlineStr">
        <is>
          <t>normalized-fcff-annual</t>
        </is>
      </c>
      <c r="B267" s="2" t="inlineStr">
        <is>
          <t>fcff</t>
        </is>
      </c>
      <c r="C267" s="2" t="inlineStr">
        <is>
          <t>2025-11-02</t>
        </is>
      </c>
      <c r="D267" s="3" t="n">
        <v>24804360000</v>
      </c>
      <c r="E267" s="2" t="inlineStr">
        <is>
          <t>USD</t>
        </is>
      </c>
      <c r="F267" s="2" t="inlineStr">
        <is>
          <t>ok</t>
        </is>
      </c>
      <c r="G267" s="2" t="inlineStr">
        <is>
          <t>Operating income × (1 - normalized tax rate) + D&amp;A - |CapEx| - ΔOperating working capital; SBC remains expensed in operating income</t>
        </is>
      </c>
      <c r="H267" s="2" t="inlineStr"/>
      <c r="I267" s="2" t="inlineStr">
        <is>
          <t>{"basis": "normalized", "period_basis": "annual"}</t>
        </is>
      </c>
    </row>
    <row r="268" ht="42" customHeight="1">
      <c r="A268" s="2" t="inlineStr">
        <is>
          <t>normalized-owner-earnings-annual</t>
        </is>
      </c>
      <c r="B268" s="2" t="inlineStr">
        <is>
          <t>owner-earnings</t>
        </is>
      </c>
      <c r="C268" s="2" t="inlineStr">
        <is>
          <t>2025-11-02</t>
        </is>
      </c>
      <c r="D268" s="3" t="n">
        <v>22676910000</v>
      </c>
      <c r="E268" s="2" t="inlineStr">
        <is>
          <t>USD</t>
        </is>
      </c>
      <c r="F268" s="2" t="inlineStr">
        <is>
          <t>ok</t>
        </is>
      </c>
      <c r="G268" s="2" t="inlineStr">
        <is>
          <t>Net income + reported tax - pretax income × normalized tax + D&amp;A - explicit maintenance CapEx - ΔOperating working capital</t>
        </is>
      </c>
      <c r="H268" s="2" t="inlineStr"/>
      <c r="I268" s="2" t="inlineStr">
        <is>
          <t>{"basis": "normalized", "period_basis": "annual"}</t>
        </is>
      </c>
    </row>
    <row r="269" ht="42" customHeight="1">
      <c r="A269" s="2" t="inlineStr">
        <is>
          <t>reported-tax-rate-ttm</t>
        </is>
      </c>
      <c r="B269" s="2" t="inlineStr">
        <is>
          <t>nopat</t>
        </is>
      </c>
      <c r="C269" s="2" t="inlineStr">
        <is>
          <t>2026-08-02</t>
        </is>
      </c>
      <c r="D269" s="5" t="n">
        <v>0.05446143962045022</v>
      </c>
      <c r="E269" s="2" t="inlineStr">
        <is>
          <t>ratio (decimal; displayed as %)</t>
        </is>
      </c>
      <c r="F269" s="2" t="inlineStr">
        <is>
          <t>ok</t>
        </is>
      </c>
      <c r="G269" s="2" t="inlineStr">
        <is>
          <t>Income tax expense / Pretax income (unclipped; positive pretax income required)</t>
        </is>
      </c>
      <c r="H269" s="2" t="inlineStr"/>
      <c r="I269" s="2" t="inlineStr">
        <is>
          <t>{"basis": "reported", "period_basis": "ttm"}</t>
        </is>
      </c>
    </row>
    <row r="270" ht="42" customHeight="1">
      <c r="A270" s="2" t="inlineStr">
        <is>
          <t>ttm-revenue</t>
        </is>
      </c>
      <c r="B270" s="2" t="inlineStr">
        <is>
          <t>revenue</t>
        </is>
      </c>
      <c r="C270" s="2" t="inlineStr">
        <is>
          <t>2026-08-02</t>
        </is>
      </c>
      <c r="D270" s="3" t="n">
        <v>89104000000</v>
      </c>
      <c r="E270" s="2" t="inlineStr">
        <is>
          <t>USD</t>
        </is>
      </c>
      <c r="F270" s="2" t="inlineStr">
        <is>
          <t>ok</t>
        </is>
      </c>
      <c r="G270" s="2" t="inlineStr">
        <is>
          <t>Annual revenue + current YTD - prior YTD</t>
        </is>
      </c>
      <c r="H270" s="2" t="inlineStr"/>
      <c r="I270" s="2" t="inlineStr">
        <is>
          <t>{"basis": "reported", "period_basis": "ttm"}</t>
        </is>
      </c>
    </row>
    <row r="271" ht="42" customHeight="1">
      <c r="A271" s="2" t="inlineStr">
        <is>
          <t>ttm-net-income</t>
        </is>
      </c>
      <c r="B271" s="2" t="inlineStr">
        <is>
          <t>net-income</t>
        </is>
      </c>
      <c r="C271" s="2" t="inlineStr">
        <is>
          <t>2026-08-02</t>
        </is>
      </c>
      <c r="D271" s="3" t="n">
        <v>38265000000</v>
      </c>
      <c r="E271" s="2" t="inlineStr">
        <is>
          <t>USD</t>
        </is>
      </c>
      <c r="F271" s="2" t="inlineStr">
        <is>
          <t>ok</t>
        </is>
      </c>
      <c r="G271" s="2" t="inlineStr">
        <is>
          <t>Annual net income + current YTD - prior YTD</t>
        </is>
      </c>
      <c r="H271" s="2" t="inlineStr"/>
      <c r="I271" s="2" t="inlineStr">
        <is>
          <t>{"basis": "reported", "period_basis": "ttm"}</t>
        </is>
      </c>
    </row>
    <row r="272" ht="42" customHeight="1">
      <c r="A272" s="2" t="inlineStr">
        <is>
          <t>ttm-fcf</t>
        </is>
      </c>
      <c r="B272" s="2" t="inlineStr">
        <is>
          <t>fcf</t>
        </is>
      </c>
      <c r="C272" s="2" t="inlineStr">
        <is>
          <t>2026-08-02</t>
        </is>
      </c>
      <c r="D272" s="3" t="n">
        <v>39403000000</v>
      </c>
      <c r="E272" s="2" t="inlineStr">
        <is>
          <t>USD</t>
        </is>
      </c>
      <c r="F272" s="2" t="inlineStr">
        <is>
          <t>ok</t>
        </is>
      </c>
      <c r="G272" s="2" t="inlineStr">
        <is>
          <t>TTM OCF - |TTM CapEx|</t>
        </is>
      </c>
      <c r="H272" s="2" t="inlineStr"/>
      <c r="I272" s="2" t="inlineStr">
        <is>
          <t>{"basis": "reported", "period_basis": "ttm"}</t>
        </is>
      </c>
    </row>
    <row r="273" ht="42" customHeight="1">
      <c r="A273" s="2" t="inlineStr">
        <is>
          <t>ttm-fcff</t>
        </is>
      </c>
      <c r="B273" s="2" t="inlineStr">
        <is>
          <t>fcff</t>
        </is>
      </c>
      <c r="C273" s="2" t="inlineStr">
        <is>
          <t>2026-08-02</t>
        </is>
      </c>
      <c r="D273" s="3" t="n">
        <v>33867298154.14268</v>
      </c>
      <c r="E273" s="2" t="inlineStr">
        <is>
          <t>USD</t>
        </is>
      </c>
      <c r="F273" s="2" t="inlineStr">
        <is>
          <t>ok</t>
        </is>
      </c>
      <c r="G273" s="2" t="inlineStr">
        <is>
          <t>TTM OCF + Interest × (1 - tax shield proxy) - |CapEx| - SBC; not tax-normalized</t>
        </is>
      </c>
      <c r="H273" s="2" t="inlineStr"/>
      <c r="I273" s="2" t="inlineStr">
        <is>
          <t>{"basis": "reported", "period_basis": "ttm"}</t>
        </is>
      </c>
    </row>
    <row r="274" ht="42" customHeight="1">
      <c r="A274" s="2" t="inlineStr">
        <is>
          <t>ttm-ebitda</t>
        </is>
      </c>
      <c r="B274" s="2" t="inlineStr">
        <is>
          <t>ebitda</t>
        </is>
      </c>
      <c r="C274" s="2" t="inlineStr">
        <is>
          <t>2026-08-02</t>
        </is>
      </c>
      <c r="D274" s="3" t="n">
        <v>51440000000</v>
      </c>
      <c r="E274" s="2" t="inlineStr">
        <is>
          <t>USD</t>
        </is>
      </c>
      <c r="F274" s="2" t="inlineStr">
        <is>
          <t>ok</t>
        </is>
      </c>
      <c r="G274" s="2" t="inlineStr">
        <is>
          <t>TTM operating income + complete TTM D&amp;A</t>
        </is>
      </c>
      <c r="H274" s="2" t="inlineStr"/>
      <c r="I274" s="2" t="inlineStr">
        <is>
          <t>{"basis": "reported", "period_basis": "ttm"}</t>
        </is>
      </c>
    </row>
    <row r="275" ht="42" customHeight="1">
      <c r="A275" s="2" t="inlineStr">
        <is>
          <t>ttm-pe</t>
        </is>
      </c>
      <c r="B275" s="2" t="inlineStr">
        <is>
          <t>pe</t>
        </is>
      </c>
      <c r="C275" s="2" t="inlineStr">
        <is>
          <t>2026-08-02</t>
        </is>
      </c>
      <c r="D275" s="3" t="n">
        <v>45.10278691734222</v>
      </c>
      <c r="E275" s="2" t="inlineStr">
        <is>
          <t>multiple (x)</t>
        </is>
      </c>
      <c r="F275" s="2" t="inlineStr">
        <is>
          <t>ok</t>
        </is>
      </c>
      <c r="G275" s="2" t="inlineStr">
        <is>
          <t>Market cap / TTM net income (positive earnings required)</t>
        </is>
      </c>
      <c r="H275" s="2" t="inlineStr"/>
      <c r="I275" s="2" t="inlineStr">
        <is>
          <t>{"basis": "reported", "period_basis": "ttm"}</t>
        </is>
      </c>
    </row>
    <row r="276" ht="42" customHeight="1">
      <c r="A276" s="2" t="inlineStr">
        <is>
          <t>ttm-fcf-margin</t>
        </is>
      </c>
      <c r="B276" s="2" t="inlineStr">
        <is>
          <t>fcf-margin</t>
        </is>
      </c>
      <c r="C276" s="2" t="inlineStr">
        <is>
          <t>2026-08-02</t>
        </is>
      </c>
      <c r="D276" s="5" t="n">
        <v>0.4422135931046867</v>
      </c>
      <c r="E276" s="2" t="inlineStr">
        <is>
          <t>ratio (decimal; displayed as %)</t>
        </is>
      </c>
      <c r="F276" s="2" t="inlineStr">
        <is>
          <t>ok</t>
        </is>
      </c>
      <c r="G276" s="2" t="inlineStr">
        <is>
          <t>TTM FCF / TTM revenue</t>
        </is>
      </c>
      <c r="H276" s="2" t="inlineStr"/>
      <c r="I276" s="2" t="inlineStr">
        <is>
          <t>{"basis": "reported", "period_basis": "ttm"}</t>
        </is>
      </c>
    </row>
    <row r="277" ht="42" customHeight="1">
      <c r="A277" s="2" t="inlineStr">
        <is>
          <t>ttm-fcf-yield</t>
        </is>
      </c>
      <c r="B277" s="2" t="inlineStr">
        <is>
          <t>fcf-yield</t>
        </is>
      </c>
      <c r="C277" s="2" t="inlineStr">
        <is>
          <t>2026-08-02</t>
        </is>
      </c>
      <c r="D277" s="5" t="n">
        <v>0.02283096104771219</v>
      </c>
      <c r="E277" s="2" t="inlineStr">
        <is>
          <t>ratio (decimal; displayed as %)</t>
        </is>
      </c>
      <c r="F277" s="2" t="inlineStr">
        <is>
          <t>ok</t>
        </is>
      </c>
      <c r="G277" s="2" t="inlineStr">
        <is>
          <t>TTM FCF / market cap</t>
        </is>
      </c>
      <c r="H277" s="2" t="inlineStr"/>
      <c r="I277" s="2" t="inlineStr">
        <is>
          <t>{"basis": "reported", "period_basis": "ttm"}</t>
        </is>
      </c>
    </row>
    <row r="278" ht="42" customHeight="1">
      <c r="A278" s="2" t="inlineStr">
        <is>
          <t>ttm-ev-ebitda</t>
        </is>
      </c>
      <c r="B278" s="2" t="inlineStr">
        <is>
          <t>ev-ebitda</t>
        </is>
      </c>
      <c r="C278" s="2" t="inlineStr">
        <is>
          <t>2026-08-02</t>
        </is>
      </c>
      <c r="D278" s="3" t="n">
        <v>34.23993276423212</v>
      </c>
      <c r="E278" s="2" t="inlineStr">
        <is>
          <t>multiple (x)</t>
        </is>
      </c>
      <c r="F278" s="2" t="inlineStr">
        <is>
          <t>ok</t>
        </is>
      </c>
      <c r="G278" s="2" t="inlineStr">
        <is>
          <t>Latest EV / complete TTM EBITDA</t>
        </is>
      </c>
      <c r="H278" s="2" t="inlineStr"/>
      <c r="I278" s="2" t="inlineStr">
        <is>
          <t>{"basis": "reported", "period_basis": "ttm"}</t>
        </is>
      </c>
    </row>
    <row r="279" ht="42" customHeight="1">
      <c r="A279" s="2" t="inlineStr">
        <is>
          <t>normalized-tax-rate-ttm</t>
        </is>
      </c>
      <c r="B279" s="2" t="inlineStr">
        <is>
          <t>nopat</t>
        </is>
      </c>
      <c r="C279" s="2" t="inlineStr">
        <is>
          <t>2026-08-02</t>
        </is>
      </c>
      <c r="D279" s="5" t="n">
        <v>0.21</v>
      </c>
      <c r="E279" s="2" t="inlineStr">
        <is>
          <t>ratio (decimal; displayed as %)</t>
        </is>
      </c>
      <c r="F279" s="2" t="inlineStr">
        <is>
          <t>ok</t>
        </is>
      </c>
      <c r="G279" s="2" t="inlineStr">
        <is>
          <t>Explicit normalized tax assumption; never replaces the reported tax rate</t>
        </is>
      </c>
      <c r="H279" s="2" t="inlineStr"/>
      <c r="I279" s="2" t="inlineStr">
        <is>
          <t>{"basis": "normalized", "period_basis": "ttm"}</t>
        </is>
      </c>
    </row>
    <row r="280" ht="42" customHeight="1">
      <c r="A280" s="2" t="inlineStr">
        <is>
          <t>normalized-nopat-ttm</t>
        </is>
      </c>
      <c r="B280" s="2" t="inlineStr">
        <is>
          <t>nopat</t>
        </is>
      </c>
      <c r="C280" s="2" t="inlineStr">
        <is>
          <t>2026-08-02</t>
        </is>
      </c>
      <c r="D280" s="3" t="n">
        <v>33823060000</v>
      </c>
      <c r="E280" s="2" t="inlineStr">
        <is>
          <t>USD</t>
        </is>
      </c>
      <c r="F280" s="2" t="inlineStr">
        <is>
          <t>ok</t>
        </is>
      </c>
      <c r="G280" s="2" t="inlineStr">
        <is>
          <t>Operating income × (1 - normalized tax rate)</t>
        </is>
      </c>
      <c r="H280" s="2" t="inlineStr"/>
      <c r="I280" s="2" t="inlineStr">
        <is>
          <t>{"basis": "normalized", "period_basis": "ttm"}</t>
        </is>
      </c>
    </row>
    <row r="281" ht="42" customHeight="1">
      <c r="A281" s="2" t="inlineStr">
        <is>
          <t>normalized-roic-ttm</t>
        </is>
      </c>
      <c r="B281" s="2" t="inlineStr">
        <is>
          <t>roic</t>
        </is>
      </c>
      <c r="C281" s="2" t="inlineStr">
        <is>
          <t>2026-08-02</t>
        </is>
      </c>
      <c r="D281" s="5" t="n">
        <v>0.2582681867120746</v>
      </c>
      <c r="E281" s="2" t="inlineStr">
        <is>
          <t>ratio (decimal; displayed as %)</t>
        </is>
      </c>
      <c r="F281" s="2" t="inlineStr">
        <is>
          <t>ok</t>
        </is>
      </c>
      <c r="G281" s="2" t="inlineStr">
        <is>
          <t>Operating income × (1 - normalized tax rate) / average invested capital</t>
        </is>
      </c>
      <c r="H281" s="2" t="inlineStr"/>
      <c r="I281" s="2" t="inlineStr">
        <is>
          <t>{"basis": "normalized", "period_basis": "ttm"}</t>
        </is>
      </c>
    </row>
    <row r="282" ht="42" customHeight="1">
      <c r="A282" s="2" t="inlineStr">
        <is>
          <t>normalized-fcff-ttm</t>
        </is>
      </c>
      <c r="B282" s="2" t="inlineStr">
        <is>
          <t>fcff</t>
        </is>
      </c>
      <c r="C282" s="2" t="inlineStr">
        <is>
          <t>2026-08-02</t>
        </is>
      </c>
      <c r="D282" s="3" t="n">
        <v>34211060000</v>
      </c>
      <c r="E282" s="2" t="inlineStr">
        <is>
          <t>USD</t>
        </is>
      </c>
      <c r="F282" s="2" t="inlineStr">
        <is>
          <t>ok</t>
        </is>
      </c>
      <c r="G282" s="2" t="inlineStr">
        <is>
          <t>Operating income × (1 - normalized tax rate) + D&amp;A - |CapEx| - ΔOperating working capital; SBC remains expensed in operating income</t>
        </is>
      </c>
      <c r="H282" s="2" t="inlineStr"/>
      <c r="I282" s="2" t="inlineStr">
        <is>
          <t>{"basis": "normalized", "period_basis": "ttm"}</t>
        </is>
      </c>
    </row>
    <row r="283" ht="42" customHeight="1">
      <c r="A283" s="2" t="inlineStr">
        <is>
          <t>normalized-owner-earnings-ttm</t>
        </is>
      </c>
      <c r="B283" s="2" t="inlineStr">
        <is>
          <t>owner-earnings</t>
        </is>
      </c>
      <c r="C283" s="2" t="inlineStr">
        <is>
          <t>2026-08-02</t>
        </is>
      </c>
      <c r="D283" s="3" t="n">
        <v>32976510000</v>
      </c>
      <c r="E283" s="2" t="inlineStr">
        <is>
          <t>USD</t>
        </is>
      </c>
      <c r="F283" s="2" t="inlineStr">
        <is>
          <t>ok</t>
        </is>
      </c>
      <c r="G283" s="2" t="inlineStr">
        <is>
          <t>Net income + reported tax - pretax income × normalized tax + D&amp;A - explicit maintenance CapEx - ΔOperating working capital</t>
        </is>
      </c>
      <c r="H283" s="2" t="inlineStr"/>
      <c r="I283" s="2" t="inlineStr">
        <is>
          <t>{"basis": "normalized", "period_basis": "ttm"}</t>
        </is>
      </c>
    </row>
    <row r="284" ht="42" customHeight="1">
      <c r="A284" s="2" t="inlineStr">
        <is>
          <t>forward-illustrative-growth-value</t>
        </is>
      </c>
      <c r="B284" s="2" t="inlineStr">
        <is>
          <t>fair-value-per-share</t>
        </is>
      </c>
      <c r="C284" s="2" t="inlineStr">
        <is>
          <t>2026-08-02</t>
        </is>
      </c>
      <c r="D284" s="3" t="n">
        <v>173.9693007429269</v>
      </c>
      <c r="E284" s="2" t="inlineStr">
        <is>
          <t>USD/share</t>
        </is>
      </c>
      <c r="F284" s="2" t="inlineStr">
        <is>
          <t>ok</t>
        </is>
      </c>
      <c r="G284" s="2" t="inlineStr">
        <is>
          <t>PV(explicit annual FCFF) + PV(terminal FCFF / (WACC - terminal growth)) - claims + cash, divided by shares</t>
        </is>
      </c>
      <c r="H284" s="2" t="inlineStr"/>
      <c r="I284"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5" ht="42" customHeight="1">
      <c r="A285" s="2" t="inlineStr">
        <is>
          <t>forward-illustrative-garp-value</t>
        </is>
      </c>
      <c r="B285" s="2" t="inlineStr">
        <is>
          <t>fair-value-per-share</t>
        </is>
      </c>
      <c r="C285" s="2" t="inlineStr">
        <is>
          <t>2026-08-02</t>
        </is>
      </c>
      <c r="D285" s="3" t="n">
        <v>138.6386707594602</v>
      </c>
      <c r="E285" s="2" t="inlineStr">
        <is>
          <t>USD/share</t>
        </is>
      </c>
      <c r="F285" s="2" t="inlineStr">
        <is>
          <t>ok</t>
        </is>
      </c>
      <c r="G285" s="2" t="inlineStr">
        <is>
          <t>PV(explicit annual FCFF) + PV(terminal FCFF / (WACC - terminal growth)) - claims + cash, divided by shares</t>
        </is>
      </c>
      <c r="H285" s="2" t="inlineStr"/>
      <c r="I285"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6" ht="42" customHeight="1">
      <c r="A286" s="2" t="inlineStr">
        <is>
          <t>forward-illustrative-quality-value</t>
        </is>
      </c>
      <c r="B286" s="2" t="inlineStr">
        <is>
          <t>fair-value-per-share</t>
        </is>
      </c>
      <c r="C286" s="2" t="inlineStr">
        <is>
          <t>2026-08-02</t>
        </is>
      </c>
      <c r="D286" s="3" t="n">
        <v>117.601800084625</v>
      </c>
      <c r="E286" s="2" t="inlineStr">
        <is>
          <t>USD/share</t>
        </is>
      </c>
      <c r="F286" s="2" t="inlineStr">
        <is>
          <t>ok</t>
        </is>
      </c>
      <c r="G286" s="2" t="inlineStr">
        <is>
          <t>PV(explicit annual FCFF) + PV(terminal FCFF / (WACC - terminal growth)) - claims + cash, divided by shares</t>
        </is>
      </c>
      <c r="H286" s="2" t="inlineStr"/>
      <c r="I286"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sheetData>
  <autoFilter ref="A1:I286"/>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K722"/>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0" customWidth="1" min="4" max="4"/>
    <col width="25" customWidth="1" min="5" max="5"/>
    <col width="24" customWidth="1" min="6" max="6"/>
    <col width="25" customWidth="1" min="7" max="7"/>
    <col width="25" customWidth="1" min="8" max="8"/>
    <col width="25" customWidth="1" min="9" max="9"/>
    <col width="100" customWidth="1" min="10" max="10"/>
    <col width="25" customWidth="1" min="11" max="11"/>
  </cols>
  <sheetData>
    <row r="1" ht="32" customHeight="1">
      <c r="A1" s="1" t="inlineStr">
        <is>
          <t>Parent metric</t>
        </is>
      </c>
      <c r="B1" s="1" t="inlineStr">
        <is>
          <t>Metric period</t>
        </is>
      </c>
      <c r="C1" s="1" t="inlineStr">
        <is>
          <t>Input name</t>
        </is>
      </c>
      <c r="D1" s="1" t="inlineStr">
        <is>
          <t>Input item</t>
        </is>
      </c>
      <c r="E1" s="1" t="inlineStr">
        <is>
          <t>Input date</t>
        </is>
      </c>
      <c r="F1" s="1" t="inlineStr">
        <is>
          <t>Value (raw units)</t>
        </is>
      </c>
      <c r="G1" s="1" t="inlineStr">
        <is>
          <t>Assumed zero</t>
        </is>
      </c>
      <c r="H1" s="1" t="inlineStr">
        <is>
          <t>Estimate</t>
        </is>
      </c>
      <c r="I1" s="1" t="inlineStr">
        <is>
          <t>Adjusted</t>
        </is>
      </c>
      <c r="J1" s="1" t="inlineStr">
        <is>
          <t>Source / derivation</t>
        </is>
      </c>
      <c r="K1" s="1" t="inlineStr">
        <is>
          <t>Input unit</t>
        </is>
      </c>
    </row>
    <row r="2" ht="42" customHeight="1">
      <c r="A2" s="2" t="inlineStr">
        <is>
          <t>revenue-growth</t>
        </is>
      </c>
      <c r="B2" s="2" t="inlineStr">
        <is>
          <t>2016-10-30</t>
        </is>
      </c>
      <c r="C2" s="2" t="inlineStr">
        <is>
          <t>revenue</t>
        </is>
      </c>
      <c r="D2" s="2" t="inlineStr">
        <is>
          <t>revenue</t>
        </is>
      </c>
      <c r="E2" s="2" t="inlineStr">
        <is>
          <t>2016-10-30</t>
        </is>
      </c>
      <c r="F2" s="3" t="n">
        <v>13240000000</v>
      </c>
      <c r="G2" s="8" t="b">
        <v>0</v>
      </c>
      <c r="H2" s="2" t="inlineStr"/>
      <c r="I2" s="8" t="b">
        <v>0</v>
      </c>
      <c r="J2" s="2" t="inlineStr">
        <is>
          <t>https://www.sec.gov/Archives/edgar/data/1730168/000173016818000084/0001730168-18-000084-index.html</t>
        </is>
      </c>
      <c r="K2" s="2" t="inlineStr">
        <is>
          <t>USD</t>
        </is>
      </c>
    </row>
    <row r="3" ht="42" customHeight="1">
      <c r="A3" s="2" t="inlineStr">
        <is>
          <t>gross-margin</t>
        </is>
      </c>
      <c r="B3" s="2" t="inlineStr">
        <is>
          <t>2016-10-30</t>
        </is>
      </c>
      <c r="C3" s="2" t="inlineStr">
        <is>
          <t>gross_profit</t>
        </is>
      </c>
      <c r="D3" s="2" t="inlineStr">
        <is>
          <t>gross_profit</t>
        </is>
      </c>
      <c r="E3" s="2" t="inlineStr">
        <is>
          <t>2016-10-30</t>
        </is>
      </c>
      <c r="F3" s="3" t="n">
        <v>5940000000</v>
      </c>
      <c r="G3" s="8" t="b">
        <v>0</v>
      </c>
      <c r="H3" s="2" t="inlineStr"/>
      <c r="I3" s="8" t="b">
        <v>0</v>
      </c>
      <c r="J3" s="2" t="inlineStr">
        <is>
          <t>https://www.sec.gov/Archives/edgar/data/1730168/000173016818000084/0001730168-18-000084-index.html</t>
        </is>
      </c>
      <c r="K3" s="2" t="inlineStr">
        <is>
          <t>USD</t>
        </is>
      </c>
    </row>
    <row r="4" ht="42" customHeight="1">
      <c r="A4" s="2" t="inlineStr">
        <is>
          <t>gross-margin</t>
        </is>
      </c>
      <c r="B4" s="2" t="inlineStr">
        <is>
          <t>2016-10-30</t>
        </is>
      </c>
      <c r="C4" s="2" t="inlineStr">
        <is>
          <t>revenue</t>
        </is>
      </c>
      <c r="D4" s="2" t="inlineStr">
        <is>
          <t>revenue</t>
        </is>
      </c>
      <c r="E4" s="2" t="inlineStr">
        <is>
          <t>2016-10-30</t>
        </is>
      </c>
      <c r="F4" s="3" t="n">
        <v>13240000000</v>
      </c>
      <c r="G4" s="8" t="b">
        <v>0</v>
      </c>
      <c r="H4" s="2" t="inlineStr"/>
      <c r="I4" s="8" t="b">
        <v>0</v>
      </c>
      <c r="J4" s="2" t="inlineStr">
        <is>
          <t>https://www.sec.gov/Archives/edgar/data/1730168/000173016818000084/0001730168-18-000084-index.html</t>
        </is>
      </c>
      <c r="K4" s="2" t="inlineStr">
        <is>
          <t>USD</t>
        </is>
      </c>
    </row>
    <row r="5" ht="42" customHeight="1">
      <c r="A5" s="2" t="inlineStr">
        <is>
          <t>operating-margin</t>
        </is>
      </c>
      <c r="B5" s="2" t="inlineStr">
        <is>
          <t>2016-10-30</t>
        </is>
      </c>
      <c r="C5" s="2" t="inlineStr">
        <is>
          <t>operating_income</t>
        </is>
      </c>
      <c r="D5" s="2" t="inlineStr">
        <is>
          <t>operating_income</t>
        </is>
      </c>
      <c r="E5" s="2" t="inlineStr">
        <is>
          <t>2016-10-30</t>
        </is>
      </c>
      <c r="F5" s="3" t="n">
        <v>-409000000</v>
      </c>
      <c r="G5" s="8" t="b">
        <v>0</v>
      </c>
      <c r="H5" s="2" t="inlineStr"/>
      <c r="I5" s="8" t="b">
        <v>0</v>
      </c>
      <c r="J5" s="2" t="inlineStr">
        <is>
          <t>https://www.sec.gov/Archives/edgar/data/1730168/000173016818000084/0001730168-18-000084-index.html</t>
        </is>
      </c>
      <c r="K5" s="2" t="inlineStr">
        <is>
          <t>USD</t>
        </is>
      </c>
    </row>
    <row r="6" ht="42" customHeight="1">
      <c r="A6" s="2" t="inlineStr">
        <is>
          <t>operating-margin</t>
        </is>
      </c>
      <c r="B6" s="2" t="inlineStr">
        <is>
          <t>2016-10-30</t>
        </is>
      </c>
      <c r="C6" s="2" t="inlineStr">
        <is>
          <t>revenue</t>
        </is>
      </c>
      <c r="D6" s="2" t="inlineStr">
        <is>
          <t>revenue</t>
        </is>
      </c>
      <c r="E6" s="2" t="inlineStr">
        <is>
          <t>2016-10-30</t>
        </is>
      </c>
      <c r="F6" s="3" t="n">
        <v>13240000000</v>
      </c>
      <c r="G6" s="8" t="b">
        <v>0</v>
      </c>
      <c r="H6" s="2" t="inlineStr"/>
      <c r="I6" s="8" t="b">
        <v>0</v>
      </c>
      <c r="J6" s="2" t="inlineStr">
        <is>
          <t>https://www.sec.gov/Archives/edgar/data/1730168/000173016818000084/0001730168-18-000084-index.html</t>
        </is>
      </c>
      <c r="K6" s="2" t="inlineStr">
        <is>
          <t>USD</t>
        </is>
      </c>
    </row>
    <row r="7" ht="42" customHeight="1">
      <c r="A7" s="2" t="inlineStr">
        <is>
          <t>net-margin</t>
        </is>
      </c>
      <c r="B7" s="2" t="inlineStr">
        <is>
          <t>2016-10-30</t>
        </is>
      </c>
      <c r="C7" s="2" t="inlineStr">
        <is>
          <t>net_income</t>
        </is>
      </c>
      <c r="D7" s="2" t="inlineStr">
        <is>
          <t>net_income</t>
        </is>
      </c>
      <c r="E7" s="2" t="inlineStr">
        <is>
          <t>2016-10-30</t>
        </is>
      </c>
      <c r="F7" s="3" t="n">
        <v>-1739000000</v>
      </c>
      <c r="G7" s="8" t="b">
        <v>0</v>
      </c>
      <c r="H7" s="2" t="inlineStr"/>
      <c r="I7" s="8" t="b">
        <v>0</v>
      </c>
      <c r="J7" s="2" t="inlineStr">
        <is>
          <t>https://www.sec.gov/Archives/edgar/data/1730168/000173016818000084/0001730168-18-000084-index.html</t>
        </is>
      </c>
      <c r="K7" s="2" t="inlineStr">
        <is>
          <t>USD</t>
        </is>
      </c>
    </row>
    <row r="8" ht="42" customHeight="1">
      <c r="A8" s="2" t="inlineStr">
        <is>
          <t>net-margin</t>
        </is>
      </c>
      <c r="B8" s="2" t="inlineStr">
        <is>
          <t>2016-10-30</t>
        </is>
      </c>
      <c r="C8" s="2" t="inlineStr">
        <is>
          <t>revenue</t>
        </is>
      </c>
      <c r="D8" s="2" t="inlineStr">
        <is>
          <t>revenue</t>
        </is>
      </c>
      <c r="E8" s="2" t="inlineStr">
        <is>
          <t>2016-10-30</t>
        </is>
      </c>
      <c r="F8" s="3" t="n">
        <v>13240000000</v>
      </c>
      <c r="G8" s="8" t="b">
        <v>0</v>
      </c>
      <c r="H8" s="2" t="inlineStr"/>
      <c r="I8" s="8" t="b">
        <v>0</v>
      </c>
      <c r="J8" s="2" t="inlineStr">
        <is>
          <t>https://www.sec.gov/Archives/edgar/data/1730168/000173016818000084/0001730168-18-000084-index.html</t>
        </is>
      </c>
      <c r="K8" s="2" t="inlineStr">
        <is>
          <t>USD</t>
        </is>
      </c>
    </row>
    <row r="9" ht="42" customHeight="1">
      <c r="A9" s="2" t="inlineStr">
        <is>
          <t>fcf</t>
        </is>
      </c>
      <c r="B9" s="2" t="inlineStr">
        <is>
          <t>2016-10-30</t>
        </is>
      </c>
      <c r="C9" s="2" t="inlineStr">
        <is>
          <t>ocf</t>
        </is>
      </c>
      <c r="D9" s="2" t="inlineStr">
        <is>
          <t>ocf</t>
        </is>
      </c>
      <c r="E9" s="2" t="inlineStr">
        <is>
          <t>2016-10-30</t>
        </is>
      </c>
      <c r="F9" s="3" t="n">
        <v>3411000000</v>
      </c>
      <c r="G9" s="8" t="b">
        <v>0</v>
      </c>
      <c r="H9" s="2" t="inlineStr"/>
      <c r="I9" s="8" t="b">
        <v>0</v>
      </c>
      <c r="J9" s="2" t="inlineStr">
        <is>
          <t>https://www.sec.gov/Archives/edgar/data/1730168/000173016818000084/0001730168-18-000084-index.html</t>
        </is>
      </c>
      <c r="K9" s="2" t="inlineStr">
        <is>
          <t>USD</t>
        </is>
      </c>
    </row>
    <row r="10" ht="42" customHeight="1">
      <c r="A10" s="2" t="inlineStr">
        <is>
          <t>fcf</t>
        </is>
      </c>
      <c r="B10" s="2" t="inlineStr">
        <is>
          <t>2016-10-30</t>
        </is>
      </c>
      <c r="C10" s="2" t="inlineStr">
        <is>
          <t>capex</t>
        </is>
      </c>
      <c r="D10" s="2" t="inlineStr">
        <is>
          <t>capex</t>
        </is>
      </c>
      <c r="E10" s="2" t="inlineStr">
        <is>
          <t>2016-10-30</t>
        </is>
      </c>
      <c r="F10" s="3" t="n">
        <v>723000000</v>
      </c>
      <c r="G10" s="8" t="b">
        <v>0</v>
      </c>
      <c r="H10" s="2" t="inlineStr"/>
      <c r="I10" s="8" t="b">
        <v>0</v>
      </c>
      <c r="J10" s="2" t="inlineStr">
        <is>
          <t>https://www.sec.gov/Archives/edgar/data/1730168/000173016818000084/0001730168-18-000084-index.html</t>
        </is>
      </c>
      <c r="K10" s="2" t="inlineStr">
        <is>
          <t>USD</t>
        </is>
      </c>
    </row>
    <row r="11" ht="42" customHeight="1">
      <c r="A11" s="2" t="inlineStr">
        <is>
          <t>fcf-margin</t>
        </is>
      </c>
      <c r="B11" s="2" t="inlineStr">
        <is>
          <t>2016-10-30</t>
        </is>
      </c>
      <c r="C11" s="2" t="inlineStr">
        <is>
          <t>ocf</t>
        </is>
      </c>
      <c r="D11" s="2" t="inlineStr">
        <is>
          <t>ocf</t>
        </is>
      </c>
      <c r="E11" s="2" t="inlineStr">
        <is>
          <t>2016-10-30</t>
        </is>
      </c>
      <c r="F11" s="3" t="n">
        <v>3411000000</v>
      </c>
      <c r="G11" s="8" t="b">
        <v>0</v>
      </c>
      <c r="H11" s="2" t="inlineStr"/>
      <c r="I11" s="8" t="b">
        <v>0</v>
      </c>
      <c r="J11" s="2" t="inlineStr">
        <is>
          <t>https://www.sec.gov/Archives/edgar/data/1730168/000173016818000084/0001730168-18-000084-index.html</t>
        </is>
      </c>
      <c r="K11" s="2" t="inlineStr">
        <is>
          <t>USD</t>
        </is>
      </c>
    </row>
    <row r="12" ht="42" customHeight="1">
      <c r="A12" s="2" t="inlineStr">
        <is>
          <t>fcf-margin</t>
        </is>
      </c>
      <c r="B12" s="2" t="inlineStr">
        <is>
          <t>2016-10-30</t>
        </is>
      </c>
      <c r="C12" s="2" t="inlineStr">
        <is>
          <t>capex</t>
        </is>
      </c>
      <c r="D12" s="2" t="inlineStr">
        <is>
          <t>capex</t>
        </is>
      </c>
      <c r="E12" s="2" t="inlineStr">
        <is>
          <t>2016-10-30</t>
        </is>
      </c>
      <c r="F12" s="3" t="n">
        <v>723000000</v>
      </c>
      <c r="G12" s="8" t="b">
        <v>0</v>
      </c>
      <c r="H12" s="2" t="inlineStr"/>
      <c r="I12" s="8" t="b">
        <v>0</v>
      </c>
      <c r="J12" s="2" t="inlineStr">
        <is>
          <t>https://www.sec.gov/Archives/edgar/data/1730168/000173016818000084/0001730168-18-000084-index.html</t>
        </is>
      </c>
      <c r="K12" s="2" t="inlineStr">
        <is>
          <t>USD</t>
        </is>
      </c>
    </row>
    <row r="13" ht="42" customHeight="1">
      <c r="A13" s="2" t="inlineStr">
        <is>
          <t>fcf-margin</t>
        </is>
      </c>
      <c r="B13" s="2" t="inlineStr">
        <is>
          <t>2016-10-30</t>
        </is>
      </c>
      <c r="C13" s="2" t="inlineStr">
        <is>
          <t>revenue</t>
        </is>
      </c>
      <c r="D13" s="2" t="inlineStr">
        <is>
          <t>revenue</t>
        </is>
      </c>
      <c r="E13" s="2" t="inlineStr">
        <is>
          <t>2016-10-30</t>
        </is>
      </c>
      <c r="F13" s="3" t="n">
        <v>13240000000</v>
      </c>
      <c r="G13" s="8" t="b">
        <v>0</v>
      </c>
      <c r="H13" s="2" t="inlineStr"/>
      <c r="I13" s="8" t="b">
        <v>0</v>
      </c>
      <c r="J13" s="2" t="inlineStr">
        <is>
          <t>https://www.sec.gov/Archives/edgar/data/1730168/000173016818000084/0001730168-18-000084-index.html</t>
        </is>
      </c>
      <c r="K13" s="2" t="inlineStr">
        <is>
          <t>USD</t>
        </is>
      </c>
    </row>
    <row r="14" ht="42" customHeight="1">
      <c r="A14" s="2" t="inlineStr">
        <is>
          <t>fcff</t>
        </is>
      </c>
      <c r="B14" s="2" t="inlineStr">
        <is>
          <t>2016-10-30</t>
        </is>
      </c>
      <c r="C14" s="2" t="inlineStr">
        <is>
          <t>ocf</t>
        </is>
      </c>
      <c r="D14" s="2" t="inlineStr">
        <is>
          <t>ocf</t>
        </is>
      </c>
      <c r="E14" s="2" t="inlineStr">
        <is>
          <t>2016-10-30</t>
        </is>
      </c>
      <c r="F14" s="3" t="n">
        <v>3411000000</v>
      </c>
      <c r="G14" s="8" t="b">
        <v>0</v>
      </c>
      <c r="H14" s="2" t="inlineStr"/>
      <c r="I14" s="8" t="b">
        <v>0</v>
      </c>
      <c r="J14" s="2" t="inlineStr">
        <is>
          <t>https://www.sec.gov/Archives/edgar/data/1730168/000173016818000084/0001730168-18-000084-index.html</t>
        </is>
      </c>
      <c r="K14" s="2" t="inlineStr">
        <is>
          <t>USD</t>
        </is>
      </c>
    </row>
    <row r="15" ht="42" customHeight="1">
      <c r="A15" s="2" t="inlineStr">
        <is>
          <t>fcff</t>
        </is>
      </c>
      <c r="B15" s="2" t="inlineStr">
        <is>
          <t>2016-10-30</t>
        </is>
      </c>
      <c r="C15" s="2" t="inlineStr">
        <is>
          <t>capex</t>
        </is>
      </c>
      <c r="D15" s="2" t="inlineStr">
        <is>
          <t>capex</t>
        </is>
      </c>
      <c r="E15" s="2" t="inlineStr">
        <is>
          <t>2016-10-30</t>
        </is>
      </c>
      <c r="F15" s="3" t="n">
        <v>723000000</v>
      </c>
      <c r="G15" s="8" t="b">
        <v>0</v>
      </c>
      <c r="H15" s="2" t="inlineStr"/>
      <c r="I15" s="8" t="b">
        <v>0</v>
      </c>
      <c r="J15" s="2" t="inlineStr">
        <is>
          <t>https://www.sec.gov/Archives/edgar/data/1730168/000173016818000084/0001730168-18-000084-index.html</t>
        </is>
      </c>
      <c r="K15" s="2" t="inlineStr">
        <is>
          <t>USD</t>
        </is>
      </c>
    </row>
    <row r="16" ht="42" customHeight="1">
      <c r="A16" s="2" t="inlineStr">
        <is>
          <t>fcff</t>
        </is>
      </c>
      <c r="B16" s="2" t="inlineStr">
        <is>
          <t>2016-10-30</t>
        </is>
      </c>
      <c r="C16" s="2" t="inlineStr">
        <is>
          <t>interest_expense</t>
        </is>
      </c>
      <c r="D16" s="2" t="inlineStr">
        <is>
          <t>interest_expense</t>
        </is>
      </c>
      <c r="E16" s="2" t="inlineStr">
        <is>
          <t>2016-10-30</t>
        </is>
      </c>
      <c r="F16" s="3" t="n">
        <v>585000000</v>
      </c>
      <c r="G16" s="8" t="b">
        <v>0</v>
      </c>
      <c r="H16" s="2" t="inlineStr"/>
      <c r="I16" s="8" t="b">
        <v>0</v>
      </c>
      <c r="J16" s="2" t="inlineStr">
        <is>
          <t>https://www.sec.gov/Archives/edgar/data/1730168/000173016818000084/0001730168-18-000084-index.html</t>
        </is>
      </c>
      <c r="K16" s="2" t="inlineStr">
        <is>
          <t>USD</t>
        </is>
      </c>
    </row>
    <row r="17" ht="42" customHeight="1">
      <c r="A17" s="2" t="inlineStr">
        <is>
          <t>fcff</t>
        </is>
      </c>
      <c r="B17" s="2" t="inlineStr">
        <is>
          <t>2016-10-30</t>
        </is>
      </c>
      <c r="C17" s="2" t="inlineStr">
        <is>
          <t>tax_rate</t>
        </is>
      </c>
      <c r="D17" s="2" t="inlineStr">
        <is>
          <t>tax_rate</t>
        </is>
      </c>
      <c r="E17" s="2" t="inlineStr">
        <is>
          <t>2016-10-30</t>
        </is>
      </c>
      <c r="F17" s="3" t="n">
        <v>0.21</v>
      </c>
      <c r="G17" s="8" t="b">
        <v>0</v>
      </c>
      <c r="H17" s="2" t="inlineStr">
        <is>
          <t>US federal rate; no usable effective rate</t>
        </is>
      </c>
      <c r="I17" s="8" t="b">
        <v>0</v>
      </c>
      <c r="J17" s="2" t="inlineStr">
        <is>
          <t>Derived or model input; see parent calculation formula and model assumptions.</t>
        </is>
      </c>
      <c r="K17" s="2" t="inlineStr">
        <is>
          <t>ratio (decimal)</t>
        </is>
      </c>
    </row>
    <row r="18" ht="42" customHeight="1">
      <c r="A18" s="2" t="inlineStr">
        <is>
          <t>fcff</t>
        </is>
      </c>
      <c r="B18" s="2" t="inlineStr">
        <is>
          <t>2016-10-30</t>
        </is>
      </c>
      <c r="C18" s="2" t="inlineStr">
        <is>
          <t>sbc</t>
        </is>
      </c>
      <c r="D18" s="2" t="inlineStr">
        <is>
          <t>sbc</t>
        </is>
      </c>
      <c r="E18" s="2" t="inlineStr">
        <is>
          <t>2016-10-30</t>
        </is>
      </c>
      <c r="F18" s="3" t="n">
        <v>679000000</v>
      </c>
      <c r="G18" s="8" t="b">
        <v>0</v>
      </c>
      <c r="H18" s="2" t="inlineStr"/>
      <c r="I18" s="8" t="b">
        <v>0</v>
      </c>
      <c r="J18" s="2" t="inlineStr">
        <is>
          <t>https://www.sec.gov/Archives/edgar/data/1730168/000173016818000084/0001730168-18-000084-index.html</t>
        </is>
      </c>
      <c r="K18" s="2" t="inlineStr">
        <is>
          <t>USD</t>
        </is>
      </c>
    </row>
    <row r="19" ht="42" customHeight="1">
      <c r="A19" s="2" t="inlineStr">
        <is>
          <t>fcfe</t>
        </is>
      </c>
      <c r="B19" s="2" t="inlineStr">
        <is>
          <t>2016-10-30</t>
        </is>
      </c>
      <c r="C19" s="2" t="inlineStr">
        <is>
          <t>net_income</t>
        </is>
      </c>
      <c r="D19" s="2" t="inlineStr">
        <is>
          <t>net_income</t>
        </is>
      </c>
      <c r="E19" s="2" t="inlineStr">
        <is>
          <t>2016-10-30</t>
        </is>
      </c>
      <c r="F19" s="3" t="n">
        <v>-1739000000</v>
      </c>
      <c r="G19" s="8" t="b">
        <v>0</v>
      </c>
      <c r="H19" s="2" t="inlineStr"/>
      <c r="I19" s="8" t="b">
        <v>0</v>
      </c>
      <c r="J19" s="2" t="inlineStr">
        <is>
          <t>https://www.sec.gov/Archives/edgar/data/1730168/000173016818000084/0001730168-18-000084-index.html</t>
        </is>
      </c>
      <c r="K19" s="2" t="inlineStr">
        <is>
          <t>USD</t>
        </is>
      </c>
    </row>
    <row r="20" ht="42" customHeight="1">
      <c r="A20" s="2" t="inlineStr">
        <is>
          <t>fcfe</t>
        </is>
      </c>
      <c r="B20" s="2" t="inlineStr">
        <is>
          <t>2016-10-30</t>
        </is>
      </c>
      <c r="C20" s="2" t="inlineStr">
        <is>
          <t>d_and_a</t>
        </is>
      </c>
      <c r="D20" s="2" t="inlineStr">
        <is>
          <t>d_and_a</t>
        </is>
      </c>
      <c r="E20" s="2" t="inlineStr">
        <is>
          <t>2016-10-30</t>
        </is>
      </c>
      <c r="F20" s="3" t="n">
        <v>3042000000</v>
      </c>
      <c r="G20" s="8" t="b">
        <v>0</v>
      </c>
      <c r="H20" s="2" t="inlineStr"/>
      <c r="I20" s="8" t="b">
        <v>0</v>
      </c>
      <c r="J20" s="2" t="inlineStr">
        <is>
          <t>https://www.sec.gov/Archives/edgar/data/1730168/000173016818000084/0001730168-18-000084-index.html</t>
        </is>
      </c>
      <c r="K20" s="2" t="inlineStr">
        <is>
          <t>USD</t>
        </is>
      </c>
    </row>
    <row r="21" ht="42" customHeight="1">
      <c r="A21" s="2" t="inlineStr">
        <is>
          <t>fcfe</t>
        </is>
      </c>
      <c r="B21" s="2" t="inlineStr">
        <is>
          <t>2016-10-30</t>
        </is>
      </c>
      <c r="C21" s="2" t="inlineStr">
        <is>
          <t>capex</t>
        </is>
      </c>
      <c r="D21" s="2" t="inlineStr">
        <is>
          <t>capex</t>
        </is>
      </c>
      <c r="E21" s="2" t="inlineStr">
        <is>
          <t>2016-10-30</t>
        </is>
      </c>
      <c r="F21" s="3" t="n">
        <v>723000000</v>
      </c>
      <c r="G21" s="8" t="b">
        <v>0</v>
      </c>
      <c r="H21" s="2" t="inlineStr"/>
      <c r="I21" s="8" t="b">
        <v>0</v>
      </c>
      <c r="J21" s="2" t="inlineStr">
        <is>
          <t>https://www.sec.gov/Archives/edgar/data/1730168/000173016818000084/0001730168-18-000084-index.html</t>
        </is>
      </c>
      <c r="K21" s="2" t="inlineStr">
        <is>
          <t>USD</t>
        </is>
      </c>
    </row>
    <row r="22" ht="42" customHeight="1">
      <c r="A22" s="2" t="inlineStr">
        <is>
          <t>fcfe</t>
        </is>
      </c>
      <c r="B22" s="2" t="inlineStr">
        <is>
          <t>2016-10-30</t>
        </is>
      </c>
      <c r="C22" s="2" t="inlineStr">
        <is>
          <t>debt_issued</t>
        </is>
      </c>
      <c r="D22" s="2" t="inlineStr">
        <is>
          <t>debt_issued</t>
        </is>
      </c>
      <c r="E22" s="2" t="inlineStr">
        <is>
          <t>2016-10-30</t>
        </is>
      </c>
      <c r="F22" s="3" t="n">
        <v>19510000000</v>
      </c>
      <c r="G22" s="8" t="b">
        <v>0</v>
      </c>
      <c r="H22" s="2" t="inlineStr"/>
      <c r="I22" s="8" t="b">
        <v>0</v>
      </c>
      <c r="J22" s="2" t="inlineStr">
        <is>
          <t>https://www.sec.gov/Archives/edgar/data/1730168/000173016818000084/0001730168-18-000084-index.html</t>
        </is>
      </c>
      <c r="K22" s="2" t="inlineStr">
        <is>
          <t>USD</t>
        </is>
      </c>
    </row>
    <row r="23" ht="42" customHeight="1">
      <c r="A23" s="2" t="inlineStr">
        <is>
          <t>fcfe</t>
        </is>
      </c>
      <c r="B23" s="2" t="inlineStr">
        <is>
          <t>2016-10-30</t>
        </is>
      </c>
      <c r="C23" s="2" t="inlineStr">
        <is>
          <t>debt_repaid</t>
        </is>
      </c>
      <c r="D23" s="2" t="inlineStr">
        <is>
          <t>debt_repaid</t>
        </is>
      </c>
      <c r="E23" s="2" t="inlineStr">
        <is>
          <t>2016-10-30</t>
        </is>
      </c>
      <c r="F23" s="3" t="n">
        <v>11317000000</v>
      </c>
      <c r="G23" s="8" t="b">
        <v>0</v>
      </c>
      <c r="H23" s="2" t="inlineStr"/>
      <c r="I23" s="8" t="b">
        <v>0</v>
      </c>
      <c r="J23" s="2" t="inlineStr">
        <is>
          <t>https://www.sec.gov/Archives/edgar/data/1730168/000173016818000084/0001730168-18-000084-index.html</t>
        </is>
      </c>
      <c r="K23" s="2" t="inlineStr">
        <is>
          <t>USD</t>
        </is>
      </c>
    </row>
    <row r="24" ht="42" customHeight="1">
      <c r="A24" s="2" t="inlineStr">
        <is>
          <t>owner-earnings</t>
        </is>
      </c>
      <c r="B24" s="2" t="inlineStr">
        <is>
          <t>2016-10-30</t>
        </is>
      </c>
      <c r="C24" s="2" t="inlineStr">
        <is>
          <t>net_income</t>
        </is>
      </c>
      <c r="D24" s="2" t="inlineStr">
        <is>
          <t>net_income</t>
        </is>
      </c>
      <c r="E24" s="2" t="inlineStr">
        <is>
          <t>2016-10-30</t>
        </is>
      </c>
      <c r="F24" s="3" t="n">
        <v>-1739000000</v>
      </c>
      <c r="G24" s="8" t="b">
        <v>0</v>
      </c>
      <c r="H24" s="2" t="inlineStr"/>
      <c r="I24" s="8" t="b">
        <v>0</v>
      </c>
      <c r="J24" s="2" t="inlineStr">
        <is>
          <t>https://www.sec.gov/Archives/edgar/data/1730168/000173016818000084/0001730168-18-000084-index.html</t>
        </is>
      </c>
      <c r="K24" s="2" t="inlineStr">
        <is>
          <t>USD</t>
        </is>
      </c>
    </row>
    <row r="25" ht="42" customHeight="1">
      <c r="A25" s="2" t="inlineStr">
        <is>
          <t>owner-earnings</t>
        </is>
      </c>
      <c r="B25" s="2" t="inlineStr">
        <is>
          <t>2016-10-30</t>
        </is>
      </c>
      <c r="C25" s="2" t="inlineStr">
        <is>
          <t>d_and_a</t>
        </is>
      </c>
      <c r="D25" s="2" t="inlineStr">
        <is>
          <t>d_and_a</t>
        </is>
      </c>
      <c r="E25" s="2" t="inlineStr">
        <is>
          <t>2016-10-30</t>
        </is>
      </c>
      <c r="F25" s="3" t="n">
        <v>3042000000</v>
      </c>
      <c r="G25" s="8" t="b">
        <v>0</v>
      </c>
      <c r="H25" s="2" t="inlineStr"/>
      <c r="I25" s="8" t="b">
        <v>0</v>
      </c>
      <c r="J25" s="2" t="inlineStr">
        <is>
          <t>https://www.sec.gov/Archives/edgar/data/1730168/000173016818000084/0001730168-18-000084-index.html</t>
        </is>
      </c>
      <c r="K25" s="2" t="inlineStr">
        <is>
          <t>USD</t>
        </is>
      </c>
    </row>
    <row r="26" ht="42" customHeight="1">
      <c r="A26" s="2" t="inlineStr">
        <is>
          <t>earnings-quality</t>
        </is>
      </c>
      <c r="B26" s="2" t="inlineStr">
        <is>
          <t>2016-10-30</t>
        </is>
      </c>
      <c r="C26" s="2" t="inlineStr">
        <is>
          <t>ocf</t>
        </is>
      </c>
      <c r="D26" s="2" t="inlineStr">
        <is>
          <t>ocf</t>
        </is>
      </c>
      <c r="E26" s="2" t="inlineStr">
        <is>
          <t>2016-10-30</t>
        </is>
      </c>
      <c r="F26" s="3" t="n">
        <v>3411000000</v>
      </c>
      <c r="G26" s="8" t="b">
        <v>0</v>
      </c>
      <c r="H26" s="2" t="inlineStr"/>
      <c r="I26" s="8" t="b">
        <v>0</v>
      </c>
      <c r="J26" s="2" t="inlineStr">
        <is>
          <t>https://www.sec.gov/Archives/edgar/data/1730168/000173016818000084/0001730168-18-000084-index.html</t>
        </is>
      </c>
      <c r="K26" s="2" t="inlineStr">
        <is>
          <t>USD</t>
        </is>
      </c>
    </row>
    <row r="27" ht="42" customHeight="1">
      <c r="A27" s="2" t="inlineStr">
        <is>
          <t>earnings-quality</t>
        </is>
      </c>
      <c r="B27" s="2" t="inlineStr">
        <is>
          <t>2016-10-30</t>
        </is>
      </c>
      <c r="C27" s="2" t="inlineStr">
        <is>
          <t>net_income</t>
        </is>
      </c>
      <c r="D27" s="2" t="inlineStr">
        <is>
          <t>net_income</t>
        </is>
      </c>
      <c r="E27" s="2" t="inlineStr">
        <is>
          <t>2016-10-30</t>
        </is>
      </c>
      <c r="F27" s="3" t="n">
        <v>-1739000000</v>
      </c>
      <c r="G27" s="8" t="b">
        <v>0</v>
      </c>
      <c r="H27" s="2" t="inlineStr"/>
      <c r="I27" s="8" t="b">
        <v>0</v>
      </c>
      <c r="J27" s="2" t="inlineStr">
        <is>
          <t>https://www.sec.gov/Archives/edgar/data/1730168/000173016818000084/0001730168-18-000084-index.html</t>
        </is>
      </c>
      <c r="K27" s="2" t="inlineStr">
        <is>
          <t>USD</t>
        </is>
      </c>
    </row>
    <row r="28" ht="42" customHeight="1">
      <c r="A28" s="2" t="inlineStr">
        <is>
          <t>ebitda</t>
        </is>
      </c>
      <c r="B28" s="2" t="inlineStr">
        <is>
          <t>2016-10-30</t>
        </is>
      </c>
      <c r="C28" s="2" t="inlineStr">
        <is>
          <t>operating_income</t>
        </is>
      </c>
      <c r="D28" s="2" t="inlineStr">
        <is>
          <t>operating_income</t>
        </is>
      </c>
      <c r="E28" s="2" t="inlineStr">
        <is>
          <t>2016-10-30</t>
        </is>
      </c>
      <c r="F28" s="3" t="n">
        <v>-409000000</v>
      </c>
      <c r="G28" s="8" t="b">
        <v>0</v>
      </c>
      <c r="H28" s="2" t="inlineStr"/>
      <c r="I28" s="8" t="b">
        <v>0</v>
      </c>
      <c r="J28" s="2" t="inlineStr">
        <is>
          <t>https://www.sec.gov/Archives/edgar/data/1730168/000173016818000084/0001730168-18-000084-index.html</t>
        </is>
      </c>
      <c r="K28" s="2" t="inlineStr">
        <is>
          <t>USD</t>
        </is>
      </c>
    </row>
    <row r="29" ht="42" customHeight="1">
      <c r="A29" s="2" t="inlineStr">
        <is>
          <t>ebitda</t>
        </is>
      </c>
      <c r="B29" s="2" t="inlineStr">
        <is>
          <t>2016-10-30</t>
        </is>
      </c>
      <c r="C29" s="2" t="inlineStr">
        <is>
          <t>d_and_a</t>
        </is>
      </c>
      <c r="D29" s="2" t="inlineStr">
        <is>
          <t>d_and_a</t>
        </is>
      </c>
      <c r="E29" s="2" t="inlineStr">
        <is>
          <t>2016-10-30</t>
        </is>
      </c>
      <c r="F29" s="3" t="n">
        <v>3042000000</v>
      </c>
      <c r="G29" s="8" t="b">
        <v>0</v>
      </c>
      <c r="H29" s="2" t="inlineStr"/>
      <c r="I29" s="8" t="b">
        <v>0</v>
      </c>
      <c r="J29" s="2" t="inlineStr">
        <is>
          <t>https://www.sec.gov/Archives/edgar/data/1730168/000173016818000084/0001730168-18-000084-index.html</t>
        </is>
      </c>
      <c r="K29" s="2" t="inlineStr">
        <is>
          <t>USD</t>
        </is>
      </c>
    </row>
    <row r="30" ht="42" customHeight="1">
      <c r="A30" s="2" t="inlineStr">
        <is>
          <t>nopat</t>
        </is>
      </c>
      <c r="B30" s="2" t="inlineStr">
        <is>
          <t>2016-10-30</t>
        </is>
      </c>
      <c r="C30" s="2" t="inlineStr">
        <is>
          <t>operating_income</t>
        </is>
      </c>
      <c r="D30" s="2" t="inlineStr">
        <is>
          <t>operating_income</t>
        </is>
      </c>
      <c r="E30" s="2" t="inlineStr">
        <is>
          <t>2016-10-30</t>
        </is>
      </c>
      <c r="F30" s="3" t="n">
        <v>-409000000</v>
      </c>
      <c r="G30" s="8" t="b">
        <v>0</v>
      </c>
      <c r="H30" s="2" t="inlineStr"/>
      <c r="I30" s="8" t="b">
        <v>0</v>
      </c>
      <c r="J30" s="2" t="inlineStr">
        <is>
          <t>https://www.sec.gov/Archives/edgar/data/1730168/000173016818000084/0001730168-18-000084-index.html</t>
        </is>
      </c>
      <c r="K30" s="2" t="inlineStr">
        <is>
          <t>USD</t>
        </is>
      </c>
    </row>
    <row r="31" ht="42" customHeight="1">
      <c r="A31" s="2" t="inlineStr">
        <is>
          <t>nopat</t>
        </is>
      </c>
      <c r="B31" s="2" t="inlineStr">
        <is>
          <t>2016-10-30</t>
        </is>
      </c>
      <c r="C31" s="2" t="inlineStr">
        <is>
          <t>tax_rate</t>
        </is>
      </c>
      <c r="D31" s="2" t="inlineStr">
        <is>
          <t>tax_rate</t>
        </is>
      </c>
      <c r="E31" s="2" t="inlineStr">
        <is>
          <t>2016-10-30</t>
        </is>
      </c>
      <c r="F31" s="3" t="n">
        <v>0.21</v>
      </c>
      <c r="G31" s="8" t="b">
        <v>0</v>
      </c>
      <c r="H31" s="2" t="inlineStr">
        <is>
          <t>US federal rate; no usable effective rate</t>
        </is>
      </c>
      <c r="I31" s="8" t="b">
        <v>0</v>
      </c>
      <c r="J31" s="2" t="inlineStr">
        <is>
          <t>Derived or model input; see parent calculation formula and model assumptions.</t>
        </is>
      </c>
      <c r="K31" s="2" t="inlineStr">
        <is>
          <t>ratio (decimal)</t>
        </is>
      </c>
    </row>
    <row r="32" ht="42" customHeight="1">
      <c r="A32" s="2" t="inlineStr">
        <is>
          <t>invested-capital</t>
        </is>
      </c>
      <c r="B32" s="2" t="inlineStr">
        <is>
          <t>2016-10-30</t>
        </is>
      </c>
      <c r="C32" s="2" t="inlineStr">
        <is>
          <t>equity</t>
        </is>
      </c>
      <c r="D32" s="2" t="inlineStr">
        <is>
          <t>equity</t>
        </is>
      </c>
      <c r="E32" s="2" t="inlineStr">
        <is>
          <t>2016-10-30</t>
        </is>
      </c>
      <c r="F32" s="3" t="n">
        <v>21876000000</v>
      </c>
      <c r="G32" s="8" t="b">
        <v>0</v>
      </c>
      <c r="H32" s="2" t="inlineStr"/>
      <c r="I32" s="8" t="b">
        <v>0</v>
      </c>
      <c r="J32" s="2" t="inlineStr">
        <is>
          <t>https://www.sec.gov/Archives/edgar/data/1730168/000173016819000144/0001730168-19-000144-index.html</t>
        </is>
      </c>
      <c r="K32" s="2" t="inlineStr">
        <is>
          <t>USD</t>
        </is>
      </c>
    </row>
    <row r="33" ht="42" customHeight="1">
      <c r="A33" s="2" t="inlineStr">
        <is>
          <t>invested-capital</t>
        </is>
      </c>
      <c r="B33" s="2" t="inlineStr">
        <is>
          <t>2016-10-30</t>
        </is>
      </c>
      <c r="C33" s="2" t="inlineStr">
        <is>
          <t>cash_sti</t>
        </is>
      </c>
      <c r="D33" s="2" t="inlineStr">
        <is>
          <t>cash_sti</t>
        </is>
      </c>
      <c r="E33" s="2" t="inlineStr">
        <is>
          <t>2016-10-30</t>
        </is>
      </c>
      <c r="F33" s="3" t="n">
        <v>3097000000</v>
      </c>
      <c r="G33" s="8" t="b">
        <v>0</v>
      </c>
      <c r="H33" s="2" t="inlineStr"/>
      <c r="I33" s="8" t="b">
        <v>0</v>
      </c>
      <c r="J33" s="2" t="inlineStr">
        <is>
          <t>https://www.sec.gov/Archives/edgar/data/1730168/000173016819000144/0001730168-19-000144-index.html</t>
        </is>
      </c>
      <c r="K33" s="2" t="inlineStr">
        <is>
          <t>USD</t>
        </is>
      </c>
    </row>
    <row r="34" ht="42" customHeight="1">
      <c r="A34" s="2" t="inlineStr">
        <is>
          <t>roic</t>
        </is>
      </c>
      <c r="B34" s="2" t="inlineStr">
        <is>
          <t>2016-10-30</t>
        </is>
      </c>
      <c r="C34" s="2" t="inlineStr">
        <is>
          <t>operating_income</t>
        </is>
      </c>
      <c r="D34" s="2" t="inlineStr">
        <is>
          <t>operating_income</t>
        </is>
      </c>
      <c r="E34" s="2" t="inlineStr">
        <is>
          <t>2016-10-30</t>
        </is>
      </c>
      <c r="F34" s="3" t="n">
        <v>-409000000</v>
      </c>
      <c r="G34" s="8" t="b">
        <v>0</v>
      </c>
      <c r="H34" s="2" t="inlineStr"/>
      <c r="I34" s="8" t="b">
        <v>0</v>
      </c>
      <c r="J34" s="2" t="inlineStr">
        <is>
          <t>https://www.sec.gov/Archives/edgar/data/1730168/000173016818000084/0001730168-18-000084-index.html</t>
        </is>
      </c>
      <c r="K34" s="2" t="inlineStr">
        <is>
          <t>USD</t>
        </is>
      </c>
    </row>
    <row r="35" ht="42" customHeight="1">
      <c r="A35" s="2" t="inlineStr">
        <is>
          <t>roic</t>
        </is>
      </c>
      <c r="B35" s="2" t="inlineStr">
        <is>
          <t>2016-10-30</t>
        </is>
      </c>
      <c r="C35" s="2" t="inlineStr">
        <is>
          <t>tax_rate</t>
        </is>
      </c>
      <c r="D35" s="2" t="inlineStr">
        <is>
          <t>tax_rate</t>
        </is>
      </c>
      <c r="E35" s="2" t="inlineStr">
        <is>
          <t>2016-10-30</t>
        </is>
      </c>
      <c r="F35" s="3" t="n">
        <v>0.21</v>
      </c>
      <c r="G35" s="8" t="b">
        <v>0</v>
      </c>
      <c r="H35" s="2" t="inlineStr">
        <is>
          <t>US federal rate; no usable effective rate</t>
        </is>
      </c>
      <c r="I35" s="8" t="b">
        <v>0</v>
      </c>
      <c r="J35" s="2" t="inlineStr">
        <is>
          <t>Derived or model input; see parent calculation formula and model assumptions.</t>
        </is>
      </c>
      <c r="K35" s="2" t="inlineStr">
        <is>
          <t>ratio (decimal)</t>
        </is>
      </c>
    </row>
    <row r="36" ht="42" customHeight="1">
      <c r="A36" s="2" t="inlineStr">
        <is>
          <t>net-debt</t>
        </is>
      </c>
      <c r="B36" s="2" t="inlineStr">
        <is>
          <t>2016-10-30</t>
        </is>
      </c>
      <c r="C36" s="2" t="inlineStr">
        <is>
          <t>cash_sti</t>
        </is>
      </c>
      <c r="D36" s="2" t="inlineStr">
        <is>
          <t>cash_sti</t>
        </is>
      </c>
      <c r="E36" s="2" t="inlineStr">
        <is>
          <t>2016-10-30</t>
        </is>
      </c>
      <c r="F36" s="3" t="n">
        <v>3097000000</v>
      </c>
      <c r="G36" s="8" t="b">
        <v>0</v>
      </c>
      <c r="H36" s="2" t="inlineStr"/>
      <c r="I36" s="8" t="b">
        <v>0</v>
      </c>
      <c r="J36" s="2" t="inlineStr">
        <is>
          <t>https://www.sec.gov/Archives/edgar/data/1730168/000173016819000144/0001730168-19-000144-index.html</t>
        </is>
      </c>
      <c r="K36" s="2" t="inlineStr">
        <is>
          <t>USD</t>
        </is>
      </c>
    </row>
    <row r="37" ht="42" customHeight="1">
      <c r="A37" s="2" t="inlineStr">
        <is>
          <t>debt-ebitda</t>
        </is>
      </c>
      <c r="B37" s="2" t="inlineStr">
        <is>
          <t>2016-10-30</t>
        </is>
      </c>
      <c r="C37" s="2" t="inlineStr">
        <is>
          <t>ebitda</t>
        </is>
      </c>
      <c r="D37" s="2" t="inlineStr">
        <is>
          <t>ebitda</t>
        </is>
      </c>
      <c r="E37" s="2" t="inlineStr">
        <is>
          <t>2016-10-30</t>
        </is>
      </c>
      <c r="F37" s="3" t="n">
        <v>2633000000</v>
      </c>
      <c r="G37" s="8" t="b">
        <v>0</v>
      </c>
      <c r="H37" s="2" t="inlineStr"/>
      <c r="I37" s="8" t="b">
        <v>0</v>
      </c>
      <c r="J37" s="2" t="inlineStr">
        <is>
          <t>Derived: ebitda @ 2016-10-30; see Calculations and Calc inputs.</t>
        </is>
      </c>
      <c r="K37" s="2" t="inlineStr">
        <is>
          <t>USD</t>
        </is>
      </c>
    </row>
    <row r="38" ht="42" customHeight="1">
      <c r="A38" s="2" t="inlineStr">
        <is>
          <t>interest-coverage</t>
        </is>
      </c>
      <c r="B38" s="2" t="inlineStr">
        <is>
          <t>2016-10-30</t>
        </is>
      </c>
      <c r="C38" s="2" t="inlineStr">
        <is>
          <t>operating_income</t>
        </is>
      </c>
      <c r="D38" s="2" t="inlineStr">
        <is>
          <t>operating_income</t>
        </is>
      </c>
      <c r="E38" s="2" t="inlineStr">
        <is>
          <t>2016-10-30</t>
        </is>
      </c>
      <c r="F38" s="3" t="n">
        <v>-409000000</v>
      </c>
      <c r="G38" s="8" t="b">
        <v>0</v>
      </c>
      <c r="H38" s="2" t="inlineStr"/>
      <c r="I38" s="8" t="b">
        <v>0</v>
      </c>
      <c r="J38" s="2" t="inlineStr">
        <is>
          <t>https://www.sec.gov/Archives/edgar/data/1730168/000173016818000084/0001730168-18-000084-index.html</t>
        </is>
      </c>
      <c r="K38" s="2" t="inlineStr">
        <is>
          <t>USD</t>
        </is>
      </c>
    </row>
    <row r="39" ht="42" customHeight="1">
      <c r="A39" s="2" t="inlineStr">
        <is>
          <t>interest-coverage</t>
        </is>
      </c>
      <c r="B39" s="2" t="inlineStr">
        <is>
          <t>2016-10-30</t>
        </is>
      </c>
      <c r="C39" s="2" t="inlineStr">
        <is>
          <t>interest_expense</t>
        </is>
      </c>
      <c r="D39" s="2" t="inlineStr">
        <is>
          <t>interest_expense</t>
        </is>
      </c>
      <c r="E39" s="2" t="inlineStr">
        <is>
          <t>2016-10-30</t>
        </is>
      </c>
      <c r="F39" s="3" t="n">
        <v>585000000</v>
      </c>
      <c r="G39" s="8" t="b">
        <v>0</v>
      </c>
      <c r="H39" s="2" t="inlineStr"/>
      <c r="I39" s="8" t="b">
        <v>0</v>
      </c>
      <c r="J39" s="2" t="inlineStr">
        <is>
          <t>https://www.sec.gov/Archives/edgar/data/1730168/000173016818000084/0001730168-18-000084-index.html</t>
        </is>
      </c>
      <c r="K39" s="2" t="inlineStr">
        <is>
          <t>USD</t>
        </is>
      </c>
    </row>
    <row r="40" ht="42" customHeight="1">
      <c r="A40" s="2" t="inlineStr">
        <is>
          <t>tangible-book-value</t>
        </is>
      </c>
      <c r="B40" s="2" t="inlineStr">
        <is>
          <t>2016-10-30</t>
        </is>
      </c>
      <c r="C40" s="2" t="inlineStr">
        <is>
          <t>equity</t>
        </is>
      </c>
      <c r="D40" s="2" t="inlineStr">
        <is>
          <t>equity</t>
        </is>
      </c>
      <c r="E40" s="2" t="inlineStr">
        <is>
          <t>2016-10-30</t>
        </is>
      </c>
      <c r="F40" s="3" t="n">
        <v>21876000000</v>
      </c>
      <c r="G40" s="8" t="b">
        <v>0</v>
      </c>
      <c r="H40" s="2" t="inlineStr"/>
      <c r="I40" s="8" t="b">
        <v>0</v>
      </c>
      <c r="J40" s="2" t="inlineStr">
        <is>
          <t>https://www.sec.gov/Archives/edgar/data/1730168/000173016819000144/0001730168-19-000144-index.html</t>
        </is>
      </c>
      <c r="K40" s="2" t="inlineStr">
        <is>
          <t>USD</t>
        </is>
      </c>
    </row>
    <row r="41" ht="42" customHeight="1">
      <c r="A41" s="2" t="inlineStr">
        <is>
          <t>tangible-book-value</t>
        </is>
      </c>
      <c r="B41" s="2" t="inlineStr">
        <is>
          <t>2016-10-30</t>
        </is>
      </c>
      <c r="C41" s="2" t="inlineStr">
        <is>
          <t>preferred</t>
        </is>
      </c>
      <c r="D41" s="2" t="inlineStr">
        <is>
          <t>preferred</t>
        </is>
      </c>
      <c r="E41" s="2" t="inlineStr">
        <is>
          <t>2016-10-30</t>
        </is>
      </c>
      <c r="F41" s="3" t="n">
        <v>0</v>
      </c>
      <c r="G41" s="8" t="b">
        <v>1</v>
      </c>
      <c r="H41" s="2" t="inlineStr"/>
      <c r="I41" s="8" t="b">
        <v>0</v>
      </c>
      <c r="J41" s="2" t="inlineStr">
        <is>
          <t xml:space="preserve">
Transformed calculation input: differs from the raw filing value; see formula and flags.</t>
        </is>
      </c>
      <c r="K41" s="2" t="inlineStr">
        <is>
          <t>USD</t>
        </is>
      </c>
    </row>
    <row r="42" ht="42" customHeight="1">
      <c r="A42" s="2" t="inlineStr">
        <is>
          <t>tangible-book-value</t>
        </is>
      </c>
      <c r="B42" s="2" t="inlineStr">
        <is>
          <t>2016-10-30</t>
        </is>
      </c>
      <c r="C42" s="2" t="inlineStr">
        <is>
          <t>goodwill</t>
        </is>
      </c>
      <c r="D42" s="2" t="inlineStr">
        <is>
          <t>goodwill</t>
        </is>
      </c>
      <c r="E42" s="2" t="inlineStr">
        <is>
          <t>2016-10-30</t>
        </is>
      </c>
      <c r="F42" s="3" t="n">
        <v>24732000000</v>
      </c>
      <c r="G42" s="8" t="b">
        <v>0</v>
      </c>
      <c r="H42" s="2" t="inlineStr"/>
      <c r="I42" s="8" t="b">
        <v>0</v>
      </c>
      <c r="J42" s="2" t="inlineStr">
        <is>
          <t>https://www.sec.gov/Archives/edgar/data/1730168/000173016818000084/0001730168-18-000084-index.html</t>
        </is>
      </c>
      <c r="K42" s="2" t="inlineStr">
        <is>
          <t>USD</t>
        </is>
      </c>
    </row>
    <row r="43" ht="42" customHeight="1">
      <c r="A43" s="2" t="inlineStr">
        <is>
          <t>tangible-book-value</t>
        </is>
      </c>
      <c r="B43" s="2" t="inlineStr">
        <is>
          <t>2016-10-30</t>
        </is>
      </c>
      <c r="C43" s="2" t="inlineStr">
        <is>
          <t>intangibles</t>
        </is>
      </c>
      <c r="D43" s="2" t="inlineStr">
        <is>
          <t>intangibles</t>
        </is>
      </c>
      <c r="E43" s="2" t="inlineStr">
        <is>
          <t>2016-10-30</t>
        </is>
      </c>
      <c r="F43" s="3" t="n">
        <v>0</v>
      </c>
      <c r="G43" s="8" t="b">
        <v>1</v>
      </c>
      <c r="H43" s="2" t="inlineStr"/>
      <c r="I43" s="8" t="b">
        <v>0</v>
      </c>
      <c r="J43" s="2" t="inlineStr">
        <is>
          <t xml:space="preserve">
Transformed calculation input: differs from the raw filing value; see formula and flags.</t>
        </is>
      </c>
      <c r="K43" s="2" t="inlineStr">
        <is>
          <t>USD</t>
        </is>
      </c>
    </row>
    <row r="44" ht="42" customHeight="1">
      <c r="A44" s="2" t="inlineStr">
        <is>
          <t>ncav</t>
        </is>
      </c>
      <c r="B44" s="2" t="inlineStr">
        <is>
          <t>2016-10-30</t>
        </is>
      </c>
      <c r="C44" s="2" t="inlineStr">
        <is>
          <t>preferred</t>
        </is>
      </c>
      <c r="D44" s="2" t="inlineStr">
        <is>
          <t>preferred</t>
        </is>
      </c>
      <c r="E44" s="2" t="inlineStr">
        <is>
          <t>2016-10-30</t>
        </is>
      </c>
      <c r="F44" s="3" t="n">
        <v>0</v>
      </c>
      <c r="G44" s="8" t="b">
        <v>1</v>
      </c>
      <c r="H44" s="2" t="inlineStr"/>
      <c r="I44" s="8" t="b">
        <v>0</v>
      </c>
      <c r="J44" s="2" t="inlineStr">
        <is>
          <t xml:space="preserve">
Transformed calculation input: differs from the raw filing value; see formula and flags.</t>
        </is>
      </c>
      <c r="K44" s="2" t="inlineStr">
        <is>
          <t>USD</t>
        </is>
      </c>
    </row>
    <row r="45" ht="42" customHeight="1">
      <c r="A45" s="2" t="inlineStr">
        <is>
          <t>dilution</t>
        </is>
      </c>
      <c r="B45" s="2" t="inlineStr">
        <is>
          <t>2016-10-30</t>
        </is>
      </c>
      <c r="C45" s="2" t="inlineStr">
        <is>
          <t>diluted_avg_shares</t>
        </is>
      </c>
      <c r="D45" s="2" t="inlineStr">
        <is>
          <t>diluted_avg_shares</t>
        </is>
      </c>
      <c r="E45" s="2" t="inlineStr">
        <is>
          <t>2016-10-30</t>
        </is>
      </c>
      <c r="F45" s="3" t="n">
        <v>3830000000</v>
      </c>
      <c r="G45" s="8" t="b">
        <v>0</v>
      </c>
      <c r="H45" s="2" t="inlineStr"/>
      <c r="I45" s="8" t="b">
        <v>0</v>
      </c>
      <c r="J45" s="2" t="inlineStr">
        <is>
          <t>https://www.sec.gov/Archives/edgar/data/1730168/000173016818000084/0001730168-18-000084-index.html</t>
        </is>
      </c>
      <c r="K45" s="2" t="inlineStr">
        <is>
          <t>shares</t>
        </is>
      </c>
    </row>
    <row r="46" ht="42" customHeight="1">
      <c r="A46" s="2" t="inlineStr">
        <is>
          <t>sbc-to-revenue</t>
        </is>
      </c>
      <c r="B46" s="2" t="inlineStr">
        <is>
          <t>2016-10-30</t>
        </is>
      </c>
      <c r="C46" s="2" t="inlineStr">
        <is>
          <t>sbc</t>
        </is>
      </c>
      <c r="D46" s="2" t="inlineStr">
        <is>
          <t>sbc</t>
        </is>
      </c>
      <c r="E46" s="2" t="inlineStr">
        <is>
          <t>2016-10-30</t>
        </is>
      </c>
      <c r="F46" s="3" t="n">
        <v>679000000</v>
      </c>
      <c r="G46" s="8" t="b">
        <v>0</v>
      </c>
      <c r="H46" s="2" t="inlineStr"/>
      <c r="I46" s="8" t="b">
        <v>0</v>
      </c>
      <c r="J46" s="2" t="inlineStr">
        <is>
          <t>https://www.sec.gov/Archives/edgar/data/1730168/000173016818000084/0001730168-18-000084-index.html</t>
        </is>
      </c>
      <c r="K46" s="2" t="inlineStr">
        <is>
          <t>USD</t>
        </is>
      </c>
    </row>
    <row r="47" ht="42" customHeight="1">
      <c r="A47" s="2" t="inlineStr">
        <is>
          <t>sbc-to-revenue</t>
        </is>
      </c>
      <c r="B47" s="2" t="inlineStr">
        <is>
          <t>2016-10-30</t>
        </is>
      </c>
      <c r="C47" s="2" t="inlineStr">
        <is>
          <t>revenue</t>
        </is>
      </c>
      <c r="D47" s="2" t="inlineStr">
        <is>
          <t>revenue</t>
        </is>
      </c>
      <c r="E47" s="2" t="inlineStr">
        <is>
          <t>2016-10-30</t>
        </is>
      </c>
      <c r="F47" s="3" t="n">
        <v>13240000000</v>
      </c>
      <c r="G47" s="8" t="b">
        <v>0</v>
      </c>
      <c r="H47" s="2" t="inlineStr"/>
      <c r="I47" s="8" t="b">
        <v>0</v>
      </c>
      <c r="J47" s="2" t="inlineStr">
        <is>
          <t>https://www.sec.gov/Archives/edgar/data/1730168/000173016818000084/0001730168-18-000084-index.html</t>
        </is>
      </c>
      <c r="K47" s="2" t="inlineStr">
        <is>
          <t>USD</t>
        </is>
      </c>
    </row>
    <row r="48" ht="42" customHeight="1">
      <c r="A48" s="2" t="inlineStr">
        <is>
          <t>eps</t>
        </is>
      </c>
      <c r="B48" s="2" t="inlineStr">
        <is>
          <t>2016-10-30</t>
        </is>
      </c>
      <c r="C48" s="2" t="inlineStr">
        <is>
          <t>eps_diluted</t>
        </is>
      </c>
      <c r="D48" s="2" t="inlineStr">
        <is>
          <t>eps_diluted</t>
        </is>
      </c>
      <c r="E48" s="2" t="inlineStr">
        <is>
          <t>2016-10-30</t>
        </is>
      </c>
      <c r="F48" s="3" t="n">
        <v>-0.486</v>
      </c>
      <c r="G48" s="8" t="b">
        <v>0</v>
      </c>
      <c r="H48" s="2" t="inlineStr"/>
      <c r="I48" s="8" t="b">
        <v>0</v>
      </c>
      <c r="J48" s="2" t="inlineStr">
        <is>
          <t>https://www.sec.gov/Archives/edgar/data/1730168/000173016818000084/0001730168-18-000084-index.html</t>
        </is>
      </c>
      <c r="K48" s="2" t="inlineStr">
        <is>
          <t>USD per share</t>
        </is>
      </c>
    </row>
    <row r="49" ht="42" customHeight="1">
      <c r="A49" s="2" t="inlineStr">
        <is>
          <t>revenue-growth</t>
        </is>
      </c>
      <c r="B49" s="2" t="inlineStr">
        <is>
          <t>2017-10-29</t>
        </is>
      </c>
      <c r="C49" s="2" t="inlineStr">
        <is>
          <t>revenue</t>
        </is>
      </c>
      <c r="D49" s="2" t="inlineStr">
        <is>
          <t>revenue</t>
        </is>
      </c>
      <c r="E49" s="2" t="inlineStr">
        <is>
          <t>2017-10-29</t>
        </is>
      </c>
      <c r="F49" s="3" t="n">
        <v>17636000000</v>
      </c>
      <c r="G49" s="8" t="b">
        <v>0</v>
      </c>
      <c r="H49" s="2" t="inlineStr"/>
      <c r="I49" s="8" t="b">
        <v>0</v>
      </c>
      <c r="J49" s="2" t="inlineStr">
        <is>
          <t>https://www.sec.gov/Archives/edgar/data/1730168/000173016818000084/0001730168-18-000084-index.html</t>
        </is>
      </c>
      <c r="K49" s="2" t="inlineStr">
        <is>
          <t>USD</t>
        </is>
      </c>
    </row>
    <row r="50" ht="42" customHeight="1">
      <c r="A50" s="2" t="inlineStr">
        <is>
          <t>revenue-growth</t>
        </is>
      </c>
      <c r="B50" s="2" t="inlineStr">
        <is>
          <t>2017-10-29</t>
        </is>
      </c>
      <c r="C50" s="2" t="inlineStr">
        <is>
          <t>previous_revenue</t>
        </is>
      </c>
      <c r="D50" s="2" t="inlineStr">
        <is>
          <t>revenue</t>
        </is>
      </c>
      <c r="E50" s="2" t="inlineStr">
        <is>
          <t>2016-10-30</t>
        </is>
      </c>
      <c r="F50" s="3" t="n">
        <v>13240000000</v>
      </c>
      <c r="G50" s="8" t="b">
        <v>0</v>
      </c>
      <c r="H50" s="2" t="inlineStr"/>
      <c r="I50" s="8" t="b">
        <v>0</v>
      </c>
      <c r="J50" s="2" t="inlineStr">
        <is>
          <t>https://www.sec.gov/Archives/edgar/data/1730168/000173016818000084/0001730168-18-000084-index.html</t>
        </is>
      </c>
      <c r="K50" s="2" t="inlineStr">
        <is>
          <t>USD</t>
        </is>
      </c>
    </row>
    <row r="51" ht="42" customHeight="1">
      <c r="A51" s="2" t="inlineStr">
        <is>
          <t>gross-margin</t>
        </is>
      </c>
      <c r="B51" s="2" t="inlineStr">
        <is>
          <t>2017-10-29</t>
        </is>
      </c>
      <c r="C51" s="2" t="inlineStr">
        <is>
          <t>gross_profit</t>
        </is>
      </c>
      <c r="D51" s="2" t="inlineStr">
        <is>
          <t>gross_profit</t>
        </is>
      </c>
      <c r="E51" s="2" t="inlineStr">
        <is>
          <t>2017-10-29</t>
        </is>
      </c>
      <c r="F51" s="3" t="n">
        <v>8509000000</v>
      </c>
      <c r="G51" s="8" t="b">
        <v>0</v>
      </c>
      <c r="H51" s="2" t="inlineStr"/>
      <c r="I51" s="8" t="b">
        <v>0</v>
      </c>
      <c r="J51" s="2" t="inlineStr">
        <is>
          <t>https://www.sec.gov/Archives/edgar/data/1730168/000173016819000144/0001730168-19-000144-index.html</t>
        </is>
      </c>
      <c r="K51" s="2" t="inlineStr">
        <is>
          <t>USD</t>
        </is>
      </c>
    </row>
    <row r="52" ht="42" customHeight="1">
      <c r="A52" s="2" t="inlineStr">
        <is>
          <t>gross-margin</t>
        </is>
      </c>
      <c r="B52" s="2" t="inlineStr">
        <is>
          <t>2017-10-29</t>
        </is>
      </c>
      <c r="C52" s="2" t="inlineStr">
        <is>
          <t>revenue</t>
        </is>
      </c>
      <c r="D52" s="2" t="inlineStr">
        <is>
          <t>revenue</t>
        </is>
      </c>
      <c r="E52" s="2" t="inlineStr">
        <is>
          <t>2017-10-29</t>
        </is>
      </c>
      <c r="F52" s="3" t="n">
        <v>17636000000</v>
      </c>
      <c r="G52" s="8" t="b">
        <v>0</v>
      </c>
      <c r="H52" s="2" t="inlineStr"/>
      <c r="I52" s="8" t="b">
        <v>0</v>
      </c>
      <c r="J52" s="2" t="inlineStr">
        <is>
          <t>https://www.sec.gov/Archives/edgar/data/1730168/000173016818000084/0001730168-18-000084-index.html</t>
        </is>
      </c>
      <c r="K52" s="2" t="inlineStr">
        <is>
          <t>USD</t>
        </is>
      </c>
    </row>
    <row r="53" ht="42" customHeight="1">
      <c r="A53" s="2" t="inlineStr">
        <is>
          <t>operating-margin</t>
        </is>
      </c>
      <c r="B53" s="2" t="inlineStr">
        <is>
          <t>2017-10-29</t>
        </is>
      </c>
      <c r="C53" s="2" t="inlineStr">
        <is>
          <t>operating_income</t>
        </is>
      </c>
      <c r="D53" s="2" t="inlineStr">
        <is>
          <t>operating_income</t>
        </is>
      </c>
      <c r="E53" s="2" t="inlineStr">
        <is>
          <t>2017-10-29</t>
        </is>
      </c>
      <c r="F53" s="3" t="n">
        <v>2371000000</v>
      </c>
      <c r="G53" s="8" t="b">
        <v>0</v>
      </c>
      <c r="H53" s="2" t="inlineStr"/>
      <c r="I53" s="8" t="b">
        <v>0</v>
      </c>
      <c r="J53" s="2" t="inlineStr">
        <is>
          <t>https://www.sec.gov/Archives/edgar/data/1730168/000173016819000144/0001730168-19-000144-index.html</t>
        </is>
      </c>
      <c r="K53" s="2" t="inlineStr">
        <is>
          <t>USD</t>
        </is>
      </c>
    </row>
    <row r="54" ht="42" customHeight="1">
      <c r="A54" s="2" t="inlineStr">
        <is>
          <t>operating-margin</t>
        </is>
      </c>
      <c r="B54" s="2" t="inlineStr">
        <is>
          <t>2017-10-29</t>
        </is>
      </c>
      <c r="C54" s="2" t="inlineStr">
        <is>
          <t>revenue</t>
        </is>
      </c>
      <c r="D54" s="2" t="inlineStr">
        <is>
          <t>revenue</t>
        </is>
      </c>
      <c r="E54" s="2" t="inlineStr">
        <is>
          <t>2017-10-29</t>
        </is>
      </c>
      <c r="F54" s="3" t="n">
        <v>17636000000</v>
      </c>
      <c r="G54" s="8" t="b">
        <v>0</v>
      </c>
      <c r="H54" s="2" t="inlineStr"/>
      <c r="I54" s="8" t="b">
        <v>0</v>
      </c>
      <c r="J54" s="2" t="inlineStr">
        <is>
          <t>https://www.sec.gov/Archives/edgar/data/1730168/000173016818000084/0001730168-18-000084-index.html</t>
        </is>
      </c>
      <c r="K54" s="2" t="inlineStr">
        <is>
          <t>USD</t>
        </is>
      </c>
    </row>
    <row r="55" ht="42" customHeight="1">
      <c r="A55" s="2" t="inlineStr">
        <is>
          <t>net-margin</t>
        </is>
      </c>
      <c r="B55" s="2" t="inlineStr">
        <is>
          <t>2017-10-29</t>
        </is>
      </c>
      <c r="C55" s="2" t="inlineStr">
        <is>
          <t>net_income</t>
        </is>
      </c>
      <c r="D55" s="2" t="inlineStr">
        <is>
          <t>net_income</t>
        </is>
      </c>
      <c r="E55" s="2" t="inlineStr">
        <is>
          <t>2017-10-29</t>
        </is>
      </c>
      <c r="F55" s="3" t="n">
        <v>1692000000</v>
      </c>
      <c r="G55" s="8" t="b">
        <v>0</v>
      </c>
      <c r="H55" s="2" t="inlineStr"/>
      <c r="I55" s="8" t="b">
        <v>0</v>
      </c>
      <c r="J55" s="2" t="inlineStr">
        <is>
          <t>https://www.sec.gov/Archives/edgar/data/1730168/000173016818000084/0001730168-18-000084-index.html</t>
        </is>
      </c>
      <c r="K55" s="2" t="inlineStr">
        <is>
          <t>USD</t>
        </is>
      </c>
    </row>
    <row r="56" ht="42" customHeight="1">
      <c r="A56" s="2" t="inlineStr">
        <is>
          <t>net-margin</t>
        </is>
      </c>
      <c r="B56" s="2" t="inlineStr">
        <is>
          <t>2017-10-29</t>
        </is>
      </c>
      <c r="C56" s="2" t="inlineStr">
        <is>
          <t>revenue</t>
        </is>
      </c>
      <c r="D56" s="2" t="inlineStr">
        <is>
          <t>revenue</t>
        </is>
      </c>
      <c r="E56" s="2" t="inlineStr">
        <is>
          <t>2017-10-29</t>
        </is>
      </c>
      <c r="F56" s="3" t="n">
        <v>17636000000</v>
      </c>
      <c r="G56" s="8" t="b">
        <v>0</v>
      </c>
      <c r="H56" s="2" t="inlineStr"/>
      <c r="I56" s="8" t="b">
        <v>0</v>
      </c>
      <c r="J56" s="2" t="inlineStr">
        <is>
          <t>https://www.sec.gov/Archives/edgar/data/1730168/000173016818000084/0001730168-18-000084-index.html</t>
        </is>
      </c>
      <c r="K56" s="2" t="inlineStr">
        <is>
          <t>USD</t>
        </is>
      </c>
    </row>
    <row r="57" ht="42" customHeight="1">
      <c r="A57" s="2" t="inlineStr">
        <is>
          <t>fcf</t>
        </is>
      </c>
      <c r="B57" s="2" t="inlineStr">
        <is>
          <t>2017-10-29</t>
        </is>
      </c>
      <c r="C57" s="2" t="inlineStr">
        <is>
          <t>ocf</t>
        </is>
      </c>
      <c r="D57" s="2" t="inlineStr">
        <is>
          <t>ocf</t>
        </is>
      </c>
      <c r="E57" s="2" t="inlineStr">
        <is>
          <t>2017-10-29</t>
        </is>
      </c>
      <c r="F57" s="3" t="n">
        <v>6551000000</v>
      </c>
      <c r="G57" s="8" t="b">
        <v>0</v>
      </c>
      <c r="H57" s="2" t="inlineStr"/>
      <c r="I57" s="8" t="b">
        <v>0</v>
      </c>
      <c r="J57" s="2" t="inlineStr">
        <is>
          <t>https://www.sec.gov/Archives/edgar/data/1730168/000173016819000144/0001730168-19-000144-index.html</t>
        </is>
      </c>
      <c r="K57" s="2" t="inlineStr">
        <is>
          <t>USD</t>
        </is>
      </c>
    </row>
    <row r="58" ht="42" customHeight="1">
      <c r="A58" s="2" t="inlineStr">
        <is>
          <t>fcf</t>
        </is>
      </c>
      <c r="B58" s="2" t="inlineStr">
        <is>
          <t>2017-10-29</t>
        </is>
      </c>
      <c r="C58" s="2" t="inlineStr">
        <is>
          <t>capex</t>
        </is>
      </c>
      <c r="D58" s="2" t="inlineStr">
        <is>
          <t>capex</t>
        </is>
      </c>
      <c r="E58" s="2" t="inlineStr">
        <is>
          <t>2017-10-29</t>
        </is>
      </c>
      <c r="F58" s="3" t="n">
        <v>1069000000</v>
      </c>
      <c r="G58" s="8" t="b">
        <v>0</v>
      </c>
      <c r="H58" s="2" t="inlineStr"/>
      <c r="I58" s="8" t="b">
        <v>0</v>
      </c>
      <c r="J58" s="2" t="inlineStr">
        <is>
          <t>https://www.sec.gov/Archives/edgar/data/1730168/000173016819000144/0001730168-19-000144-index.html</t>
        </is>
      </c>
      <c r="K58" s="2" t="inlineStr">
        <is>
          <t>USD</t>
        </is>
      </c>
    </row>
    <row r="59" ht="42" customHeight="1">
      <c r="A59" s="2" t="inlineStr">
        <is>
          <t>fcf-margin</t>
        </is>
      </c>
      <c r="B59" s="2" t="inlineStr">
        <is>
          <t>2017-10-29</t>
        </is>
      </c>
      <c r="C59" s="2" t="inlineStr">
        <is>
          <t>ocf</t>
        </is>
      </c>
      <c r="D59" s="2" t="inlineStr">
        <is>
          <t>ocf</t>
        </is>
      </c>
      <c r="E59" s="2" t="inlineStr">
        <is>
          <t>2017-10-29</t>
        </is>
      </c>
      <c r="F59" s="3" t="n">
        <v>6551000000</v>
      </c>
      <c r="G59" s="8" t="b">
        <v>0</v>
      </c>
      <c r="H59" s="2" t="inlineStr"/>
      <c r="I59" s="8" t="b">
        <v>0</v>
      </c>
      <c r="J59" s="2" t="inlineStr">
        <is>
          <t>https://www.sec.gov/Archives/edgar/data/1730168/000173016819000144/0001730168-19-000144-index.html</t>
        </is>
      </c>
      <c r="K59" s="2" t="inlineStr">
        <is>
          <t>USD</t>
        </is>
      </c>
    </row>
    <row r="60" ht="42" customHeight="1">
      <c r="A60" s="2" t="inlineStr">
        <is>
          <t>fcf-margin</t>
        </is>
      </c>
      <c r="B60" s="2" t="inlineStr">
        <is>
          <t>2017-10-29</t>
        </is>
      </c>
      <c r="C60" s="2" t="inlineStr">
        <is>
          <t>capex</t>
        </is>
      </c>
      <c r="D60" s="2" t="inlineStr">
        <is>
          <t>capex</t>
        </is>
      </c>
      <c r="E60" s="2" t="inlineStr">
        <is>
          <t>2017-10-29</t>
        </is>
      </c>
      <c r="F60" s="3" t="n">
        <v>1069000000</v>
      </c>
      <c r="G60" s="8" t="b">
        <v>0</v>
      </c>
      <c r="H60" s="2" t="inlineStr"/>
      <c r="I60" s="8" t="b">
        <v>0</v>
      </c>
      <c r="J60" s="2" t="inlineStr">
        <is>
          <t>https://www.sec.gov/Archives/edgar/data/1730168/000173016819000144/0001730168-19-000144-index.html</t>
        </is>
      </c>
      <c r="K60" s="2" t="inlineStr">
        <is>
          <t>USD</t>
        </is>
      </c>
    </row>
    <row r="61" ht="42" customHeight="1">
      <c r="A61" s="2" t="inlineStr">
        <is>
          <t>fcf-margin</t>
        </is>
      </c>
      <c r="B61" s="2" t="inlineStr">
        <is>
          <t>2017-10-29</t>
        </is>
      </c>
      <c r="C61" s="2" t="inlineStr">
        <is>
          <t>revenue</t>
        </is>
      </c>
      <c r="D61" s="2" t="inlineStr">
        <is>
          <t>revenue</t>
        </is>
      </c>
      <c r="E61" s="2" t="inlineStr">
        <is>
          <t>2017-10-29</t>
        </is>
      </c>
      <c r="F61" s="3" t="n">
        <v>17636000000</v>
      </c>
      <c r="G61" s="8" t="b">
        <v>0</v>
      </c>
      <c r="H61" s="2" t="inlineStr"/>
      <c r="I61" s="8" t="b">
        <v>0</v>
      </c>
      <c r="J61" s="2" t="inlineStr">
        <is>
          <t>https://www.sec.gov/Archives/edgar/data/1730168/000173016818000084/0001730168-18-000084-index.html</t>
        </is>
      </c>
      <c r="K61" s="2" t="inlineStr">
        <is>
          <t>USD</t>
        </is>
      </c>
    </row>
    <row r="62" ht="42" customHeight="1">
      <c r="A62" s="2" t="inlineStr">
        <is>
          <t>fcff</t>
        </is>
      </c>
      <c r="B62" s="2" t="inlineStr">
        <is>
          <t>2017-10-29</t>
        </is>
      </c>
      <c r="C62" s="2" t="inlineStr">
        <is>
          <t>ocf</t>
        </is>
      </c>
      <c r="D62" s="2" t="inlineStr">
        <is>
          <t>ocf</t>
        </is>
      </c>
      <c r="E62" s="2" t="inlineStr">
        <is>
          <t>2017-10-29</t>
        </is>
      </c>
      <c r="F62" s="3" t="n">
        <v>6551000000</v>
      </c>
      <c r="G62" s="8" t="b">
        <v>0</v>
      </c>
      <c r="H62" s="2" t="inlineStr"/>
      <c r="I62" s="8" t="b">
        <v>0</v>
      </c>
      <c r="J62" s="2" t="inlineStr">
        <is>
          <t>https://www.sec.gov/Archives/edgar/data/1730168/000173016819000144/0001730168-19-000144-index.html</t>
        </is>
      </c>
      <c r="K62" s="2" t="inlineStr">
        <is>
          <t>USD</t>
        </is>
      </c>
    </row>
    <row r="63" ht="42" customHeight="1">
      <c r="A63" s="2" t="inlineStr">
        <is>
          <t>fcff</t>
        </is>
      </c>
      <c r="B63" s="2" t="inlineStr">
        <is>
          <t>2017-10-29</t>
        </is>
      </c>
      <c r="C63" s="2" t="inlineStr">
        <is>
          <t>capex</t>
        </is>
      </c>
      <c r="D63" s="2" t="inlineStr">
        <is>
          <t>capex</t>
        </is>
      </c>
      <c r="E63" s="2" t="inlineStr">
        <is>
          <t>2017-10-29</t>
        </is>
      </c>
      <c r="F63" s="3" t="n">
        <v>1069000000</v>
      </c>
      <c r="G63" s="8" t="b">
        <v>0</v>
      </c>
      <c r="H63" s="2" t="inlineStr"/>
      <c r="I63" s="8" t="b">
        <v>0</v>
      </c>
      <c r="J63" s="2" t="inlineStr">
        <is>
          <t>https://www.sec.gov/Archives/edgar/data/1730168/000173016819000144/0001730168-19-000144-index.html</t>
        </is>
      </c>
      <c r="K63" s="2" t="inlineStr">
        <is>
          <t>USD</t>
        </is>
      </c>
    </row>
    <row r="64" ht="42" customHeight="1">
      <c r="A64" s="2" t="inlineStr">
        <is>
          <t>fcff</t>
        </is>
      </c>
      <c r="B64" s="2" t="inlineStr">
        <is>
          <t>2017-10-29</t>
        </is>
      </c>
      <c r="C64" s="2" t="inlineStr">
        <is>
          <t>interest_expense</t>
        </is>
      </c>
      <c r="D64" s="2" t="inlineStr">
        <is>
          <t>interest_expense</t>
        </is>
      </c>
      <c r="E64" s="2" t="inlineStr">
        <is>
          <t>2017-10-29</t>
        </is>
      </c>
      <c r="F64" s="3" t="n">
        <v>454000000</v>
      </c>
      <c r="G64" s="8" t="b">
        <v>0</v>
      </c>
      <c r="H64" s="2" t="inlineStr"/>
      <c r="I64" s="8" t="b">
        <v>0</v>
      </c>
      <c r="J64" s="2" t="inlineStr">
        <is>
          <t>https://www.sec.gov/Archives/edgar/data/1730168/000173016819000144/0001730168-19-000144-index.html</t>
        </is>
      </c>
      <c r="K64" s="2" t="inlineStr">
        <is>
          <t>USD</t>
        </is>
      </c>
    </row>
    <row r="65" ht="42" customHeight="1">
      <c r="A65" s="2" t="inlineStr">
        <is>
          <t>fcff</t>
        </is>
      </c>
      <c r="B65" s="2" t="inlineStr">
        <is>
          <t>2017-10-29</t>
        </is>
      </c>
      <c r="C65" s="2" t="inlineStr">
        <is>
          <t>tax_rate</t>
        </is>
      </c>
      <c r="D65" s="2" t="inlineStr">
        <is>
          <t>tax_rate</t>
        </is>
      </c>
      <c r="E65" s="2" t="inlineStr">
        <is>
          <t>2017-10-29</t>
        </is>
      </c>
      <c r="F65" s="3" t="n">
        <v>0.01917808219178082</v>
      </c>
      <c r="G65" s="8" t="b">
        <v>0</v>
      </c>
      <c r="H65" s="2" t="inlineStr"/>
      <c r="I65" s="8" t="b">
        <v>0</v>
      </c>
      <c r="J65" s="2" t="inlineStr">
        <is>
          <t>Derived or model input; see parent calculation formula and model assumptions.</t>
        </is>
      </c>
      <c r="K65" s="2" t="inlineStr">
        <is>
          <t>ratio (decimal)</t>
        </is>
      </c>
    </row>
    <row r="66" ht="42" customHeight="1">
      <c r="A66" s="2" t="inlineStr">
        <is>
          <t>fcff</t>
        </is>
      </c>
      <c r="B66" s="2" t="inlineStr">
        <is>
          <t>2017-10-29</t>
        </is>
      </c>
      <c r="C66" s="2" t="inlineStr">
        <is>
          <t>sbc</t>
        </is>
      </c>
      <c r="D66" s="2" t="inlineStr">
        <is>
          <t>sbc</t>
        </is>
      </c>
      <c r="E66" s="2" t="inlineStr">
        <is>
          <t>2017-10-29</t>
        </is>
      </c>
      <c r="F66" s="3" t="n">
        <v>921000000</v>
      </c>
      <c r="G66" s="8" t="b">
        <v>0</v>
      </c>
      <c r="H66" s="2" t="inlineStr"/>
      <c r="I66" s="8" t="b">
        <v>0</v>
      </c>
      <c r="J66" s="2" t="inlineStr">
        <is>
          <t>https://www.sec.gov/Archives/edgar/data/1730168/000173016819000144/0001730168-19-000144-index.html</t>
        </is>
      </c>
      <c r="K66" s="2" t="inlineStr">
        <is>
          <t>USD</t>
        </is>
      </c>
    </row>
    <row r="67" ht="42" customHeight="1">
      <c r="A67" s="2" t="inlineStr">
        <is>
          <t>fcfe</t>
        </is>
      </c>
      <c r="B67" s="2" t="inlineStr">
        <is>
          <t>2017-10-29</t>
        </is>
      </c>
      <c r="C67" s="2" t="inlineStr">
        <is>
          <t>net_income</t>
        </is>
      </c>
      <c r="D67" s="2" t="inlineStr">
        <is>
          <t>net_income</t>
        </is>
      </c>
      <c r="E67" s="2" t="inlineStr">
        <is>
          <t>2017-10-29</t>
        </is>
      </c>
      <c r="F67" s="3" t="n">
        <v>1692000000</v>
      </c>
      <c r="G67" s="8" t="b">
        <v>0</v>
      </c>
      <c r="H67" s="2" t="inlineStr"/>
      <c r="I67" s="8" t="b">
        <v>0</v>
      </c>
      <c r="J67" s="2" t="inlineStr">
        <is>
          <t>https://www.sec.gov/Archives/edgar/data/1730168/000173016818000084/0001730168-18-000084-index.html</t>
        </is>
      </c>
      <c r="K67" s="2" t="inlineStr">
        <is>
          <t>USD</t>
        </is>
      </c>
    </row>
    <row r="68" ht="42" customHeight="1">
      <c r="A68" s="2" t="inlineStr">
        <is>
          <t>fcfe</t>
        </is>
      </c>
      <c r="B68" s="2" t="inlineStr">
        <is>
          <t>2017-10-29</t>
        </is>
      </c>
      <c r="C68" s="2" t="inlineStr">
        <is>
          <t>d_and_a</t>
        </is>
      </c>
      <c r="D68" s="2" t="inlineStr">
        <is>
          <t>d_and_a</t>
        </is>
      </c>
      <c r="E68" s="2" t="inlineStr">
        <is>
          <t>2017-10-29</t>
        </is>
      </c>
      <c r="F68" s="3" t="n">
        <v>4737000000</v>
      </c>
      <c r="G68" s="8" t="b">
        <v>0</v>
      </c>
      <c r="H68" s="2" t="inlineStr"/>
      <c r="I68" s="8" t="b">
        <v>0</v>
      </c>
      <c r="J68" s="2" t="inlineStr">
        <is>
          <t>https://www.sec.gov/Archives/edgar/data/1730168/000173016819000144/0001730168-19-000144-index.html</t>
        </is>
      </c>
      <c r="K68" s="2" t="inlineStr">
        <is>
          <t>USD</t>
        </is>
      </c>
    </row>
    <row r="69" ht="42" customHeight="1">
      <c r="A69" s="2" t="inlineStr">
        <is>
          <t>fcfe</t>
        </is>
      </c>
      <c r="B69" s="2" t="inlineStr">
        <is>
          <t>2017-10-29</t>
        </is>
      </c>
      <c r="C69" s="2" t="inlineStr">
        <is>
          <t>capex</t>
        </is>
      </c>
      <c r="D69" s="2" t="inlineStr">
        <is>
          <t>capex</t>
        </is>
      </c>
      <c r="E69" s="2" t="inlineStr">
        <is>
          <t>2017-10-29</t>
        </is>
      </c>
      <c r="F69" s="3" t="n">
        <v>1069000000</v>
      </c>
      <c r="G69" s="8" t="b">
        <v>0</v>
      </c>
      <c r="H69" s="2" t="inlineStr"/>
      <c r="I69" s="8" t="b">
        <v>0</v>
      </c>
      <c r="J69" s="2" t="inlineStr">
        <is>
          <t>https://www.sec.gov/Archives/edgar/data/1730168/000173016819000144/0001730168-19-000144-index.html</t>
        </is>
      </c>
      <c r="K69" s="2" t="inlineStr">
        <is>
          <t>USD</t>
        </is>
      </c>
    </row>
    <row r="70" ht="42" customHeight="1">
      <c r="A70" s="2" t="inlineStr">
        <is>
          <t>fcfe</t>
        </is>
      </c>
      <c r="B70" s="2" t="inlineStr">
        <is>
          <t>2017-10-29</t>
        </is>
      </c>
      <c r="C70" s="2" t="inlineStr">
        <is>
          <t>debt_issued</t>
        </is>
      </c>
      <c r="D70" s="2" t="inlineStr">
        <is>
          <t>debt_issued</t>
        </is>
      </c>
      <c r="E70" s="2" t="inlineStr">
        <is>
          <t>2017-10-29</t>
        </is>
      </c>
      <c r="F70" s="3" t="n">
        <v>17426000000</v>
      </c>
      <c r="G70" s="8" t="b">
        <v>0</v>
      </c>
      <c r="H70" s="2" t="inlineStr"/>
      <c r="I70" s="8" t="b">
        <v>0</v>
      </c>
      <c r="J70" s="2" t="inlineStr">
        <is>
          <t>https://www.sec.gov/Archives/edgar/data/1730168/000173016819000144/0001730168-19-000144-index.html</t>
        </is>
      </c>
      <c r="K70" s="2" t="inlineStr">
        <is>
          <t>USD</t>
        </is>
      </c>
    </row>
    <row r="71" ht="42" customHeight="1">
      <c r="A71" s="2" t="inlineStr">
        <is>
          <t>fcfe</t>
        </is>
      </c>
      <c r="B71" s="2" t="inlineStr">
        <is>
          <t>2017-10-29</t>
        </is>
      </c>
      <c r="C71" s="2" t="inlineStr">
        <is>
          <t>debt_repaid</t>
        </is>
      </c>
      <c r="D71" s="2" t="inlineStr">
        <is>
          <t>debt_repaid</t>
        </is>
      </c>
      <c r="E71" s="2" t="inlineStr">
        <is>
          <t>2017-10-29</t>
        </is>
      </c>
      <c r="F71" s="3" t="n">
        <v>13668000000</v>
      </c>
      <c r="G71" s="8" t="b">
        <v>0</v>
      </c>
      <c r="H71" s="2" t="inlineStr"/>
      <c r="I71" s="8" t="b">
        <v>0</v>
      </c>
      <c r="J71" s="2" t="inlineStr">
        <is>
          <t>https://www.sec.gov/Archives/edgar/data/1730168/000173016819000144/0001730168-19-000144-index.html</t>
        </is>
      </c>
      <c r="K71" s="2" t="inlineStr">
        <is>
          <t>USD</t>
        </is>
      </c>
    </row>
    <row r="72" ht="42" customHeight="1">
      <c r="A72" s="2" t="inlineStr">
        <is>
          <t>owner-earnings</t>
        </is>
      </c>
      <c r="B72" s="2" t="inlineStr">
        <is>
          <t>2017-10-29</t>
        </is>
      </c>
      <c r="C72" s="2" t="inlineStr">
        <is>
          <t>net_income</t>
        </is>
      </c>
      <c r="D72" s="2" t="inlineStr">
        <is>
          <t>net_income</t>
        </is>
      </c>
      <c r="E72" s="2" t="inlineStr">
        <is>
          <t>2017-10-29</t>
        </is>
      </c>
      <c r="F72" s="3" t="n">
        <v>1692000000</v>
      </c>
      <c r="G72" s="8" t="b">
        <v>0</v>
      </c>
      <c r="H72" s="2" t="inlineStr"/>
      <c r="I72" s="8" t="b">
        <v>0</v>
      </c>
      <c r="J72" s="2" t="inlineStr">
        <is>
          <t>https://www.sec.gov/Archives/edgar/data/1730168/000173016818000084/0001730168-18-000084-index.html</t>
        </is>
      </c>
      <c r="K72" s="2" t="inlineStr">
        <is>
          <t>USD</t>
        </is>
      </c>
    </row>
    <row r="73" ht="42" customHeight="1">
      <c r="A73" s="2" t="inlineStr">
        <is>
          <t>owner-earnings</t>
        </is>
      </c>
      <c r="B73" s="2" t="inlineStr">
        <is>
          <t>2017-10-29</t>
        </is>
      </c>
      <c r="C73" s="2" t="inlineStr">
        <is>
          <t>d_and_a</t>
        </is>
      </c>
      <c r="D73" s="2" t="inlineStr">
        <is>
          <t>d_and_a</t>
        </is>
      </c>
      <c r="E73" s="2" t="inlineStr">
        <is>
          <t>2017-10-29</t>
        </is>
      </c>
      <c r="F73" s="3" t="n">
        <v>4737000000</v>
      </c>
      <c r="G73" s="8" t="b">
        <v>0</v>
      </c>
      <c r="H73" s="2" t="inlineStr"/>
      <c r="I73" s="8" t="b">
        <v>0</v>
      </c>
      <c r="J73" s="2" t="inlineStr">
        <is>
          <t>https://www.sec.gov/Archives/edgar/data/1730168/000173016819000144/0001730168-19-000144-index.html</t>
        </is>
      </c>
      <c r="K73" s="2" t="inlineStr">
        <is>
          <t>USD</t>
        </is>
      </c>
    </row>
    <row r="74" ht="42" customHeight="1">
      <c r="A74" s="2" t="inlineStr">
        <is>
          <t>earnings-quality</t>
        </is>
      </c>
      <c r="B74" s="2" t="inlineStr">
        <is>
          <t>2017-10-29</t>
        </is>
      </c>
      <c r="C74" s="2" t="inlineStr">
        <is>
          <t>ocf</t>
        </is>
      </c>
      <c r="D74" s="2" t="inlineStr">
        <is>
          <t>ocf</t>
        </is>
      </c>
      <c r="E74" s="2" t="inlineStr">
        <is>
          <t>2017-10-29</t>
        </is>
      </c>
      <c r="F74" s="3" t="n">
        <v>6551000000</v>
      </c>
      <c r="G74" s="8" t="b">
        <v>0</v>
      </c>
      <c r="H74" s="2" t="inlineStr"/>
      <c r="I74" s="8" t="b">
        <v>0</v>
      </c>
      <c r="J74" s="2" t="inlineStr">
        <is>
          <t>https://www.sec.gov/Archives/edgar/data/1730168/000173016819000144/0001730168-19-000144-index.html</t>
        </is>
      </c>
      <c r="K74" s="2" t="inlineStr">
        <is>
          <t>USD</t>
        </is>
      </c>
    </row>
    <row r="75" ht="42" customHeight="1">
      <c r="A75" s="2" t="inlineStr">
        <is>
          <t>earnings-quality</t>
        </is>
      </c>
      <c r="B75" s="2" t="inlineStr">
        <is>
          <t>2017-10-29</t>
        </is>
      </c>
      <c r="C75" s="2" t="inlineStr">
        <is>
          <t>net_income</t>
        </is>
      </c>
      <c r="D75" s="2" t="inlineStr">
        <is>
          <t>net_income</t>
        </is>
      </c>
      <c r="E75" s="2" t="inlineStr">
        <is>
          <t>2017-10-29</t>
        </is>
      </c>
      <c r="F75" s="3" t="n">
        <v>1692000000</v>
      </c>
      <c r="G75" s="8" t="b">
        <v>0</v>
      </c>
      <c r="H75" s="2" t="inlineStr"/>
      <c r="I75" s="8" t="b">
        <v>0</v>
      </c>
      <c r="J75" s="2" t="inlineStr">
        <is>
          <t>https://www.sec.gov/Archives/edgar/data/1730168/000173016818000084/0001730168-18-000084-index.html</t>
        </is>
      </c>
      <c r="K75" s="2" t="inlineStr">
        <is>
          <t>USD</t>
        </is>
      </c>
    </row>
    <row r="76" ht="42" customHeight="1">
      <c r="A76" s="2" t="inlineStr">
        <is>
          <t>ebitda</t>
        </is>
      </c>
      <c r="B76" s="2" t="inlineStr">
        <is>
          <t>2017-10-29</t>
        </is>
      </c>
      <c r="C76" s="2" t="inlineStr">
        <is>
          <t>operating_income</t>
        </is>
      </c>
      <c r="D76" s="2" t="inlineStr">
        <is>
          <t>operating_income</t>
        </is>
      </c>
      <c r="E76" s="2" t="inlineStr">
        <is>
          <t>2017-10-29</t>
        </is>
      </c>
      <c r="F76" s="3" t="n">
        <v>2371000000</v>
      </c>
      <c r="G76" s="8" t="b">
        <v>0</v>
      </c>
      <c r="H76" s="2" t="inlineStr"/>
      <c r="I76" s="8" t="b">
        <v>0</v>
      </c>
      <c r="J76" s="2" t="inlineStr">
        <is>
          <t>https://www.sec.gov/Archives/edgar/data/1730168/000173016819000144/0001730168-19-000144-index.html</t>
        </is>
      </c>
      <c r="K76" s="2" t="inlineStr">
        <is>
          <t>USD</t>
        </is>
      </c>
    </row>
    <row r="77" ht="42" customHeight="1">
      <c r="A77" s="2" t="inlineStr">
        <is>
          <t>ebitda</t>
        </is>
      </c>
      <c r="B77" s="2" t="inlineStr">
        <is>
          <t>2017-10-29</t>
        </is>
      </c>
      <c r="C77" s="2" t="inlineStr">
        <is>
          <t>d_and_a</t>
        </is>
      </c>
      <c r="D77" s="2" t="inlineStr">
        <is>
          <t>d_and_a</t>
        </is>
      </c>
      <c r="E77" s="2" t="inlineStr">
        <is>
          <t>2017-10-29</t>
        </is>
      </c>
      <c r="F77" s="3" t="n">
        <v>4737000000</v>
      </c>
      <c r="G77" s="8" t="b">
        <v>0</v>
      </c>
      <c r="H77" s="2" t="inlineStr"/>
      <c r="I77" s="8" t="b">
        <v>0</v>
      </c>
      <c r="J77" s="2" t="inlineStr">
        <is>
          <t>https://www.sec.gov/Archives/edgar/data/1730168/000173016819000144/0001730168-19-000144-index.html</t>
        </is>
      </c>
      <c r="K77" s="2" t="inlineStr">
        <is>
          <t>USD</t>
        </is>
      </c>
    </row>
    <row r="78" ht="42" customHeight="1">
      <c r="A78" s="2" t="inlineStr">
        <is>
          <t>nopat</t>
        </is>
      </c>
      <c r="B78" s="2" t="inlineStr">
        <is>
          <t>2017-10-29</t>
        </is>
      </c>
      <c r="C78" s="2" t="inlineStr">
        <is>
          <t>operating_income</t>
        </is>
      </c>
      <c r="D78" s="2" t="inlineStr">
        <is>
          <t>operating_income</t>
        </is>
      </c>
      <c r="E78" s="2" t="inlineStr">
        <is>
          <t>2017-10-29</t>
        </is>
      </c>
      <c r="F78" s="3" t="n">
        <v>2371000000</v>
      </c>
      <c r="G78" s="8" t="b">
        <v>0</v>
      </c>
      <c r="H78" s="2" t="inlineStr"/>
      <c r="I78" s="8" t="b">
        <v>0</v>
      </c>
      <c r="J78" s="2" t="inlineStr">
        <is>
          <t>https://www.sec.gov/Archives/edgar/data/1730168/000173016819000144/0001730168-19-000144-index.html</t>
        </is>
      </c>
      <c r="K78" s="2" t="inlineStr">
        <is>
          <t>USD</t>
        </is>
      </c>
    </row>
    <row r="79" ht="42" customHeight="1">
      <c r="A79" s="2" t="inlineStr">
        <is>
          <t>nopat</t>
        </is>
      </c>
      <c r="B79" s="2" t="inlineStr">
        <is>
          <t>2017-10-29</t>
        </is>
      </c>
      <c r="C79" s="2" t="inlineStr">
        <is>
          <t>tax_rate</t>
        </is>
      </c>
      <c r="D79" s="2" t="inlineStr">
        <is>
          <t>tax_rate</t>
        </is>
      </c>
      <c r="E79" s="2" t="inlineStr">
        <is>
          <t>2017-10-29</t>
        </is>
      </c>
      <c r="F79" s="3" t="n">
        <v>0.01917808219178082</v>
      </c>
      <c r="G79" s="8" t="b">
        <v>0</v>
      </c>
      <c r="H79" s="2" t="inlineStr"/>
      <c r="I79" s="8" t="b">
        <v>0</v>
      </c>
      <c r="J79" s="2" t="inlineStr">
        <is>
          <t>Derived or model input; see parent calculation formula and model assumptions.</t>
        </is>
      </c>
      <c r="K79" s="2" t="inlineStr">
        <is>
          <t>ratio (decimal)</t>
        </is>
      </c>
    </row>
    <row r="80" ht="42" customHeight="1">
      <c r="A80" s="2" t="inlineStr">
        <is>
          <t>invested-capital</t>
        </is>
      </c>
      <c r="B80" s="2" t="inlineStr">
        <is>
          <t>2017-10-29</t>
        </is>
      </c>
      <c r="C80" s="2" t="inlineStr">
        <is>
          <t>equity</t>
        </is>
      </c>
      <c r="D80" s="2" t="inlineStr">
        <is>
          <t>equity</t>
        </is>
      </c>
      <c r="E80" s="2" t="inlineStr">
        <is>
          <t>2017-10-29</t>
        </is>
      </c>
      <c r="F80" s="3" t="n">
        <v>20285000000</v>
      </c>
      <c r="G80" s="8" t="b">
        <v>0</v>
      </c>
      <c r="H80" s="2" t="inlineStr"/>
      <c r="I80" s="8" t="b">
        <v>0</v>
      </c>
      <c r="J80" s="2" t="inlineStr">
        <is>
          <t>https://www.sec.gov/Archives/edgar/data/1730168/000173016818000084/0001730168-18-000084-index.html</t>
        </is>
      </c>
      <c r="K80" s="2" t="inlineStr">
        <is>
          <t>USD</t>
        </is>
      </c>
    </row>
    <row r="81" ht="42" customHeight="1">
      <c r="A81" s="2" t="inlineStr">
        <is>
          <t>invested-capital</t>
        </is>
      </c>
      <c r="B81" s="2" t="inlineStr">
        <is>
          <t>2017-10-29</t>
        </is>
      </c>
      <c r="C81" s="2" t="inlineStr">
        <is>
          <t>debt</t>
        </is>
      </c>
      <c r="D81" s="2" t="inlineStr">
        <is>
          <t>debt</t>
        </is>
      </c>
      <c r="E81" s="2" t="inlineStr">
        <is>
          <t>2017-10-29</t>
        </is>
      </c>
      <c r="F81" s="3" t="n">
        <v>17548000000</v>
      </c>
      <c r="G81" s="8" t="b">
        <v>0</v>
      </c>
      <c r="H81" s="2" t="inlineStr"/>
      <c r="I81" s="8" t="b">
        <v>0</v>
      </c>
      <c r="J81" s="2" t="inlineStr">
        <is>
          <t>Derived or model input; see parent calculation formula and model assumptions.</t>
        </is>
      </c>
      <c r="K81" s="2" t="inlineStr">
        <is>
          <t>USD</t>
        </is>
      </c>
    </row>
    <row r="82" ht="42" customHeight="1">
      <c r="A82" s="2" t="inlineStr">
        <is>
          <t>invested-capital</t>
        </is>
      </c>
      <c r="B82" s="2" t="inlineStr">
        <is>
          <t>2017-10-29</t>
        </is>
      </c>
      <c r="C82" s="2" t="inlineStr">
        <is>
          <t>cash_sti</t>
        </is>
      </c>
      <c r="D82" s="2" t="inlineStr">
        <is>
          <t>cash_sti</t>
        </is>
      </c>
      <c r="E82" s="2" t="inlineStr">
        <is>
          <t>2017-10-29</t>
        </is>
      </c>
      <c r="F82" s="3" t="n">
        <v>11204000000</v>
      </c>
      <c r="G82" s="8" t="b">
        <v>0</v>
      </c>
      <c r="H82" s="2" t="inlineStr"/>
      <c r="I82" s="8" t="b">
        <v>0</v>
      </c>
      <c r="J82" s="2" t="inlineStr">
        <is>
          <t>https://www.sec.gov/Archives/edgar/data/1730168/000173016820000226/0001730168-20-000226-index.html</t>
        </is>
      </c>
      <c r="K82" s="2" t="inlineStr">
        <is>
          <t>USD</t>
        </is>
      </c>
    </row>
    <row r="83" ht="42" customHeight="1">
      <c r="A83" s="2" t="inlineStr">
        <is>
          <t>roic</t>
        </is>
      </c>
      <c r="B83" s="2" t="inlineStr">
        <is>
          <t>2017-10-29</t>
        </is>
      </c>
      <c r="C83" s="2" t="inlineStr">
        <is>
          <t>operating_income</t>
        </is>
      </c>
      <c r="D83" s="2" t="inlineStr">
        <is>
          <t>operating_income</t>
        </is>
      </c>
      <c r="E83" s="2" t="inlineStr">
        <is>
          <t>2017-10-29</t>
        </is>
      </c>
      <c r="F83" s="3" t="n">
        <v>2371000000</v>
      </c>
      <c r="G83" s="8" t="b">
        <v>0</v>
      </c>
      <c r="H83" s="2" t="inlineStr"/>
      <c r="I83" s="8" t="b">
        <v>0</v>
      </c>
      <c r="J83" s="2" t="inlineStr">
        <is>
          <t>https://www.sec.gov/Archives/edgar/data/1730168/000173016819000144/0001730168-19-000144-index.html</t>
        </is>
      </c>
      <c r="K83" s="2" t="inlineStr">
        <is>
          <t>USD</t>
        </is>
      </c>
    </row>
    <row r="84" ht="42" customHeight="1">
      <c r="A84" s="2" t="inlineStr">
        <is>
          <t>roic</t>
        </is>
      </c>
      <c r="B84" s="2" t="inlineStr">
        <is>
          <t>2017-10-29</t>
        </is>
      </c>
      <c r="C84" s="2" t="inlineStr">
        <is>
          <t>tax_rate</t>
        </is>
      </c>
      <c r="D84" s="2" t="inlineStr">
        <is>
          <t>tax_rate</t>
        </is>
      </c>
      <c r="E84" s="2" t="inlineStr">
        <is>
          <t>2017-10-29</t>
        </is>
      </c>
      <c r="F84" s="3" t="n">
        <v>0.01917808219178082</v>
      </c>
      <c r="G84" s="8" t="b">
        <v>0</v>
      </c>
      <c r="H84" s="2" t="inlineStr"/>
      <c r="I84" s="8" t="b">
        <v>0</v>
      </c>
      <c r="J84" s="2" t="inlineStr">
        <is>
          <t>Derived or model input; see parent calculation formula and model assumptions.</t>
        </is>
      </c>
      <c r="K84" s="2" t="inlineStr">
        <is>
          <t>ratio (decimal)</t>
        </is>
      </c>
    </row>
    <row r="85" ht="42" customHeight="1">
      <c r="A85" s="2" t="inlineStr">
        <is>
          <t>roic</t>
        </is>
      </c>
      <c r="B85" s="2" t="inlineStr">
        <is>
          <t>2017-10-29</t>
        </is>
      </c>
      <c r="C85" s="2" t="inlineStr">
        <is>
          <t>average_invested_capital</t>
        </is>
      </c>
      <c r="D85" s="2" t="inlineStr">
        <is>
          <t>invested_capital</t>
        </is>
      </c>
      <c r="E85" s="2" t="inlineStr">
        <is>
          <t>2017-10-29</t>
        </is>
      </c>
      <c r="F85" s="3" t="n">
        <v>26629000000</v>
      </c>
      <c r="G85" s="8" t="b">
        <v>0</v>
      </c>
      <c r="H85" s="2" t="inlineStr"/>
      <c r="I85" s="8" t="b">
        <v>0</v>
      </c>
      <c r="J85" s="2" t="inlineStr">
        <is>
          <t>Derived or model input; see parent calculation formula and model assumptions.</t>
        </is>
      </c>
      <c r="K85" s="2" t="inlineStr">
        <is>
          <t>USD</t>
        </is>
      </c>
    </row>
    <row r="86" ht="42" customHeight="1">
      <c r="A86" s="2" t="inlineStr">
        <is>
          <t>net-debt</t>
        </is>
      </c>
      <c r="B86" s="2" t="inlineStr">
        <is>
          <t>2017-10-29</t>
        </is>
      </c>
      <c r="C86" s="2" t="inlineStr">
        <is>
          <t>debt</t>
        </is>
      </c>
      <c r="D86" s="2" t="inlineStr">
        <is>
          <t>debt</t>
        </is>
      </c>
      <c r="E86" s="2" t="inlineStr">
        <is>
          <t>2017-10-29</t>
        </is>
      </c>
      <c r="F86" s="3" t="n">
        <v>17548000000</v>
      </c>
      <c r="G86" s="8" t="b">
        <v>0</v>
      </c>
      <c r="H86" s="2" t="inlineStr"/>
      <c r="I86" s="8" t="b">
        <v>0</v>
      </c>
      <c r="J86" s="2" t="inlineStr">
        <is>
          <t>Derived or model input; see parent calculation formula and model assumptions.</t>
        </is>
      </c>
      <c r="K86" s="2" t="inlineStr">
        <is>
          <t>USD</t>
        </is>
      </c>
    </row>
    <row r="87" ht="42" customHeight="1">
      <c r="A87" s="2" t="inlineStr">
        <is>
          <t>net-debt</t>
        </is>
      </c>
      <c r="B87" s="2" t="inlineStr">
        <is>
          <t>2017-10-29</t>
        </is>
      </c>
      <c r="C87" s="2" t="inlineStr">
        <is>
          <t>cash_sti</t>
        </is>
      </c>
      <c r="D87" s="2" t="inlineStr">
        <is>
          <t>cash_sti</t>
        </is>
      </c>
      <c r="E87" s="2" t="inlineStr">
        <is>
          <t>2017-10-29</t>
        </is>
      </c>
      <c r="F87" s="3" t="n">
        <v>11204000000</v>
      </c>
      <c r="G87" s="8" t="b">
        <v>0</v>
      </c>
      <c r="H87" s="2" t="inlineStr"/>
      <c r="I87" s="8" t="b">
        <v>0</v>
      </c>
      <c r="J87" s="2" t="inlineStr">
        <is>
          <t>https://www.sec.gov/Archives/edgar/data/1730168/000173016820000226/0001730168-20-000226-index.html</t>
        </is>
      </c>
      <c r="K87" s="2" t="inlineStr">
        <is>
          <t>USD</t>
        </is>
      </c>
    </row>
    <row r="88" ht="42" customHeight="1">
      <c r="A88" s="2" t="inlineStr">
        <is>
          <t>debt-ebitda</t>
        </is>
      </c>
      <c r="B88" s="2" t="inlineStr">
        <is>
          <t>2017-10-29</t>
        </is>
      </c>
      <c r="C88" s="2" t="inlineStr">
        <is>
          <t>debt</t>
        </is>
      </c>
      <c r="D88" s="2" t="inlineStr">
        <is>
          <t>debt</t>
        </is>
      </c>
      <c r="E88" s="2" t="inlineStr">
        <is>
          <t>2017-10-29</t>
        </is>
      </c>
      <c r="F88" s="3" t="n">
        <v>17548000000</v>
      </c>
      <c r="G88" s="8" t="b">
        <v>0</v>
      </c>
      <c r="H88" s="2" t="inlineStr"/>
      <c r="I88" s="8" t="b">
        <v>0</v>
      </c>
      <c r="J88" s="2" t="inlineStr">
        <is>
          <t>Derived or model input; see parent calculation formula and model assumptions.</t>
        </is>
      </c>
      <c r="K88" s="2" t="inlineStr">
        <is>
          <t>USD</t>
        </is>
      </c>
    </row>
    <row r="89" ht="42" customHeight="1">
      <c r="A89" s="2" t="inlineStr">
        <is>
          <t>debt-ebitda</t>
        </is>
      </c>
      <c r="B89" s="2" t="inlineStr">
        <is>
          <t>2017-10-29</t>
        </is>
      </c>
      <c r="C89" s="2" t="inlineStr">
        <is>
          <t>ebitda</t>
        </is>
      </c>
      <c r="D89" s="2" t="inlineStr">
        <is>
          <t>ebitda</t>
        </is>
      </c>
      <c r="E89" s="2" t="inlineStr">
        <is>
          <t>2017-10-29</t>
        </is>
      </c>
      <c r="F89" s="3" t="n">
        <v>7108000000</v>
      </c>
      <c r="G89" s="8" t="b">
        <v>0</v>
      </c>
      <c r="H89" s="2" t="inlineStr"/>
      <c r="I89" s="8" t="b">
        <v>0</v>
      </c>
      <c r="J89" s="2" t="inlineStr">
        <is>
          <t>Derived: ebitda @ 2017-10-29; see Calculations and Calc inputs.</t>
        </is>
      </c>
      <c r="K89" s="2" t="inlineStr">
        <is>
          <t>USD</t>
        </is>
      </c>
    </row>
    <row r="90" ht="42" customHeight="1">
      <c r="A90" s="2" t="inlineStr">
        <is>
          <t>interest-coverage</t>
        </is>
      </c>
      <c r="B90" s="2" t="inlineStr">
        <is>
          <t>2017-10-29</t>
        </is>
      </c>
      <c r="C90" s="2" t="inlineStr">
        <is>
          <t>operating_income</t>
        </is>
      </c>
      <c r="D90" s="2" t="inlineStr">
        <is>
          <t>operating_income</t>
        </is>
      </c>
      <c r="E90" s="2" t="inlineStr">
        <is>
          <t>2017-10-29</t>
        </is>
      </c>
      <c r="F90" s="3" t="n">
        <v>2371000000</v>
      </c>
      <c r="G90" s="8" t="b">
        <v>0</v>
      </c>
      <c r="H90" s="2" t="inlineStr"/>
      <c r="I90" s="8" t="b">
        <v>0</v>
      </c>
      <c r="J90" s="2" t="inlineStr">
        <is>
          <t>https://www.sec.gov/Archives/edgar/data/1730168/000173016819000144/0001730168-19-000144-index.html</t>
        </is>
      </c>
      <c r="K90" s="2" t="inlineStr">
        <is>
          <t>USD</t>
        </is>
      </c>
    </row>
    <row r="91" ht="42" customHeight="1">
      <c r="A91" s="2" t="inlineStr">
        <is>
          <t>interest-coverage</t>
        </is>
      </c>
      <c r="B91" s="2" t="inlineStr">
        <is>
          <t>2017-10-29</t>
        </is>
      </c>
      <c r="C91" s="2" t="inlineStr">
        <is>
          <t>interest_expense</t>
        </is>
      </c>
      <c r="D91" s="2" t="inlineStr">
        <is>
          <t>interest_expense</t>
        </is>
      </c>
      <c r="E91" s="2" t="inlineStr">
        <is>
          <t>2017-10-29</t>
        </is>
      </c>
      <c r="F91" s="3" t="n">
        <v>454000000</v>
      </c>
      <c r="G91" s="8" t="b">
        <v>0</v>
      </c>
      <c r="H91" s="2" t="inlineStr"/>
      <c r="I91" s="8" t="b">
        <v>0</v>
      </c>
      <c r="J91" s="2" t="inlineStr">
        <is>
          <t>https://www.sec.gov/Archives/edgar/data/1730168/000173016819000144/0001730168-19-000144-index.html</t>
        </is>
      </c>
      <c r="K91" s="2" t="inlineStr">
        <is>
          <t>USD</t>
        </is>
      </c>
    </row>
    <row r="92" ht="42" customHeight="1">
      <c r="A92" s="2" t="inlineStr">
        <is>
          <t>current-ratio</t>
        </is>
      </c>
      <c r="B92" s="2" t="inlineStr">
        <is>
          <t>2017-10-29</t>
        </is>
      </c>
      <c r="C92" s="2" t="inlineStr">
        <is>
          <t>current_assets</t>
        </is>
      </c>
      <c r="D92" s="2" t="inlineStr">
        <is>
          <t>current_assets</t>
        </is>
      </c>
      <c r="E92" s="2" t="inlineStr">
        <is>
          <t>2017-10-29</t>
        </is>
      </c>
      <c r="F92" s="3" t="n">
        <v>15823000000</v>
      </c>
      <c r="G92" s="8" t="b">
        <v>0</v>
      </c>
      <c r="H92" s="2" t="inlineStr"/>
      <c r="I92" s="8" t="b">
        <v>0</v>
      </c>
      <c r="J92" s="2" t="inlineStr">
        <is>
          <t>https://www.sec.gov/Archives/edgar/data/1730168/000173016818000084/0001730168-18-000084-index.html</t>
        </is>
      </c>
      <c r="K92" s="2" t="inlineStr">
        <is>
          <t>USD</t>
        </is>
      </c>
    </row>
    <row r="93" ht="42" customHeight="1">
      <c r="A93" s="2" t="inlineStr">
        <is>
          <t>current-ratio</t>
        </is>
      </c>
      <c r="B93" s="2" t="inlineStr">
        <is>
          <t>2017-10-29</t>
        </is>
      </c>
      <c r="C93" s="2" t="inlineStr">
        <is>
          <t>current_liabilities</t>
        </is>
      </c>
      <c r="D93" s="2" t="inlineStr">
        <is>
          <t>current_liabilities</t>
        </is>
      </c>
      <c r="E93" s="2" t="inlineStr">
        <is>
          <t>2017-10-29</t>
        </is>
      </c>
      <c r="F93" s="3" t="n">
        <v>2529000000</v>
      </c>
      <c r="G93" s="8" t="b">
        <v>0</v>
      </c>
      <c r="H93" s="2" t="inlineStr"/>
      <c r="I93" s="8" t="b">
        <v>0</v>
      </c>
      <c r="J93" s="2" t="inlineStr">
        <is>
          <t>https://www.sec.gov/Archives/edgar/data/1730168/000173016818000084/0001730168-18-000084-index.html</t>
        </is>
      </c>
      <c r="K93" s="2" t="inlineStr">
        <is>
          <t>USD</t>
        </is>
      </c>
    </row>
    <row r="94" ht="42" customHeight="1">
      <c r="A94" s="2" t="inlineStr">
        <is>
          <t>tangible-book-value</t>
        </is>
      </c>
      <c r="B94" s="2" t="inlineStr">
        <is>
          <t>2017-10-29</t>
        </is>
      </c>
      <c r="C94" s="2" t="inlineStr">
        <is>
          <t>equity</t>
        </is>
      </c>
      <c r="D94" s="2" t="inlineStr">
        <is>
          <t>equity</t>
        </is>
      </c>
      <c r="E94" s="2" t="inlineStr">
        <is>
          <t>2017-10-29</t>
        </is>
      </c>
      <c r="F94" s="3" t="n">
        <v>20285000000</v>
      </c>
      <c r="G94" s="8" t="b">
        <v>0</v>
      </c>
      <c r="H94" s="2" t="inlineStr"/>
      <c r="I94" s="8" t="b">
        <v>0</v>
      </c>
      <c r="J94" s="2" t="inlineStr">
        <is>
          <t>https://www.sec.gov/Archives/edgar/data/1730168/000173016818000084/0001730168-18-000084-index.html</t>
        </is>
      </c>
      <c r="K94" s="2" t="inlineStr">
        <is>
          <t>USD</t>
        </is>
      </c>
    </row>
    <row r="95" ht="42" customHeight="1">
      <c r="A95" s="2" t="inlineStr">
        <is>
          <t>tangible-book-value</t>
        </is>
      </c>
      <c r="B95" s="2" t="inlineStr">
        <is>
          <t>2017-10-29</t>
        </is>
      </c>
      <c r="C95" s="2" t="inlineStr">
        <is>
          <t>preferred</t>
        </is>
      </c>
      <c r="D95" s="2" t="inlineStr">
        <is>
          <t>preferred</t>
        </is>
      </c>
      <c r="E95" s="2" t="inlineStr">
        <is>
          <t>2017-10-29</t>
        </is>
      </c>
      <c r="F95" s="3" t="n">
        <v>0</v>
      </c>
      <c r="G95" s="8" t="b">
        <v>0</v>
      </c>
      <c r="H95" s="2" t="inlineStr"/>
      <c r="I95" s="8" t="b">
        <v>0</v>
      </c>
      <c r="J95" s="2" t="inlineStr">
        <is>
          <t>https://www.sec.gov/Archives/edgar/data/1730168/000173016818000084/0001730168-18-000084-index.html</t>
        </is>
      </c>
      <c r="K95" s="2" t="inlineStr">
        <is>
          <t>USD</t>
        </is>
      </c>
    </row>
    <row r="96" ht="42" customHeight="1">
      <c r="A96" s="2" t="inlineStr">
        <is>
          <t>tangible-book-value</t>
        </is>
      </c>
      <c r="B96" s="2" t="inlineStr">
        <is>
          <t>2017-10-29</t>
        </is>
      </c>
      <c r="C96" s="2" t="inlineStr">
        <is>
          <t>goodwill</t>
        </is>
      </c>
      <c r="D96" s="2" t="inlineStr">
        <is>
          <t>goodwill</t>
        </is>
      </c>
      <c r="E96" s="2" t="inlineStr">
        <is>
          <t>2017-10-29</t>
        </is>
      </c>
      <c r="F96" s="3" t="n">
        <v>24706000000</v>
      </c>
      <c r="G96" s="8" t="b">
        <v>0</v>
      </c>
      <c r="H96" s="2" t="inlineStr"/>
      <c r="I96" s="8" t="b">
        <v>0</v>
      </c>
      <c r="J96" s="2" t="inlineStr">
        <is>
          <t>https://www.sec.gov/Archives/edgar/data/1730168/000173016819000144/0001730168-19-000144-index.html</t>
        </is>
      </c>
      <c r="K96" s="2" t="inlineStr">
        <is>
          <t>USD</t>
        </is>
      </c>
    </row>
    <row r="97" ht="42" customHeight="1">
      <c r="A97" s="2" t="inlineStr">
        <is>
          <t>tangible-book-value</t>
        </is>
      </c>
      <c r="B97" s="2" t="inlineStr">
        <is>
          <t>2017-10-29</t>
        </is>
      </c>
      <c r="C97" s="2" t="inlineStr">
        <is>
          <t>intangibles</t>
        </is>
      </c>
      <c r="D97" s="2" t="inlineStr">
        <is>
          <t>intangibles</t>
        </is>
      </c>
      <c r="E97" s="2" t="inlineStr">
        <is>
          <t>2017-10-29</t>
        </is>
      </c>
      <c r="F97" s="3" t="n">
        <v>10832000000</v>
      </c>
      <c r="G97" s="8" t="b">
        <v>0</v>
      </c>
      <c r="H97" s="2" t="inlineStr"/>
      <c r="I97" s="8" t="b">
        <v>0</v>
      </c>
      <c r="J97" s="2" t="inlineStr">
        <is>
          <t>https://www.sec.gov/Archives/edgar/data/1730168/000173016818000084/0001730168-18-000084-index.html</t>
        </is>
      </c>
      <c r="K97" s="2" t="inlineStr">
        <is>
          <t>USD</t>
        </is>
      </c>
    </row>
    <row r="98" ht="42" customHeight="1">
      <c r="A98" s="2" t="inlineStr">
        <is>
          <t>ncav</t>
        </is>
      </c>
      <c r="B98" s="2" t="inlineStr">
        <is>
          <t>2017-10-29</t>
        </is>
      </c>
      <c r="C98" s="2" t="inlineStr">
        <is>
          <t>current_assets</t>
        </is>
      </c>
      <c r="D98" s="2" t="inlineStr">
        <is>
          <t>current_assets</t>
        </is>
      </c>
      <c r="E98" s="2" t="inlineStr">
        <is>
          <t>2017-10-29</t>
        </is>
      </c>
      <c r="F98" s="3" t="n">
        <v>15823000000</v>
      </c>
      <c r="G98" s="8" t="b">
        <v>0</v>
      </c>
      <c r="H98" s="2" t="inlineStr"/>
      <c r="I98" s="8" t="b">
        <v>0</v>
      </c>
      <c r="J98" s="2" t="inlineStr">
        <is>
          <t>https://www.sec.gov/Archives/edgar/data/1730168/000173016818000084/0001730168-18-000084-index.html</t>
        </is>
      </c>
      <c r="K98" s="2" t="inlineStr">
        <is>
          <t>USD</t>
        </is>
      </c>
    </row>
    <row r="99" ht="42" customHeight="1">
      <c r="A99" s="2" t="inlineStr">
        <is>
          <t>ncav</t>
        </is>
      </c>
      <c r="B99" s="2" t="inlineStr">
        <is>
          <t>2017-10-29</t>
        </is>
      </c>
      <c r="C99" s="2" t="inlineStr">
        <is>
          <t>total_liabilities</t>
        </is>
      </c>
      <c r="D99" s="2" t="inlineStr">
        <is>
          <t>total_liabilities</t>
        </is>
      </c>
      <c r="E99" s="2" t="inlineStr">
        <is>
          <t>2017-10-29</t>
        </is>
      </c>
      <c r="F99" s="3" t="n">
        <v>31232000000</v>
      </c>
      <c r="G99" s="8" t="b">
        <v>0</v>
      </c>
      <c r="H99" s="2" t="inlineStr"/>
      <c r="I99" s="8" t="b">
        <v>0</v>
      </c>
      <c r="J99" s="2" t="inlineStr">
        <is>
          <t>https://www.sec.gov/Archives/edgar/data/1730168/000173016818000084/0001730168-18-000084-index.html</t>
        </is>
      </c>
      <c r="K99" s="2" t="inlineStr">
        <is>
          <t>USD</t>
        </is>
      </c>
    </row>
    <row r="100" ht="42" customHeight="1">
      <c r="A100" s="2" t="inlineStr">
        <is>
          <t>ncav</t>
        </is>
      </c>
      <c r="B100" s="2" t="inlineStr">
        <is>
          <t>2017-10-29</t>
        </is>
      </c>
      <c r="C100" s="2" t="inlineStr">
        <is>
          <t>preferred</t>
        </is>
      </c>
      <c r="D100" s="2" t="inlineStr">
        <is>
          <t>preferred</t>
        </is>
      </c>
      <c r="E100" s="2" t="inlineStr">
        <is>
          <t>2017-10-29</t>
        </is>
      </c>
      <c r="F100" s="3" t="n">
        <v>0</v>
      </c>
      <c r="G100" s="8" t="b">
        <v>0</v>
      </c>
      <c r="H100" s="2" t="inlineStr"/>
      <c r="I100" s="8" t="b">
        <v>0</v>
      </c>
      <c r="J100" s="2" t="inlineStr">
        <is>
          <t>https://www.sec.gov/Archives/edgar/data/1730168/000173016818000084/0001730168-18-000084-index.html</t>
        </is>
      </c>
      <c r="K100" s="2" t="inlineStr">
        <is>
          <t>USD</t>
        </is>
      </c>
    </row>
    <row r="101" ht="42" customHeight="1">
      <c r="A101" s="2" t="inlineStr">
        <is>
          <t>dilution</t>
        </is>
      </c>
      <c r="B101" s="2" t="inlineStr">
        <is>
          <t>2017-10-29</t>
        </is>
      </c>
      <c r="C101" s="2" t="inlineStr">
        <is>
          <t>diluted_avg_shares</t>
        </is>
      </c>
      <c r="D101" s="2" t="inlineStr">
        <is>
          <t>diluted_avg_shares</t>
        </is>
      </c>
      <c r="E101" s="2" t="inlineStr">
        <is>
          <t>2017-10-29</t>
        </is>
      </c>
      <c r="F101" s="3" t="n">
        <v>4210000000</v>
      </c>
      <c r="G101" s="8" t="b">
        <v>0</v>
      </c>
      <c r="H101" s="2" t="inlineStr"/>
      <c r="I101" s="8" t="b">
        <v>0</v>
      </c>
      <c r="J101" s="2" t="inlineStr">
        <is>
          <t>https://www.sec.gov/Archives/edgar/data/1730168/000173016819000144/0001730168-19-000144-index.html</t>
        </is>
      </c>
      <c r="K101" s="2" t="inlineStr">
        <is>
          <t>shares</t>
        </is>
      </c>
    </row>
    <row r="102" ht="42" customHeight="1">
      <c r="A102" s="2" t="inlineStr">
        <is>
          <t>dilution</t>
        </is>
      </c>
      <c r="B102" s="2" t="inlineStr">
        <is>
          <t>2017-10-29</t>
        </is>
      </c>
      <c r="C102" s="2" t="inlineStr">
        <is>
          <t>previous_shares</t>
        </is>
      </c>
      <c r="D102" s="2" t="inlineStr">
        <is>
          <t>diluted_avg_shares</t>
        </is>
      </c>
      <c r="E102" s="2" t="inlineStr">
        <is>
          <t>2016-10-30</t>
        </is>
      </c>
      <c r="F102" s="3" t="n">
        <v>3830000000</v>
      </c>
      <c r="G102" s="8" t="b">
        <v>0</v>
      </c>
      <c r="H102" s="2" t="inlineStr"/>
      <c r="I102" s="8" t="b">
        <v>0</v>
      </c>
      <c r="J102" s="2" t="inlineStr">
        <is>
          <t>https://www.sec.gov/Archives/edgar/data/1730168/000173016818000084/0001730168-18-000084-index.html</t>
        </is>
      </c>
      <c r="K102" s="2" t="inlineStr">
        <is>
          <t>shares</t>
        </is>
      </c>
    </row>
    <row r="103" ht="42" customHeight="1">
      <c r="A103" s="2" t="inlineStr">
        <is>
          <t>sbc-to-revenue</t>
        </is>
      </c>
      <c r="B103" s="2" t="inlineStr">
        <is>
          <t>2017-10-29</t>
        </is>
      </c>
      <c r="C103" s="2" t="inlineStr">
        <is>
          <t>sbc</t>
        </is>
      </c>
      <c r="D103" s="2" t="inlineStr">
        <is>
          <t>sbc</t>
        </is>
      </c>
      <c r="E103" s="2" t="inlineStr">
        <is>
          <t>2017-10-29</t>
        </is>
      </c>
      <c r="F103" s="3" t="n">
        <v>921000000</v>
      </c>
      <c r="G103" s="8" t="b">
        <v>0</v>
      </c>
      <c r="H103" s="2" t="inlineStr"/>
      <c r="I103" s="8" t="b">
        <v>0</v>
      </c>
      <c r="J103" s="2" t="inlineStr">
        <is>
          <t>https://www.sec.gov/Archives/edgar/data/1730168/000173016819000144/0001730168-19-000144-index.html</t>
        </is>
      </c>
      <c r="K103" s="2" t="inlineStr">
        <is>
          <t>USD</t>
        </is>
      </c>
    </row>
    <row r="104" ht="42" customHeight="1">
      <c r="A104" s="2" t="inlineStr">
        <is>
          <t>sbc-to-revenue</t>
        </is>
      </c>
      <c r="B104" s="2" t="inlineStr">
        <is>
          <t>2017-10-29</t>
        </is>
      </c>
      <c r="C104" s="2" t="inlineStr">
        <is>
          <t>revenue</t>
        </is>
      </c>
      <c r="D104" s="2" t="inlineStr">
        <is>
          <t>revenue</t>
        </is>
      </c>
      <c r="E104" s="2" t="inlineStr">
        <is>
          <t>2017-10-29</t>
        </is>
      </c>
      <c r="F104" s="3" t="n">
        <v>17636000000</v>
      </c>
      <c r="G104" s="8" t="b">
        <v>0</v>
      </c>
      <c r="H104" s="2" t="inlineStr"/>
      <c r="I104" s="8" t="b">
        <v>0</v>
      </c>
      <c r="J104" s="2" t="inlineStr">
        <is>
          <t>https://www.sec.gov/Archives/edgar/data/1730168/000173016818000084/0001730168-18-000084-index.html</t>
        </is>
      </c>
      <c r="K104" s="2" t="inlineStr">
        <is>
          <t>USD</t>
        </is>
      </c>
    </row>
    <row r="105" ht="42" customHeight="1">
      <c r="A105" s="2" t="inlineStr">
        <is>
          <t>eps</t>
        </is>
      </c>
      <c r="B105" s="2" t="inlineStr">
        <is>
          <t>2017-10-29</t>
        </is>
      </c>
      <c r="C105" s="2" t="inlineStr">
        <is>
          <t>eps_diluted</t>
        </is>
      </c>
      <c r="D105" s="2" t="inlineStr">
        <is>
          <t>eps_diluted</t>
        </is>
      </c>
      <c r="E105" s="2" t="inlineStr">
        <is>
          <t>2017-10-29</t>
        </is>
      </c>
      <c r="F105" s="3" t="n">
        <v>0.402</v>
      </c>
      <c r="G105" s="8" t="b">
        <v>0</v>
      </c>
      <c r="H105" s="2" t="inlineStr"/>
      <c r="I105" s="8" t="b">
        <v>0</v>
      </c>
      <c r="J105" s="2" t="inlineStr">
        <is>
          <t>https://www.sec.gov/Archives/edgar/data/1730168/000173016819000144/0001730168-19-000144-index.html</t>
        </is>
      </c>
      <c r="K105" s="2" t="inlineStr">
        <is>
          <t>USD per share</t>
        </is>
      </c>
    </row>
    <row r="106" ht="42" customHeight="1">
      <c r="A106" s="2" t="inlineStr">
        <is>
          <t>revenue-growth</t>
        </is>
      </c>
      <c r="B106" s="2" t="inlineStr">
        <is>
          <t>2018-11-04</t>
        </is>
      </c>
      <c r="C106" s="2" t="inlineStr">
        <is>
          <t>revenue</t>
        </is>
      </c>
      <c r="D106" s="2" t="inlineStr">
        <is>
          <t>revenue</t>
        </is>
      </c>
      <c r="E106" s="2" t="inlineStr">
        <is>
          <t>2018-11-04</t>
        </is>
      </c>
      <c r="F106" s="3" t="n">
        <v>20454641509.43396</v>
      </c>
      <c r="G106" s="8" t="b">
        <v>0</v>
      </c>
      <c r="H106" s="2" t="inlineStr"/>
      <c r="I106" s="8" t="b">
        <v>0</v>
      </c>
      <c r="J106" s="2" t="inlineStr">
        <is>
          <t>https://www.sec.gov/Archives/edgar/data/1730168/000173016818000084/0001730168-18-000084-index.html
Transformed calculation input: differs from the raw filing value; see formula and flags.</t>
        </is>
      </c>
      <c r="K106" s="2" t="inlineStr">
        <is>
          <t>USD</t>
        </is>
      </c>
    </row>
    <row r="107" ht="42" customHeight="1">
      <c r="A107" s="2" t="inlineStr">
        <is>
          <t>revenue-growth</t>
        </is>
      </c>
      <c r="B107" s="2" t="inlineStr">
        <is>
          <t>2018-11-04</t>
        </is>
      </c>
      <c r="C107" s="2" t="inlineStr">
        <is>
          <t>previous_revenue</t>
        </is>
      </c>
      <c r="D107" s="2" t="inlineStr">
        <is>
          <t>revenue</t>
        </is>
      </c>
      <c r="E107" s="2" t="inlineStr">
        <is>
          <t>2017-10-29</t>
        </is>
      </c>
      <c r="F107" s="3" t="n">
        <v>17636000000</v>
      </c>
      <c r="G107" s="8" t="b">
        <v>0</v>
      </c>
      <c r="H107" s="2" t="inlineStr"/>
      <c r="I107" s="8" t="b">
        <v>0</v>
      </c>
      <c r="J107" s="2" t="inlineStr">
        <is>
          <t>https://www.sec.gov/Archives/edgar/data/1730168/000173016818000084/0001730168-18-000084-index.html</t>
        </is>
      </c>
      <c r="K107" s="2" t="inlineStr">
        <is>
          <t>USD</t>
        </is>
      </c>
    </row>
    <row r="108" ht="42" customHeight="1">
      <c r="A108" s="2" t="inlineStr">
        <is>
          <t>gross-margin</t>
        </is>
      </c>
      <c r="B108" s="2" t="inlineStr">
        <is>
          <t>2018-11-04</t>
        </is>
      </c>
      <c r="C108" s="2" t="inlineStr">
        <is>
          <t>gross_profit</t>
        </is>
      </c>
      <c r="D108" s="2" t="inlineStr">
        <is>
          <t>gross_profit</t>
        </is>
      </c>
      <c r="E108" s="2" t="inlineStr">
        <is>
          <t>2018-11-04</t>
        </is>
      </c>
      <c r="F108" s="3" t="n">
        <v>10733000000</v>
      </c>
      <c r="G108" s="8" t="b">
        <v>0</v>
      </c>
      <c r="H108" s="2" t="inlineStr"/>
      <c r="I108" s="8" t="b">
        <v>0</v>
      </c>
      <c r="J108" s="2" t="inlineStr">
        <is>
          <t>https://www.sec.gov/Archives/edgar/data/1730168/000173016820000226/0001730168-20-000226-index.html</t>
        </is>
      </c>
      <c r="K108" s="2" t="inlineStr">
        <is>
          <t>USD</t>
        </is>
      </c>
    </row>
    <row r="109" ht="42" customHeight="1">
      <c r="A109" s="2" t="inlineStr">
        <is>
          <t>gross-margin</t>
        </is>
      </c>
      <c r="B109" s="2" t="inlineStr">
        <is>
          <t>2018-11-04</t>
        </is>
      </c>
      <c r="C109" s="2" t="inlineStr">
        <is>
          <t>revenue</t>
        </is>
      </c>
      <c r="D109" s="2" t="inlineStr">
        <is>
          <t>revenue</t>
        </is>
      </c>
      <c r="E109" s="2" t="inlineStr">
        <is>
          <t>2018-11-04</t>
        </is>
      </c>
      <c r="F109" s="3" t="n">
        <v>20848000000</v>
      </c>
      <c r="G109" s="8" t="b">
        <v>0</v>
      </c>
      <c r="H109" s="2" t="inlineStr"/>
      <c r="I109" s="8" t="b">
        <v>0</v>
      </c>
      <c r="J109" s="2" t="inlineStr">
        <is>
          <t>https://www.sec.gov/Archives/edgar/data/1730168/000173016818000084/0001730168-18-000084-index.html</t>
        </is>
      </c>
      <c r="K109" s="2" t="inlineStr">
        <is>
          <t>USD</t>
        </is>
      </c>
    </row>
    <row r="110" ht="42" customHeight="1">
      <c r="A110" s="2" t="inlineStr">
        <is>
          <t>operating-margin</t>
        </is>
      </c>
      <c r="B110" s="2" t="inlineStr">
        <is>
          <t>2018-11-04</t>
        </is>
      </c>
      <c r="C110" s="2" t="inlineStr">
        <is>
          <t>operating_income</t>
        </is>
      </c>
      <c r="D110" s="2" t="inlineStr">
        <is>
          <t>operating_income</t>
        </is>
      </c>
      <c r="E110" s="2" t="inlineStr">
        <is>
          <t>2018-11-04</t>
        </is>
      </c>
      <c r="F110" s="3" t="n">
        <v>5135000000</v>
      </c>
      <c r="G110" s="8" t="b">
        <v>0</v>
      </c>
      <c r="H110" s="2" t="inlineStr"/>
      <c r="I110" s="8" t="b">
        <v>0</v>
      </c>
      <c r="J110" s="2" t="inlineStr">
        <is>
          <t>https://www.sec.gov/Archives/edgar/data/1730168/000173016820000226/0001730168-20-000226-index.html</t>
        </is>
      </c>
      <c r="K110" s="2" t="inlineStr">
        <is>
          <t>USD</t>
        </is>
      </c>
    </row>
    <row r="111" ht="42" customHeight="1">
      <c r="A111" s="2" t="inlineStr">
        <is>
          <t>operating-margin</t>
        </is>
      </c>
      <c r="B111" s="2" t="inlineStr">
        <is>
          <t>2018-11-04</t>
        </is>
      </c>
      <c r="C111" s="2" t="inlineStr">
        <is>
          <t>revenue</t>
        </is>
      </c>
      <c r="D111" s="2" t="inlineStr">
        <is>
          <t>revenue</t>
        </is>
      </c>
      <c r="E111" s="2" t="inlineStr">
        <is>
          <t>2018-11-04</t>
        </is>
      </c>
      <c r="F111" s="3" t="n">
        <v>20848000000</v>
      </c>
      <c r="G111" s="8" t="b">
        <v>0</v>
      </c>
      <c r="H111" s="2" t="inlineStr"/>
      <c r="I111" s="8" t="b">
        <v>0</v>
      </c>
      <c r="J111" s="2" t="inlineStr">
        <is>
          <t>https://www.sec.gov/Archives/edgar/data/1730168/000173016818000084/0001730168-18-000084-index.html</t>
        </is>
      </c>
      <c r="K111" s="2" t="inlineStr">
        <is>
          <t>USD</t>
        </is>
      </c>
    </row>
    <row r="112" ht="42" customHeight="1">
      <c r="A112" s="2" t="inlineStr">
        <is>
          <t>net-margin</t>
        </is>
      </c>
      <c r="B112" s="2" t="inlineStr">
        <is>
          <t>2018-11-04</t>
        </is>
      </c>
      <c r="C112" s="2" t="inlineStr">
        <is>
          <t>net_income</t>
        </is>
      </c>
      <c r="D112" s="2" t="inlineStr">
        <is>
          <t>net_income</t>
        </is>
      </c>
      <c r="E112" s="2" t="inlineStr">
        <is>
          <t>2018-11-04</t>
        </is>
      </c>
      <c r="F112" s="3" t="n">
        <v>12259000000</v>
      </c>
      <c r="G112" s="8" t="b">
        <v>0</v>
      </c>
      <c r="H112" s="2" t="inlineStr"/>
      <c r="I112" s="8" t="b">
        <v>0</v>
      </c>
      <c r="J112" s="2" t="inlineStr">
        <is>
          <t>https://www.sec.gov/Archives/edgar/data/1730168/000173016818000084/0001730168-18-000084-index.html</t>
        </is>
      </c>
      <c r="K112" s="2" t="inlineStr">
        <is>
          <t>USD</t>
        </is>
      </c>
    </row>
    <row r="113" ht="42" customHeight="1">
      <c r="A113" s="2" t="inlineStr">
        <is>
          <t>net-margin</t>
        </is>
      </c>
      <c r="B113" s="2" t="inlineStr">
        <is>
          <t>2018-11-04</t>
        </is>
      </c>
      <c r="C113" s="2" t="inlineStr">
        <is>
          <t>revenue</t>
        </is>
      </c>
      <c r="D113" s="2" t="inlineStr">
        <is>
          <t>revenue</t>
        </is>
      </c>
      <c r="E113" s="2" t="inlineStr">
        <is>
          <t>2018-11-04</t>
        </is>
      </c>
      <c r="F113" s="3" t="n">
        <v>20848000000</v>
      </c>
      <c r="G113" s="8" t="b">
        <v>0</v>
      </c>
      <c r="H113" s="2" t="inlineStr"/>
      <c r="I113" s="8" t="b">
        <v>0</v>
      </c>
      <c r="J113" s="2" t="inlineStr">
        <is>
          <t>https://www.sec.gov/Archives/edgar/data/1730168/000173016818000084/0001730168-18-000084-index.html</t>
        </is>
      </c>
      <c r="K113" s="2" t="inlineStr">
        <is>
          <t>USD</t>
        </is>
      </c>
    </row>
    <row r="114" ht="42" customHeight="1">
      <c r="A114" s="2" t="inlineStr">
        <is>
          <t>fcf</t>
        </is>
      </c>
      <c r="B114" s="2" t="inlineStr">
        <is>
          <t>2018-11-04</t>
        </is>
      </c>
      <c r="C114" s="2" t="inlineStr">
        <is>
          <t>ocf</t>
        </is>
      </c>
      <c r="D114" s="2" t="inlineStr">
        <is>
          <t>ocf</t>
        </is>
      </c>
      <c r="E114" s="2" t="inlineStr">
        <is>
          <t>2018-11-04</t>
        </is>
      </c>
      <c r="F114" s="3" t="n">
        <v>8880000000</v>
      </c>
      <c r="G114" s="8" t="b">
        <v>0</v>
      </c>
      <c r="H114" s="2" t="inlineStr"/>
      <c r="I114" s="8" t="b">
        <v>0</v>
      </c>
      <c r="J114" s="2" t="inlineStr">
        <is>
          <t>https://www.sec.gov/Archives/edgar/data/1730168/000173016820000226/0001730168-20-000226-index.html</t>
        </is>
      </c>
      <c r="K114" s="2" t="inlineStr">
        <is>
          <t>USD</t>
        </is>
      </c>
    </row>
    <row r="115" ht="42" customHeight="1">
      <c r="A115" s="2" t="inlineStr">
        <is>
          <t>fcf</t>
        </is>
      </c>
      <c r="B115" s="2" t="inlineStr">
        <is>
          <t>2018-11-04</t>
        </is>
      </c>
      <c r="C115" s="2" t="inlineStr">
        <is>
          <t>capex</t>
        </is>
      </c>
      <c r="D115" s="2" t="inlineStr">
        <is>
          <t>capex</t>
        </is>
      </c>
      <c r="E115" s="2" t="inlineStr">
        <is>
          <t>2018-11-04</t>
        </is>
      </c>
      <c r="F115" s="3" t="n">
        <v>635000000</v>
      </c>
      <c r="G115" s="8" t="b">
        <v>0</v>
      </c>
      <c r="H115" s="2" t="inlineStr"/>
      <c r="I115" s="8" t="b">
        <v>0</v>
      </c>
      <c r="J115" s="2" t="inlineStr">
        <is>
          <t>https://www.sec.gov/Archives/edgar/data/1730168/000173016820000226/0001730168-20-000226-index.html</t>
        </is>
      </c>
      <c r="K115" s="2" t="inlineStr">
        <is>
          <t>USD</t>
        </is>
      </c>
    </row>
    <row r="116" ht="42" customHeight="1">
      <c r="A116" s="2" t="inlineStr">
        <is>
          <t>fcf-margin</t>
        </is>
      </c>
      <c r="B116" s="2" t="inlineStr">
        <is>
          <t>2018-11-04</t>
        </is>
      </c>
      <c r="C116" s="2" t="inlineStr">
        <is>
          <t>ocf</t>
        </is>
      </c>
      <c r="D116" s="2" t="inlineStr">
        <is>
          <t>ocf</t>
        </is>
      </c>
      <c r="E116" s="2" t="inlineStr">
        <is>
          <t>2018-11-04</t>
        </is>
      </c>
      <c r="F116" s="3" t="n">
        <v>8880000000</v>
      </c>
      <c r="G116" s="8" t="b">
        <v>0</v>
      </c>
      <c r="H116" s="2" t="inlineStr"/>
      <c r="I116" s="8" t="b">
        <v>0</v>
      </c>
      <c r="J116" s="2" t="inlineStr">
        <is>
          <t>https://www.sec.gov/Archives/edgar/data/1730168/000173016820000226/0001730168-20-000226-index.html</t>
        </is>
      </c>
      <c r="K116" s="2" t="inlineStr">
        <is>
          <t>USD</t>
        </is>
      </c>
    </row>
    <row r="117" ht="42" customHeight="1">
      <c r="A117" s="2" t="inlineStr">
        <is>
          <t>fcf-margin</t>
        </is>
      </c>
      <c r="B117" s="2" t="inlineStr">
        <is>
          <t>2018-11-04</t>
        </is>
      </c>
      <c r="C117" s="2" t="inlineStr">
        <is>
          <t>capex</t>
        </is>
      </c>
      <c r="D117" s="2" t="inlineStr">
        <is>
          <t>capex</t>
        </is>
      </c>
      <c r="E117" s="2" t="inlineStr">
        <is>
          <t>2018-11-04</t>
        </is>
      </c>
      <c r="F117" s="3" t="n">
        <v>635000000</v>
      </c>
      <c r="G117" s="8" t="b">
        <v>0</v>
      </c>
      <c r="H117" s="2" t="inlineStr"/>
      <c r="I117" s="8" t="b">
        <v>0</v>
      </c>
      <c r="J117" s="2" t="inlineStr">
        <is>
          <t>https://www.sec.gov/Archives/edgar/data/1730168/000173016820000226/0001730168-20-000226-index.html</t>
        </is>
      </c>
      <c r="K117" s="2" t="inlineStr">
        <is>
          <t>USD</t>
        </is>
      </c>
    </row>
    <row r="118" ht="42" customHeight="1">
      <c r="A118" s="2" t="inlineStr">
        <is>
          <t>fcf-margin</t>
        </is>
      </c>
      <c r="B118" s="2" t="inlineStr">
        <is>
          <t>2018-11-04</t>
        </is>
      </c>
      <c r="C118" s="2" t="inlineStr">
        <is>
          <t>revenue</t>
        </is>
      </c>
      <c r="D118" s="2" t="inlineStr">
        <is>
          <t>revenue</t>
        </is>
      </c>
      <c r="E118" s="2" t="inlineStr">
        <is>
          <t>2018-11-04</t>
        </is>
      </c>
      <c r="F118" s="3" t="n">
        <v>20848000000</v>
      </c>
      <c r="G118" s="8" t="b">
        <v>0</v>
      </c>
      <c r="H118" s="2" t="inlineStr"/>
      <c r="I118" s="8" t="b">
        <v>0</v>
      </c>
      <c r="J118" s="2" t="inlineStr">
        <is>
          <t>https://www.sec.gov/Archives/edgar/data/1730168/000173016818000084/0001730168-18-000084-index.html</t>
        </is>
      </c>
      <c r="K118" s="2" t="inlineStr">
        <is>
          <t>USD</t>
        </is>
      </c>
    </row>
    <row r="119" ht="42" customHeight="1">
      <c r="A119" s="2" t="inlineStr">
        <is>
          <t>fcff</t>
        </is>
      </c>
      <c r="B119" s="2" t="inlineStr">
        <is>
          <t>2018-11-04</t>
        </is>
      </c>
      <c r="C119" s="2" t="inlineStr">
        <is>
          <t>ocf</t>
        </is>
      </c>
      <c r="D119" s="2" t="inlineStr">
        <is>
          <t>ocf</t>
        </is>
      </c>
      <c r="E119" s="2" t="inlineStr">
        <is>
          <t>2018-11-04</t>
        </is>
      </c>
      <c r="F119" s="3" t="n">
        <v>8880000000</v>
      </c>
      <c r="G119" s="8" t="b">
        <v>0</v>
      </c>
      <c r="H119" s="2" t="inlineStr"/>
      <c r="I119" s="8" t="b">
        <v>0</v>
      </c>
      <c r="J119" s="2" t="inlineStr">
        <is>
          <t>https://www.sec.gov/Archives/edgar/data/1730168/000173016820000226/0001730168-20-000226-index.html</t>
        </is>
      </c>
      <c r="K119" s="2" t="inlineStr">
        <is>
          <t>USD</t>
        </is>
      </c>
    </row>
    <row r="120" ht="42" customHeight="1">
      <c r="A120" s="2" t="inlineStr">
        <is>
          <t>fcff</t>
        </is>
      </c>
      <c r="B120" s="2" t="inlineStr">
        <is>
          <t>2018-11-04</t>
        </is>
      </c>
      <c r="C120" s="2" t="inlineStr">
        <is>
          <t>capex</t>
        </is>
      </c>
      <c r="D120" s="2" t="inlineStr">
        <is>
          <t>capex</t>
        </is>
      </c>
      <c r="E120" s="2" t="inlineStr">
        <is>
          <t>2018-11-04</t>
        </is>
      </c>
      <c r="F120" s="3" t="n">
        <v>635000000</v>
      </c>
      <c r="G120" s="8" t="b">
        <v>0</v>
      </c>
      <c r="H120" s="2" t="inlineStr"/>
      <c r="I120" s="8" t="b">
        <v>0</v>
      </c>
      <c r="J120" s="2" t="inlineStr">
        <is>
          <t>https://www.sec.gov/Archives/edgar/data/1730168/000173016820000226/0001730168-20-000226-index.html</t>
        </is>
      </c>
      <c r="K120" s="2" t="inlineStr">
        <is>
          <t>USD</t>
        </is>
      </c>
    </row>
    <row r="121" ht="42" customHeight="1">
      <c r="A121" s="2" t="inlineStr">
        <is>
          <t>fcff</t>
        </is>
      </c>
      <c r="B121" s="2" t="inlineStr">
        <is>
          <t>2018-11-04</t>
        </is>
      </c>
      <c r="C121" s="2" t="inlineStr">
        <is>
          <t>interest_expense</t>
        </is>
      </c>
      <c r="D121" s="2" t="inlineStr">
        <is>
          <t>interest_expense</t>
        </is>
      </c>
      <c r="E121" s="2" t="inlineStr">
        <is>
          <t>2018-11-04</t>
        </is>
      </c>
      <c r="F121" s="3" t="n">
        <v>628000000</v>
      </c>
      <c r="G121" s="8" t="b">
        <v>0</v>
      </c>
      <c r="H121" s="2" t="inlineStr"/>
      <c r="I121" s="8" t="b">
        <v>0</v>
      </c>
      <c r="J121" s="2" t="inlineStr">
        <is>
          <t>https://www.sec.gov/Archives/edgar/data/1730168/000173016820000226/0001730168-20-000226-index.html</t>
        </is>
      </c>
      <c r="K121" s="2" t="inlineStr">
        <is>
          <t>USD</t>
        </is>
      </c>
    </row>
    <row r="122" ht="42" customHeight="1">
      <c r="A122" s="2" t="inlineStr">
        <is>
          <t>fcff</t>
        </is>
      </c>
      <c r="B122" s="2" t="inlineStr">
        <is>
          <t>2018-11-04</t>
        </is>
      </c>
      <c r="C122" s="2" t="inlineStr">
        <is>
          <t>tax_rate</t>
        </is>
      </c>
      <c r="D122" s="2" t="inlineStr">
        <is>
          <t>tax_rate</t>
        </is>
      </c>
      <c r="E122" s="2" t="inlineStr">
        <is>
          <t>2018-11-04</t>
        </is>
      </c>
      <c r="F122" s="3" t="n">
        <v>0</v>
      </c>
      <c r="G122" s="8" t="b">
        <v>0</v>
      </c>
      <c r="H122" s="2" t="inlineStr"/>
      <c r="I122" s="8" t="b">
        <v>0</v>
      </c>
      <c r="J122" s="2" t="inlineStr">
        <is>
          <t>Derived or model input; see parent calculation formula and model assumptions.</t>
        </is>
      </c>
      <c r="K122" s="2" t="inlineStr">
        <is>
          <t>ratio (decimal)</t>
        </is>
      </c>
    </row>
    <row r="123" ht="42" customHeight="1">
      <c r="A123" s="2" t="inlineStr">
        <is>
          <t>fcff</t>
        </is>
      </c>
      <c r="B123" s="2" t="inlineStr">
        <is>
          <t>2018-11-04</t>
        </is>
      </c>
      <c r="C123" s="2" t="inlineStr">
        <is>
          <t>sbc</t>
        </is>
      </c>
      <c r="D123" s="2" t="inlineStr">
        <is>
          <t>sbc</t>
        </is>
      </c>
      <c r="E123" s="2" t="inlineStr">
        <is>
          <t>2018-11-04</t>
        </is>
      </c>
      <c r="F123" s="3" t="n">
        <v>1227000000</v>
      </c>
      <c r="G123" s="8" t="b">
        <v>0</v>
      </c>
      <c r="H123" s="2" t="inlineStr"/>
      <c r="I123" s="8" t="b">
        <v>0</v>
      </c>
      <c r="J123" s="2" t="inlineStr">
        <is>
          <t>https://www.sec.gov/Archives/edgar/data/1730168/000173016820000226/0001730168-20-000226-index.html</t>
        </is>
      </c>
      <c r="K123" s="2" t="inlineStr">
        <is>
          <t>USD</t>
        </is>
      </c>
    </row>
    <row r="124" ht="42" customHeight="1">
      <c r="A124" s="2" t="inlineStr">
        <is>
          <t>fcfe</t>
        </is>
      </c>
      <c r="B124" s="2" t="inlineStr">
        <is>
          <t>2018-11-04</t>
        </is>
      </c>
      <c r="C124" s="2" t="inlineStr">
        <is>
          <t>net_income</t>
        </is>
      </c>
      <c r="D124" s="2" t="inlineStr">
        <is>
          <t>net_income</t>
        </is>
      </c>
      <c r="E124" s="2" t="inlineStr">
        <is>
          <t>2018-11-04</t>
        </is>
      </c>
      <c r="F124" s="3" t="n">
        <v>12259000000</v>
      </c>
      <c r="G124" s="8" t="b">
        <v>0</v>
      </c>
      <c r="H124" s="2" t="inlineStr"/>
      <c r="I124" s="8" t="b">
        <v>0</v>
      </c>
      <c r="J124" s="2" t="inlineStr">
        <is>
          <t>https://www.sec.gov/Archives/edgar/data/1730168/000173016818000084/0001730168-18-000084-index.html</t>
        </is>
      </c>
      <c r="K124" s="2" t="inlineStr">
        <is>
          <t>USD</t>
        </is>
      </c>
    </row>
    <row r="125" ht="42" customHeight="1">
      <c r="A125" s="2" t="inlineStr">
        <is>
          <t>fcfe</t>
        </is>
      </c>
      <c r="B125" s="2" t="inlineStr">
        <is>
          <t>2018-11-04</t>
        </is>
      </c>
      <c r="C125" s="2" t="inlineStr">
        <is>
          <t>d_and_a</t>
        </is>
      </c>
      <c r="D125" s="2" t="inlineStr">
        <is>
          <t>d_and_a</t>
        </is>
      </c>
      <c r="E125" s="2" t="inlineStr">
        <is>
          <t>2018-11-04</t>
        </is>
      </c>
      <c r="F125" s="3" t="n">
        <v>4081000000</v>
      </c>
      <c r="G125" s="8" t="b">
        <v>0</v>
      </c>
      <c r="H125" s="2" t="inlineStr"/>
      <c r="I125" s="8" t="b">
        <v>0</v>
      </c>
      <c r="J125" s="2" t="inlineStr">
        <is>
          <t>https://www.sec.gov/Archives/edgar/data/1730168/000173016820000226/0001730168-20-000226-index.html
https://www.sec.gov/Archives/edgar/data/1730168/000173016819000144/0001730168-19-000144-index.html</t>
        </is>
      </c>
      <c r="K125" s="2" t="inlineStr">
        <is>
          <t>USD</t>
        </is>
      </c>
    </row>
    <row r="126" ht="42" customHeight="1">
      <c r="A126" s="2" t="inlineStr">
        <is>
          <t>fcfe</t>
        </is>
      </c>
      <c r="B126" s="2" t="inlineStr">
        <is>
          <t>2018-11-04</t>
        </is>
      </c>
      <c r="C126" s="2" t="inlineStr">
        <is>
          <t>capex</t>
        </is>
      </c>
      <c r="D126" s="2" t="inlineStr">
        <is>
          <t>capex</t>
        </is>
      </c>
      <c r="E126" s="2" t="inlineStr">
        <is>
          <t>2018-11-04</t>
        </is>
      </c>
      <c r="F126" s="3" t="n">
        <v>635000000</v>
      </c>
      <c r="G126" s="8" t="b">
        <v>0</v>
      </c>
      <c r="H126" s="2" t="inlineStr"/>
      <c r="I126" s="8" t="b">
        <v>0</v>
      </c>
      <c r="J126" s="2" t="inlineStr">
        <is>
          <t>https://www.sec.gov/Archives/edgar/data/1730168/000173016820000226/0001730168-20-000226-index.html</t>
        </is>
      </c>
      <c r="K126" s="2" t="inlineStr">
        <is>
          <t>USD</t>
        </is>
      </c>
    </row>
    <row r="127" ht="42" customHeight="1">
      <c r="A127" s="2" t="inlineStr">
        <is>
          <t>fcfe</t>
        </is>
      </c>
      <c r="B127" s="2" t="inlineStr">
        <is>
          <t>2018-11-04</t>
        </is>
      </c>
      <c r="C127" s="2" t="inlineStr">
        <is>
          <t>change_in_owc</t>
        </is>
      </c>
      <c r="D127" s="2" t="inlineStr">
        <is>
          <t>change_in_owc</t>
        </is>
      </c>
      <c r="E127" s="2" t="inlineStr">
        <is>
          <t>2018-11-04</t>
        </is>
      </c>
      <c r="F127" s="3" t="n">
        <v>848000000</v>
      </c>
      <c r="G127" s="8" t="b">
        <v>0</v>
      </c>
      <c r="H127" s="2" t="inlineStr"/>
      <c r="I127" s="8" t="b">
        <v>0</v>
      </c>
      <c r="J127" s="2" t="inlineStr">
        <is>
          <t>Derived or model input; see parent calculation formula and model assumptions.</t>
        </is>
      </c>
      <c r="K127" s="2" t="inlineStr">
        <is>
          <t>USD</t>
        </is>
      </c>
    </row>
    <row r="128" ht="42" customHeight="1">
      <c r="A128" s="2" t="inlineStr">
        <is>
          <t>fcfe</t>
        </is>
      </c>
      <c r="B128" s="2" t="inlineStr">
        <is>
          <t>2018-11-04</t>
        </is>
      </c>
      <c r="C128" s="2" t="inlineStr">
        <is>
          <t>debt_issued</t>
        </is>
      </c>
      <c r="D128" s="2" t="inlineStr">
        <is>
          <t>debt_issued</t>
        </is>
      </c>
      <c r="E128" s="2" t="inlineStr">
        <is>
          <t>2018-11-04</t>
        </is>
      </c>
      <c r="F128" s="3" t="n">
        <v>0</v>
      </c>
      <c r="G128" s="8" t="b">
        <v>0</v>
      </c>
      <c r="H128" s="2" t="inlineStr"/>
      <c r="I128" s="8" t="b">
        <v>0</v>
      </c>
      <c r="J128" s="2" t="inlineStr">
        <is>
          <t>https://www.sec.gov/Archives/edgar/data/1730168/000173016820000226/0001730168-20-000226-index.html</t>
        </is>
      </c>
      <c r="K128" s="2" t="inlineStr">
        <is>
          <t>USD</t>
        </is>
      </c>
    </row>
    <row r="129" ht="42" customHeight="1">
      <c r="A129" s="2" t="inlineStr">
        <is>
          <t>fcfe</t>
        </is>
      </c>
      <c r="B129" s="2" t="inlineStr">
        <is>
          <t>2018-11-04</t>
        </is>
      </c>
      <c r="C129" s="2" t="inlineStr">
        <is>
          <t>debt_repaid</t>
        </is>
      </c>
      <c r="D129" s="2" t="inlineStr">
        <is>
          <t>debt_repaid</t>
        </is>
      </c>
      <c r="E129" s="2" t="inlineStr">
        <is>
          <t>2018-11-04</t>
        </is>
      </c>
      <c r="F129" s="3" t="n">
        <v>973000000</v>
      </c>
      <c r="G129" s="8" t="b">
        <v>0</v>
      </c>
      <c r="H129" s="2" t="inlineStr"/>
      <c r="I129" s="8" t="b">
        <v>0</v>
      </c>
      <c r="J129" s="2" t="inlineStr">
        <is>
          <t>https://www.sec.gov/Archives/edgar/data/1730168/000173016820000226/0001730168-20-000226-index.html</t>
        </is>
      </c>
      <c r="K129" s="2" t="inlineStr">
        <is>
          <t>USD</t>
        </is>
      </c>
    </row>
    <row r="130" ht="42" customHeight="1">
      <c r="A130" s="2" t="inlineStr">
        <is>
          <t>owner-earnings</t>
        </is>
      </c>
      <c r="B130" s="2" t="inlineStr">
        <is>
          <t>2018-11-04</t>
        </is>
      </c>
      <c r="C130" s="2" t="inlineStr">
        <is>
          <t>net_income</t>
        </is>
      </c>
      <c r="D130" s="2" t="inlineStr">
        <is>
          <t>net_income</t>
        </is>
      </c>
      <c r="E130" s="2" t="inlineStr">
        <is>
          <t>2018-11-04</t>
        </is>
      </c>
      <c r="F130" s="3" t="n">
        <v>12259000000</v>
      </c>
      <c r="G130" s="8" t="b">
        <v>0</v>
      </c>
      <c r="H130" s="2" t="inlineStr"/>
      <c r="I130" s="8" t="b">
        <v>0</v>
      </c>
      <c r="J130" s="2" t="inlineStr">
        <is>
          <t>https://www.sec.gov/Archives/edgar/data/1730168/000173016818000084/0001730168-18-000084-index.html</t>
        </is>
      </c>
      <c r="K130" s="2" t="inlineStr">
        <is>
          <t>USD</t>
        </is>
      </c>
    </row>
    <row r="131" ht="42" customHeight="1">
      <c r="A131" s="2" t="inlineStr">
        <is>
          <t>owner-earnings</t>
        </is>
      </c>
      <c r="B131" s="2" t="inlineStr">
        <is>
          <t>2018-11-04</t>
        </is>
      </c>
      <c r="C131" s="2" t="inlineStr">
        <is>
          <t>d_and_a</t>
        </is>
      </c>
      <c r="D131" s="2" t="inlineStr">
        <is>
          <t>d_and_a</t>
        </is>
      </c>
      <c r="E131" s="2" t="inlineStr">
        <is>
          <t>2018-11-04</t>
        </is>
      </c>
      <c r="F131" s="3" t="n">
        <v>4081000000</v>
      </c>
      <c r="G131" s="8" t="b">
        <v>0</v>
      </c>
      <c r="H131" s="2" t="inlineStr"/>
      <c r="I131" s="8" t="b">
        <v>0</v>
      </c>
      <c r="J131" s="2" t="inlineStr">
        <is>
          <t>https://www.sec.gov/Archives/edgar/data/1730168/000173016820000226/0001730168-20-000226-index.html
https://www.sec.gov/Archives/edgar/data/1730168/000173016819000144/0001730168-19-000144-index.html</t>
        </is>
      </c>
      <c r="K131" s="2" t="inlineStr">
        <is>
          <t>USD</t>
        </is>
      </c>
    </row>
    <row r="132" ht="42" customHeight="1">
      <c r="A132" s="2" t="inlineStr">
        <is>
          <t>owner-earnings</t>
        </is>
      </c>
      <c r="B132" s="2" t="inlineStr">
        <is>
          <t>2018-11-04</t>
        </is>
      </c>
      <c r="C132" s="2" t="inlineStr">
        <is>
          <t>change_in_owc</t>
        </is>
      </c>
      <c r="D132" s="2" t="inlineStr">
        <is>
          <t>change_in_owc</t>
        </is>
      </c>
      <c r="E132" s="2" t="inlineStr">
        <is>
          <t>2018-11-04</t>
        </is>
      </c>
      <c r="F132" s="3" t="n">
        <v>848000000</v>
      </c>
      <c r="G132" s="8" t="b">
        <v>0</v>
      </c>
      <c r="H132" s="2" t="inlineStr"/>
      <c r="I132" s="8" t="b">
        <v>0</v>
      </c>
      <c r="J132" s="2" t="inlineStr">
        <is>
          <t>Derived or model input; see parent calculation formula and model assumptions.</t>
        </is>
      </c>
      <c r="K132" s="2" t="inlineStr">
        <is>
          <t>USD</t>
        </is>
      </c>
    </row>
    <row r="133" ht="42" customHeight="1">
      <c r="A133" s="2" t="inlineStr">
        <is>
          <t>earnings-quality</t>
        </is>
      </c>
      <c r="B133" s="2" t="inlineStr">
        <is>
          <t>2018-11-04</t>
        </is>
      </c>
      <c r="C133" s="2" t="inlineStr">
        <is>
          <t>ocf</t>
        </is>
      </c>
      <c r="D133" s="2" t="inlineStr">
        <is>
          <t>ocf</t>
        </is>
      </c>
      <c r="E133" s="2" t="inlineStr">
        <is>
          <t>2018-11-04</t>
        </is>
      </c>
      <c r="F133" s="3" t="n">
        <v>8880000000</v>
      </c>
      <c r="G133" s="8" t="b">
        <v>0</v>
      </c>
      <c r="H133" s="2" t="inlineStr"/>
      <c r="I133" s="8" t="b">
        <v>0</v>
      </c>
      <c r="J133" s="2" t="inlineStr">
        <is>
          <t>https://www.sec.gov/Archives/edgar/data/1730168/000173016820000226/0001730168-20-000226-index.html</t>
        </is>
      </c>
      <c r="K133" s="2" t="inlineStr">
        <is>
          <t>USD</t>
        </is>
      </c>
    </row>
    <row r="134" ht="42" customHeight="1">
      <c r="A134" s="2" t="inlineStr">
        <is>
          <t>earnings-quality</t>
        </is>
      </c>
      <c r="B134" s="2" t="inlineStr">
        <is>
          <t>2018-11-04</t>
        </is>
      </c>
      <c r="C134" s="2" t="inlineStr">
        <is>
          <t>net_income</t>
        </is>
      </c>
      <c r="D134" s="2" t="inlineStr">
        <is>
          <t>net_income</t>
        </is>
      </c>
      <c r="E134" s="2" t="inlineStr">
        <is>
          <t>2018-11-04</t>
        </is>
      </c>
      <c r="F134" s="3" t="n">
        <v>12259000000</v>
      </c>
      <c r="G134" s="8" t="b">
        <v>0</v>
      </c>
      <c r="H134" s="2" t="inlineStr"/>
      <c r="I134" s="8" t="b">
        <v>0</v>
      </c>
      <c r="J134" s="2" t="inlineStr">
        <is>
          <t>https://www.sec.gov/Archives/edgar/data/1730168/000173016818000084/0001730168-18-000084-index.html</t>
        </is>
      </c>
      <c r="K134" s="2" t="inlineStr">
        <is>
          <t>USD</t>
        </is>
      </c>
    </row>
    <row r="135" ht="42" customHeight="1">
      <c r="A135" s="2" t="inlineStr">
        <is>
          <t>ebitda</t>
        </is>
      </c>
      <c r="B135" s="2" t="inlineStr">
        <is>
          <t>2018-11-04</t>
        </is>
      </c>
      <c r="C135" s="2" t="inlineStr">
        <is>
          <t>operating_income</t>
        </is>
      </c>
      <c r="D135" s="2" t="inlineStr">
        <is>
          <t>operating_income</t>
        </is>
      </c>
      <c r="E135" s="2" t="inlineStr">
        <is>
          <t>2018-11-04</t>
        </is>
      </c>
      <c r="F135" s="3" t="n">
        <v>5135000000</v>
      </c>
      <c r="G135" s="8" t="b">
        <v>0</v>
      </c>
      <c r="H135" s="2" t="inlineStr"/>
      <c r="I135" s="8" t="b">
        <v>0</v>
      </c>
      <c r="J135" s="2" t="inlineStr">
        <is>
          <t>https://www.sec.gov/Archives/edgar/data/1730168/000173016820000226/0001730168-20-000226-index.html</t>
        </is>
      </c>
      <c r="K135" s="2" t="inlineStr">
        <is>
          <t>USD</t>
        </is>
      </c>
    </row>
    <row r="136" ht="42" customHeight="1">
      <c r="A136" s="2" t="inlineStr">
        <is>
          <t>ebitda</t>
        </is>
      </c>
      <c r="B136" s="2" t="inlineStr">
        <is>
          <t>2018-11-04</t>
        </is>
      </c>
      <c r="C136" s="2" t="inlineStr">
        <is>
          <t>d_and_a</t>
        </is>
      </c>
      <c r="D136" s="2" t="inlineStr">
        <is>
          <t>d_and_a</t>
        </is>
      </c>
      <c r="E136" s="2" t="inlineStr">
        <is>
          <t>2018-11-04</t>
        </is>
      </c>
      <c r="F136" s="3" t="n">
        <v>4081000000</v>
      </c>
      <c r="G136" s="8" t="b">
        <v>0</v>
      </c>
      <c r="H136" s="2" t="inlineStr"/>
      <c r="I136" s="8" t="b">
        <v>0</v>
      </c>
      <c r="J136" s="2" t="inlineStr">
        <is>
          <t>https://www.sec.gov/Archives/edgar/data/1730168/000173016820000226/0001730168-20-000226-index.html
https://www.sec.gov/Archives/edgar/data/1730168/000173016819000144/0001730168-19-000144-index.html</t>
        </is>
      </c>
      <c r="K136" s="2" t="inlineStr">
        <is>
          <t>USD</t>
        </is>
      </c>
    </row>
    <row r="137" ht="42" customHeight="1">
      <c r="A137" s="2" t="inlineStr">
        <is>
          <t>nopat</t>
        </is>
      </c>
      <c r="B137" s="2" t="inlineStr">
        <is>
          <t>2018-11-04</t>
        </is>
      </c>
      <c r="C137" s="2" t="inlineStr">
        <is>
          <t>operating_income</t>
        </is>
      </c>
      <c r="D137" s="2" t="inlineStr">
        <is>
          <t>operating_income</t>
        </is>
      </c>
      <c r="E137" s="2" t="inlineStr">
        <is>
          <t>2018-11-04</t>
        </is>
      </c>
      <c r="F137" s="3" t="n">
        <v>5135000000</v>
      </c>
      <c r="G137" s="8" t="b">
        <v>0</v>
      </c>
      <c r="H137" s="2" t="inlineStr"/>
      <c r="I137" s="8" t="b">
        <v>0</v>
      </c>
      <c r="J137" s="2" t="inlineStr">
        <is>
          <t>https://www.sec.gov/Archives/edgar/data/1730168/000173016820000226/0001730168-20-000226-index.html</t>
        </is>
      </c>
      <c r="K137" s="2" t="inlineStr">
        <is>
          <t>USD</t>
        </is>
      </c>
    </row>
    <row r="138" ht="42" customHeight="1">
      <c r="A138" s="2" t="inlineStr">
        <is>
          <t>nopat</t>
        </is>
      </c>
      <c r="B138" s="2" t="inlineStr">
        <is>
          <t>2018-11-04</t>
        </is>
      </c>
      <c r="C138" s="2" t="inlineStr">
        <is>
          <t>tax_rate</t>
        </is>
      </c>
      <c r="D138" s="2" t="inlineStr">
        <is>
          <t>tax_rate</t>
        </is>
      </c>
      <c r="E138" s="2" t="inlineStr">
        <is>
          <t>2018-11-04</t>
        </is>
      </c>
      <c r="F138" s="3" t="n">
        <v>0</v>
      </c>
      <c r="G138" s="8" t="b">
        <v>0</v>
      </c>
      <c r="H138" s="2" t="inlineStr"/>
      <c r="I138" s="8" t="b">
        <v>0</v>
      </c>
      <c r="J138" s="2" t="inlineStr">
        <is>
          <t>Derived or model input; see parent calculation formula and model assumptions.</t>
        </is>
      </c>
      <c r="K138" s="2" t="inlineStr">
        <is>
          <t>ratio (decimal)</t>
        </is>
      </c>
    </row>
    <row r="139" ht="42" customHeight="1">
      <c r="A139" s="2" t="inlineStr">
        <is>
          <t>invested-capital</t>
        </is>
      </c>
      <c r="B139" s="2" t="inlineStr">
        <is>
          <t>2018-11-04</t>
        </is>
      </c>
      <c r="C139" s="2" t="inlineStr">
        <is>
          <t>equity</t>
        </is>
      </c>
      <c r="D139" s="2" t="inlineStr">
        <is>
          <t>equity</t>
        </is>
      </c>
      <c r="E139" s="2" t="inlineStr">
        <is>
          <t>2018-11-04</t>
        </is>
      </c>
      <c r="F139" s="3" t="n">
        <v>26657000000</v>
      </c>
      <c r="G139" s="8" t="b">
        <v>0</v>
      </c>
      <c r="H139" s="2" t="inlineStr"/>
      <c r="I139" s="8" t="b">
        <v>0</v>
      </c>
      <c r="J139" s="2" t="inlineStr">
        <is>
          <t>https://www.sec.gov/Archives/edgar/data/1730168/000173016819000144/0001730168-19-000144-index.html</t>
        </is>
      </c>
      <c r="K139" s="2" t="inlineStr">
        <is>
          <t>USD</t>
        </is>
      </c>
    </row>
    <row r="140" ht="42" customHeight="1">
      <c r="A140" s="2" t="inlineStr">
        <is>
          <t>invested-capital</t>
        </is>
      </c>
      <c r="B140" s="2" t="inlineStr">
        <is>
          <t>2018-11-04</t>
        </is>
      </c>
      <c r="C140" s="2" t="inlineStr">
        <is>
          <t>debt</t>
        </is>
      </c>
      <c r="D140" s="2" t="inlineStr">
        <is>
          <t>debt</t>
        </is>
      </c>
      <c r="E140" s="2" t="inlineStr">
        <is>
          <t>2018-11-04</t>
        </is>
      </c>
      <c r="F140" s="3" t="n">
        <v>17493000000</v>
      </c>
      <c r="G140" s="8" t="b">
        <v>0</v>
      </c>
      <c r="H140" s="2" t="inlineStr"/>
      <c r="I140" s="8" t="b">
        <v>0</v>
      </c>
      <c r="J140" s="2" t="inlineStr">
        <is>
          <t>Derived or model input; see parent calculation formula and model assumptions.</t>
        </is>
      </c>
      <c r="K140" s="2" t="inlineStr">
        <is>
          <t>USD</t>
        </is>
      </c>
    </row>
    <row r="141" ht="42" customHeight="1">
      <c r="A141" s="2" t="inlineStr">
        <is>
          <t>invested-capital</t>
        </is>
      </c>
      <c r="B141" s="2" t="inlineStr">
        <is>
          <t>2018-11-04</t>
        </is>
      </c>
      <c r="C141" s="2" t="inlineStr">
        <is>
          <t>cash_sti</t>
        </is>
      </c>
      <c r="D141" s="2" t="inlineStr">
        <is>
          <t>cash_sti</t>
        </is>
      </c>
      <c r="E141" s="2" t="inlineStr">
        <is>
          <t>2018-11-04</t>
        </is>
      </c>
      <c r="F141" s="3" t="n">
        <v>4292000000</v>
      </c>
      <c r="G141" s="8" t="b">
        <v>0</v>
      </c>
      <c r="H141" s="2" t="inlineStr"/>
      <c r="I141" s="8" t="b">
        <v>0</v>
      </c>
      <c r="J141" s="2" t="inlineStr">
        <is>
          <t>https://www.sec.gov/Archives/edgar/data/1730168/000173016821000153/0001730168-21-000153-index.html</t>
        </is>
      </c>
      <c r="K141" s="2" t="inlineStr">
        <is>
          <t>USD</t>
        </is>
      </c>
    </row>
    <row r="142" ht="42" customHeight="1">
      <c r="A142" s="2" t="inlineStr">
        <is>
          <t>roic</t>
        </is>
      </c>
      <c r="B142" s="2" t="inlineStr">
        <is>
          <t>2018-11-04</t>
        </is>
      </c>
      <c r="C142" s="2" t="inlineStr">
        <is>
          <t>operating_income</t>
        </is>
      </c>
      <c r="D142" s="2" t="inlineStr">
        <is>
          <t>operating_income</t>
        </is>
      </c>
      <c r="E142" s="2" t="inlineStr">
        <is>
          <t>2018-11-04</t>
        </is>
      </c>
      <c r="F142" s="3" t="n">
        <v>5135000000</v>
      </c>
      <c r="G142" s="8" t="b">
        <v>0</v>
      </c>
      <c r="H142" s="2" t="inlineStr"/>
      <c r="I142" s="8" t="b">
        <v>0</v>
      </c>
      <c r="J142" s="2" t="inlineStr">
        <is>
          <t>https://www.sec.gov/Archives/edgar/data/1730168/000173016820000226/0001730168-20-000226-index.html</t>
        </is>
      </c>
      <c r="K142" s="2" t="inlineStr">
        <is>
          <t>USD</t>
        </is>
      </c>
    </row>
    <row r="143" ht="42" customHeight="1">
      <c r="A143" s="2" t="inlineStr">
        <is>
          <t>roic</t>
        </is>
      </c>
      <c r="B143" s="2" t="inlineStr">
        <is>
          <t>2018-11-04</t>
        </is>
      </c>
      <c r="C143" s="2" t="inlineStr">
        <is>
          <t>tax_rate</t>
        </is>
      </c>
      <c r="D143" s="2" t="inlineStr">
        <is>
          <t>tax_rate</t>
        </is>
      </c>
      <c r="E143" s="2" t="inlineStr">
        <is>
          <t>2018-11-04</t>
        </is>
      </c>
      <c r="F143" s="3" t="n">
        <v>0</v>
      </c>
      <c r="G143" s="8" t="b">
        <v>0</v>
      </c>
      <c r="H143" s="2" t="inlineStr"/>
      <c r="I143" s="8" t="b">
        <v>0</v>
      </c>
      <c r="J143" s="2" t="inlineStr">
        <is>
          <t>Derived or model input; see parent calculation formula and model assumptions.</t>
        </is>
      </c>
      <c r="K143" s="2" t="inlineStr">
        <is>
          <t>ratio (decimal)</t>
        </is>
      </c>
    </row>
    <row r="144" ht="42" customHeight="1">
      <c r="A144" s="2" t="inlineStr">
        <is>
          <t>roic</t>
        </is>
      </c>
      <c r="B144" s="2" t="inlineStr">
        <is>
          <t>2018-11-04</t>
        </is>
      </c>
      <c r="C144" s="2" t="inlineStr">
        <is>
          <t>average_invested_capital</t>
        </is>
      </c>
      <c r="D144" s="2" t="inlineStr">
        <is>
          <t>average_invested_capital</t>
        </is>
      </c>
      <c r="E144" s="2" t="inlineStr">
        <is>
          <t>2018-11-04</t>
        </is>
      </c>
      <c r="F144" s="3" t="n">
        <v>33243500000</v>
      </c>
      <c r="G144" s="8" t="b">
        <v>0</v>
      </c>
      <c r="H144" s="2" t="inlineStr"/>
      <c r="I144" s="8" t="b">
        <v>0</v>
      </c>
      <c r="J144" s="2" t="inlineStr">
        <is>
          <t>Derived or model input; see parent calculation formula and model assumptions.</t>
        </is>
      </c>
      <c r="K144" s="2" t="inlineStr">
        <is>
          <t>USD</t>
        </is>
      </c>
    </row>
    <row r="145" ht="42" customHeight="1">
      <c r="A145" s="2" t="inlineStr">
        <is>
          <t>net-debt</t>
        </is>
      </c>
      <c r="B145" s="2" t="inlineStr">
        <is>
          <t>2018-11-04</t>
        </is>
      </c>
      <c r="C145" s="2" t="inlineStr">
        <is>
          <t>debt</t>
        </is>
      </c>
      <c r="D145" s="2" t="inlineStr">
        <is>
          <t>debt</t>
        </is>
      </c>
      <c r="E145" s="2" t="inlineStr">
        <is>
          <t>2018-11-04</t>
        </is>
      </c>
      <c r="F145" s="3" t="n">
        <v>17493000000</v>
      </c>
      <c r="G145" s="8" t="b">
        <v>0</v>
      </c>
      <c r="H145" s="2" t="inlineStr"/>
      <c r="I145" s="8" t="b">
        <v>0</v>
      </c>
      <c r="J145" s="2" t="inlineStr">
        <is>
          <t>Derived or model input; see parent calculation formula and model assumptions.</t>
        </is>
      </c>
      <c r="K145" s="2" t="inlineStr">
        <is>
          <t>USD</t>
        </is>
      </c>
    </row>
    <row r="146" ht="42" customHeight="1">
      <c r="A146" s="2" t="inlineStr">
        <is>
          <t>net-debt</t>
        </is>
      </c>
      <c r="B146" s="2" t="inlineStr">
        <is>
          <t>2018-11-04</t>
        </is>
      </c>
      <c r="C146" s="2" t="inlineStr">
        <is>
          <t>cash_sti</t>
        </is>
      </c>
      <c r="D146" s="2" t="inlineStr">
        <is>
          <t>cash_sti</t>
        </is>
      </c>
      <c r="E146" s="2" t="inlineStr">
        <is>
          <t>2018-11-04</t>
        </is>
      </c>
      <c r="F146" s="3" t="n">
        <v>4292000000</v>
      </c>
      <c r="G146" s="8" t="b">
        <v>0</v>
      </c>
      <c r="H146" s="2" t="inlineStr"/>
      <c r="I146" s="8" t="b">
        <v>0</v>
      </c>
      <c r="J146" s="2" t="inlineStr">
        <is>
          <t>https://www.sec.gov/Archives/edgar/data/1730168/000173016821000153/0001730168-21-000153-index.html</t>
        </is>
      </c>
      <c r="K146" s="2" t="inlineStr">
        <is>
          <t>USD</t>
        </is>
      </c>
    </row>
    <row r="147" ht="42" customHeight="1">
      <c r="A147" s="2" t="inlineStr">
        <is>
          <t>debt-ebitda</t>
        </is>
      </c>
      <c r="B147" s="2" t="inlineStr">
        <is>
          <t>2018-11-04</t>
        </is>
      </c>
      <c r="C147" s="2" t="inlineStr">
        <is>
          <t>debt</t>
        </is>
      </c>
      <c r="D147" s="2" t="inlineStr">
        <is>
          <t>debt</t>
        </is>
      </c>
      <c r="E147" s="2" t="inlineStr">
        <is>
          <t>2018-11-04</t>
        </is>
      </c>
      <c r="F147" s="3" t="n">
        <v>17493000000</v>
      </c>
      <c r="G147" s="8" t="b">
        <v>0</v>
      </c>
      <c r="H147" s="2" t="inlineStr"/>
      <c r="I147" s="8" t="b">
        <v>0</v>
      </c>
      <c r="J147" s="2" t="inlineStr">
        <is>
          <t>Derived or model input; see parent calculation formula and model assumptions.</t>
        </is>
      </c>
      <c r="K147" s="2" t="inlineStr">
        <is>
          <t>USD</t>
        </is>
      </c>
    </row>
    <row r="148" ht="42" customHeight="1">
      <c r="A148" s="2" t="inlineStr">
        <is>
          <t>debt-ebitda</t>
        </is>
      </c>
      <c r="B148" s="2" t="inlineStr">
        <is>
          <t>2018-11-04</t>
        </is>
      </c>
      <c r="C148" s="2" t="inlineStr">
        <is>
          <t>ebitda</t>
        </is>
      </c>
      <c r="D148" s="2" t="inlineStr">
        <is>
          <t>ebitda</t>
        </is>
      </c>
      <c r="E148" s="2" t="inlineStr">
        <is>
          <t>2018-11-04</t>
        </is>
      </c>
      <c r="F148" s="3" t="n">
        <v>9216000000</v>
      </c>
      <c r="G148" s="8" t="b">
        <v>0</v>
      </c>
      <c r="H148" s="2" t="inlineStr"/>
      <c r="I148" s="8" t="b">
        <v>0</v>
      </c>
      <c r="J148" s="2" t="inlineStr">
        <is>
          <t>Derived: ebitda @ 2018-11-04; see Calculations and Calc inputs.</t>
        </is>
      </c>
      <c r="K148" s="2" t="inlineStr">
        <is>
          <t>USD</t>
        </is>
      </c>
    </row>
    <row r="149" ht="42" customHeight="1">
      <c r="A149" s="2" t="inlineStr">
        <is>
          <t>interest-coverage</t>
        </is>
      </c>
      <c r="B149" s="2" t="inlineStr">
        <is>
          <t>2018-11-04</t>
        </is>
      </c>
      <c r="C149" s="2" t="inlineStr">
        <is>
          <t>operating_income</t>
        </is>
      </c>
      <c r="D149" s="2" t="inlineStr">
        <is>
          <t>operating_income</t>
        </is>
      </c>
      <c r="E149" s="2" t="inlineStr">
        <is>
          <t>2018-11-04</t>
        </is>
      </c>
      <c r="F149" s="3" t="n">
        <v>5135000000</v>
      </c>
      <c r="G149" s="8" t="b">
        <v>0</v>
      </c>
      <c r="H149" s="2" t="inlineStr"/>
      <c r="I149" s="8" t="b">
        <v>0</v>
      </c>
      <c r="J149" s="2" t="inlineStr">
        <is>
          <t>https://www.sec.gov/Archives/edgar/data/1730168/000173016820000226/0001730168-20-000226-index.html</t>
        </is>
      </c>
      <c r="K149" s="2" t="inlineStr">
        <is>
          <t>USD</t>
        </is>
      </c>
    </row>
    <row r="150" ht="42" customHeight="1">
      <c r="A150" s="2" t="inlineStr">
        <is>
          <t>interest-coverage</t>
        </is>
      </c>
      <c r="B150" s="2" t="inlineStr">
        <is>
          <t>2018-11-04</t>
        </is>
      </c>
      <c r="C150" s="2" t="inlineStr">
        <is>
          <t>interest_expense</t>
        </is>
      </c>
      <c r="D150" s="2" t="inlineStr">
        <is>
          <t>interest_expense</t>
        </is>
      </c>
      <c r="E150" s="2" t="inlineStr">
        <is>
          <t>2018-11-04</t>
        </is>
      </c>
      <c r="F150" s="3" t="n">
        <v>628000000</v>
      </c>
      <c r="G150" s="8" t="b">
        <v>0</v>
      </c>
      <c r="H150" s="2" t="inlineStr"/>
      <c r="I150" s="8" t="b">
        <v>0</v>
      </c>
      <c r="J150" s="2" t="inlineStr">
        <is>
          <t>https://www.sec.gov/Archives/edgar/data/1730168/000173016820000226/0001730168-20-000226-index.html</t>
        </is>
      </c>
      <c r="K150" s="2" t="inlineStr">
        <is>
          <t>USD</t>
        </is>
      </c>
    </row>
    <row r="151" ht="42" customHeight="1">
      <c r="A151" s="2" t="inlineStr">
        <is>
          <t>current-ratio</t>
        </is>
      </c>
      <c r="B151" s="2" t="inlineStr">
        <is>
          <t>2018-11-04</t>
        </is>
      </c>
      <c r="C151" s="2" t="inlineStr">
        <is>
          <t>current_assets</t>
        </is>
      </c>
      <c r="D151" s="2" t="inlineStr">
        <is>
          <t>current_assets</t>
        </is>
      </c>
      <c r="E151" s="2" t="inlineStr">
        <is>
          <t>2018-11-04</t>
        </is>
      </c>
      <c r="F151" s="3" t="n">
        <v>9107000000</v>
      </c>
      <c r="G151" s="8" t="b">
        <v>0</v>
      </c>
      <c r="H151" s="2" t="inlineStr"/>
      <c r="I151" s="8" t="b">
        <v>0</v>
      </c>
      <c r="J151" s="2" t="inlineStr">
        <is>
          <t>https://www.sec.gov/Archives/edgar/data/1730168/000173016819000144/0001730168-19-000144-index.html</t>
        </is>
      </c>
      <c r="K151" s="2" t="inlineStr">
        <is>
          <t>USD</t>
        </is>
      </c>
    </row>
    <row r="152" ht="42" customHeight="1">
      <c r="A152" s="2" t="inlineStr">
        <is>
          <t>current-ratio</t>
        </is>
      </c>
      <c r="B152" s="2" t="inlineStr">
        <is>
          <t>2018-11-04</t>
        </is>
      </c>
      <c r="C152" s="2" t="inlineStr">
        <is>
          <t>current_liabilities</t>
        </is>
      </c>
      <c r="D152" s="2" t="inlineStr">
        <is>
          <t>current_liabilities</t>
        </is>
      </c>
      <c r="E152" s="2" t="inlineStr">
        <is>
          <t>2018-11-04</t>
        </is>
      </c>
      <c r="F152" s="3" t="n">
        <v>2338000000</v>
      </c>
      <c r="G152" s="8" t="b">
        <v>0</v>
      </c>
      <c r="H152" s="2" t="inlineStr"/>
      <c r="I152" s="8" t="b">
        <v>0</v>
      </c>
      <c r="J152" s="2" t="inlineStr">
        <is>
          <t>https://www.sec.gov/Archives/edgar/data/1730168/000173016819000144/0001730168-19-000144-index.html</t>
        </is>
      </c>
      <c r="K152" s="2" t="inlineStr">
        <is>
          <t>USD</t>
        </is>
      </c>
    </row>
    <row r="153" ht="42" customHeight="1">
      <c r="A153" s="2" t="inlineStr">
        <is>
          <t>tangible-book-value</t>
        </is>
      </c>
      <c r="B153" s="2" t="inlineStr">
        <is>
          <t>2018-11-04</t>
        </is>
      </c>
      <c r="C153" s="2" t="inlineStr">
        <is>
          <t>equity</t>
        </is>
      </c>
      <c r="D153" s="2" t="inlineStr">
        <is>
          <t>equity</t>
        </is>
      </c>
      <c r="E153" s="2" t="inlineStr">
        <is>
          <t>2018-11-04</t>
        </is>
      </c>
      <c r="F153" s="3" t="n">
        <v>26657000000</v>
      </c>
      <c r="G153" s="8" t="b">
        <v>0</v>
      </c>
      <c r="H153" s="2" t="inlineStr"/>
      <c r="I153" s="8" t="b">
        <v>0</v>
      </c>
      <c r="J153" s="2" t="inlineStr">
        <is>
          <t>https://www.sec.gov/Archives/edgar/data/1730168/000173016819000144/0001730168-19-000144-index.html</t>
        </is>
      </c>
      <c r="K153" s="2" t="inlineStr">
        <is>
          <t>USD</t>
        </is>
      </c>
    </row>
    <row r="154" ht="42" customHeight="1">
      <c r="A154" s="2" t="inlineStr">
        <is>
          <t>tangible-book-value</t>
        </is>
      </c>
      <c r="B154" s="2" t="inlineStr">
        <is>
          <t>2018-11-04</t>
        </is>
      </c>
      <c r="C154" s="2" t="inlineStr">
        <is>
          <t>preferred</t>
        </is>
      </c>
      <c r="D154" s="2" t="inlineStr">
        <is>
          <t>preferred</t>
        </is>
      </c>
      <c r="E154" s="2" t="inlineStr">
        <is>
          <t>2018-11-04</t>
        </is>
      </c>
      <c r="F154" s="3" t="n">
        <v>0</v>
      </c>
      <c r="G154" s="8" t="b">
        <v>0</v>
      </c>
      <c r="H154" s="2" t="inlineStr"/>
      <c r="I154" s="8" t="b">
        <v>0</v>
      </c>
      <c r="J154" s="2" t="inlineStr">
        <is>
          <t>https://www.sec.gov/Archives/edgar/data/1730168/000173016819000144/0001730168-19-000144-index.html</t>
        </is>
      </c>
      <c r="K154" s="2" t="inlineStr">
        <is>
          <t>USD</t>
        </is>
      </c>
    </row>
    <row r="155" ht="42" customHeight="1">
      <c r="A155" s="2" t="inlineStr">
        <is>
          <t>tangible-book-value</t>
        </is>
      </c>
      <c r="B155" s="2" t="inlineStr">
        <is>
          <t>2018-11-04</t>
        </is>
      </c>
      <c r="C155" s="2" t="inlineStr">
        <is>
          <t>goodwill</t>
        </is>
      </c>
      <c r="D155" s="2" t="inlineStr">
        <is>
          <t>goodwill</t>
        </is>
      </c>
      <c r="E155" s="2" t="inlineStr">
        <is>
          <t>2018-11-04</t>
        </is>
      </c>
      <c r="F155" s="3" t="n">
        <v>26913000000</v>
      </c>
      <c r="G155" s="8" t="b">
        <v>0</v>
      </c>
      <c r="H155" s="2" t="inlineStr"/>
      <c r="I155" s="8" t="b">
        <v>0</v>
      </c>
      <c r="J155" s="2" t="inlineStr">
        <is>
          <t>https://www.sec.gov/Archives/edgar/data/1730168/000173016820000226/0001730168-20-000226-index.html</t>
        </is>
      </c>
      <c r="K155" s="2" t="inlineStr">
        <is>
          <t>USD</t>
        </is>
      </c>
    </row>
    <row r="156" ht="42" customHeight="1">
      <c r="A156" s="2" t="inlineStr">
        <is>
          <t>tangible-book-value</t>
        </is>
      </c>
      <c r="B156" s="2" t="inlineStr">
        <is>
          <t>2018-11-04</t>
        </is>
      </c>
      <c r="C156" s="2" t="inlineStr">
        <is>
          <t>intangibles</t>
        </is>
      </c>
      <c r="D156" s="2" t="inlineStr">
        <is>
          <t>intangibles</t>
        </is>
      </c>
      <c r="E156" s="2" t="inlineStr">
        <is>
          <t>2018-11-04</t>
        </is>
      </c>
      <c r="F156" s="3" t="n">
        <v>10762000000</v>
      </c>
      <c r="G156" s="8" t="b">
        <v>0</v>
      </c>
      <c r="H156" s="2" t="inlineStr"/>
      <c r="I156" s="8" t="b">
        <v>0</v>
      </c>
      <c r="J156" s="2" t="inlineStr">
        <is>
          <t>https://www.sec.gov/Archives/edgar/data/1730168/000173016819000144/0001730168-19-000144-index.html</t>
        </is>
      </c>
      <c r="K156" s="2" t="inlineStr">
        <is>
          <t>USD</t>
        </is>
      </c>
    </row>
    <row r="157" ht="42" customHeight="1">
      <c r="A157" s="2" t="inlineStr">
        <is>
          <t>ncav</t>
        </is>
      </c>
      <c r="B157" s="2" t="inlineStr">
        <is>
          <t>2018-11-04</t>
        </is>
      </c>
      <c r="C157" s="2" t="inlineStr">
        <is>
          <t>current_assets</t>
        </is>
      </c>
      <c r="D157" s="2" t="inlineStr">
        <is>
          <t>current_assets</t>
        </is>
      </c>
      <c r="E157" s="2" t="inlineStr">
        <is>
          <t>2018-11-04</t>
        </is>
      </c>
      <c r="F157" s="3" t="n">
        <v>9107000000</v>
      </c>
      <c r="G157" s="8" t="b">
        <v>0</v>
      </c>
      <c r="H157" s="2" t="inlineStr"/>
      <c r="I157" s="8" t="b">
        <v>0</v>
      </c>
      <c r="J157" s="2" t="inlineStr">
        <is>
          <t>https://www.sec.gov/Archives/edgar/data/1730168/000173016819000144/0001730168-19-000144-index.html</t>
        </is>
      </c>
      <c r="K157" s="2" t="inlineStr">
        <is>
          <t>USD</t>
        </is>
      </c>
    </row>
    <row r="158" ht="42" customHeight="1">
      <c r="A158" s="2" t="inlineStr">
        <is>
          <t>ncav</t>
        </is>
      </c>
      <c r="B158" s="2" t="inlineStr">
        <is>
          <t>2018-11-04</t>
        </is>
      </c>
      <c r="C158" s="2" t="inlineStr">
        <is>
          <t>total_liabilities</t>
        </is>
      </c>
      <c r="D158" s="2" t="inlineStr">
        <is>
          <t>total_liabilities</t>
        </is>
      </c>
      <c r="E158" s="2" t="inlineStr">
        <is>
          <t>2018-11-04</t>
        </is>
      </c>
      <c r="F158" s="3" t="n">
        <v>23467000000</v>
      </c>
      <c r="G158" s="8" t="b">
        <v>0</v>
      </c>
      <c r="H158" s="2" t="inlineStr"/>
      <c r="I158" s="8" t="b">
        <v>0</v>
      </c>
      <c r="J158" s="2" t="inlineStr">
        <is>
          <t>https://www.sec.gov/Archives/edgar/data/1730168/000173016819000144/0001730168-19-000144-index.html</t>
        </is>
      </c>
      <c r="K158" s="2" t="inlineStr">
        <is>
          <t>USD</t>
        </is>
      </c>
    </row>
    <row r="159" ht="42" customHeight="1">
      <c r="A159" s="2" t="inlineStr">
        <is>
          <t>ncav</t>
        </is>
      </c>
      <c r="B159" s="2" t="inlineStr">
        <is>
          <t>2018-11-04</t>
        </is>
      </c>
      <c r="C159" s="2" t="inlineStr">
        <is>
          <t>preferred</t>
        </is>
      </c>
      <c r="D159" s="2" t="inlineStr">
        <is>
          <t>preferred</t>
        </is>
      </c>
      <c r="E159" s="2" t="inlineStr">
        <is>
          <t>2018-11-04</t>
        </is>
      </c>
      <c r="F159" s="3" t="n">
        <v>0</v>
      </c>
      <c r="G159" s="8" t="b">
        <v>0</v>
      </c>
      <c r="H159" s="2" t="inlineStr"/>
      <c r="I159" s="8" t="b">
        <v>0</v>
      </c>
      <c r="J159" s="2" t="inlineStr">
        <is>
          <t>https://www.sec.gov/Archives/edgar/data/1730168/000173016819000144/0001730168-19-000144-index.html</t>
        </is>
      </c>
      <c r="K159" s="2" t="inlineStr">
        <is>
          <t>USD</t>
        </is>
      </c>
    </row>
    <row r="160" ht="42" customHeight="1">
      <c r="A160" s="2" t="inlineStr">
        <is>
          <t>dilution</t>
        </is>
      </c>
      <c r="B160" s="2" t="inlineStr">
        <is>
          <t>2018-11-04</t>
        </is>
      </c>
      <c r="C160" s="2" t="inlineStr">
        <is>
          <t>diluted_avg_shares</t>
        </is>
      </c>
      <c r="D160" s="2" t="inlineStr">
        <is>
          <t>diluted_avg_shares</t>
        </is>
      </c>
      <c r="E160" s="2" t="inlineStr">
        <is>
          <t>2018-11-04</t>
        </is>
      </c>
      <c r="F160" s="3" t="n">
        <v>4310000000</v>
      </c>
      <c r="G160" s="8" t="b">
        <v>0</v>
      </c>
      <c r="H160" s="2" t="inlineStr"/>
      <c r="I160" s="8" t="b">
        <v>0</v>
      </c>
      <c r="J160" s="2" t="inlineStr">
        <is>
          <t>https://www.sec.gov/Archives/edgar/data/1730168/000173016820000226/0001730168-20-000226-index.html</t>
        </is>
      </c>
      <c r="K160" s="2" t="inlineStr">
        <is>
          <t>shares</t>
        </is>
      </c>
    </row>
    <row r="161" ht="42" customHeight="1">
      <c r="A161" s="2" t="inlineStr">
        <is>
          <t>dilution</t>
        </is>
      </c>
      <c r="B161" s="2" t="inlineStr">
        <is>
          <t>2018-11-04</t>
        </is>
      </c>
      <c r="C161" s="2" t="inlineStr">
        <is>
          <t>previous_shares</t>
        </is>
      </c>
      <c r="D161" s="2" t="inlineStr">
        <is>
          <t>diluted_avg_shares</t>
        </is>
      </c>
      <c r="E161" s="2" t="inlineStr">
        <is>
          <t>2017-10-29</t>
        </is>
      </c>
      <c r="F161" s="3" t="n">
        <v>4210000000</v>
      </c>
      <c r="G161" s="8" t="b">
        <v>0</v>
      </c>
      <c r="H161" s="2" t="inlineStr"/>
      <c r="I161" s="8" t="b">
        <v>0</v>
      </c>
      <c r="J161" s="2" t="inlineStr">
        <is>
          <t>https://www.sec.gov/Archives/edgar/data/1730168/000173016819000144/0001730168-19-000144-index.html</t>
        </is>
      </c>
      <c r="K161" s="2" t="inlineStr">
        <is>
          <t>shares</t>
        </is>
      </c>
    </row>
    <row r="162" ht="42" customHeight="1">
      <c r="A162" s="2" t="inlineStr">
        <is>
          <t>sbc-to-revenue</t>
        </is>
      </c>
      <c r="B162" s="2" t="inlineStr">
        <is>
          <t>2018-11-04</t>
        </is>
      </c>
      <c r="C162" s="2" t="inlineStr">
        <is>
          <t>sbc</t>
        </is>
      </c>
      <c r="D162" s="2" t="inlineStr">
        <is>
          <t>sbc</t>
        </is>
      </c>
      <c r="E162" s="2" t="inlineStr">
        <is>
          <t>2018-11-04</t>
        </is>
      </c>
      <c r="F162" s="3" t="n">
        <v>1227000000</v>
      </c>
      <c r="G162" s="8" t="b">
        <v>0</v>
      </c>
      <c r="H162" s="2" t="inlineStr"/>
      <c r="I162" s="8" t="b">
        <v>0</v>
      </c>
      <c r="J162" s="2" t="inlineStr">
        <is>
          <t>https://www.sec.gov/Archives/edgar/data/1730168/000173016820000226/0001730168-20-000226-index.html</t>
        </is>
      </c>
      <c r="K162" s="2" t="inlineStr">
        <is>
          <t>USD</t>
        </is>
      </c>
    </row>
    <row r="163" ht="42" customHeight="1">
      <c r="A163" s="2" t="inlineStr">
        <is>
          <t>sbc-to-revenue</t>
        </is>
      </c>
      <c r="B163" s="2" t="inlineStr">
        <is>
          <t>2018-11-04</t>
        </is>
      </c>
      <c r="C163" s="2" t="inlineStr">
        <is>
          <t>revenue</t>
        </is>
      </c>
      <c r="D163" s="2" t="inlineStr">
        <is>
          <t>revenue</t>
        </is>
      </c>
      <c r="E163" s="2" t="inlineStr">
        <is>
          <t>2018-11-04</t>
        </is>
      </c>
      <c r="F163" s="3" t="n">
        <v>20848000000</v>
      </c>
      <c r="G163" s="8" t="b">
        <v>0</v>
      </c>
      <c r="H163" s="2" t="inlineStr"/>
      <c r="I163" s="8" t="b">
        <v>0</v>
      </c>
      <c r="J163" s="2" t="inlineStr">
        <is>
          <t>https://www.sec.gov/Archives/edgar/data/1730168/000173016818000084/0001730168-18-000084-index.html</t>
        </is>
      </c>
      <c r="K163" s="2" t="inlineStr">
        <is>
          <t>USD</t>
        </is>
      </c>
    </row>
    <row r="164" ht="42" customHeight="1">
      <c r="A164" s="2" t="inlineStr">
        <is>
          <t>eps</t>
        </is>
      </c>
      <c r="B164" s="2" t="inlineStr">
        <is>
          <t>2018-11-04</t>
        </is>
      </c>
      <c r="C164" s="2" t="inlineStr">
        <is>
          <t>eps_diluted</t>
        </is>
      </c>
      <c r="D164" s="2" t="inlineStr">
        <is>
          <t>eps_diluted</t>
        </is>
      </c>
      <c r="E164" s="2" t="inlineStr">
        <is>
          <t>2018-11-04</t>
        </is>
      </c>
      <c r="F164" s="3" t="n">
        <v>2.844</v>
      </c>
      <c r="G164" s="8" t="b">
        <v>0</v>
      </c>
      <c r="H164" s="2" t="inlineStr"/>
      <c r="I164" s="8" t="b">
        <v>0</v>
      </c>
      <c r="J164" s="2" t="inlineStr">
        <is>
          <t>https://www.sec.gov/Archives/edgar/data/1730168/000173016820000226/0001730168-20-000226-index.html</t>
        </is>
      </c>
      <c r="K164" s="2" t="inlineStr">
        <is>
          <t>USD per share</t>
        </is>
      </c>
    </row>
    <row r="165" ht="42" customHeight="1">
      <c r="A165" s="2" t="inlineStr">
        <is>
          <t>debt-due-3y</t>
        </is>
      </c>
      <c r="B165" s="2" t="inlineStr">
        <is>
          <t>2018-11-04</t>
        </is>
      </c>
      <c r="C165" s="2" t="inlineStr">
        <is>
          <t>maturity_y1</t>
        </is>
      </c>
      <c r="D165" s="2" t="inlineStr">
        <is>
          <t>maturity_y1</t>
        </is>
      </c>
      <c r="E165" s="2" t="inlineStr">
        <is>
          <t>2018-11-04</t>
        </is>
      </c>
      <c r="F165" s="3" t="n">
        <v>0</v>
      </c>
      <c r="G165" s="8" t="b">
        <v>0</v>
      </c>
      <c r="H165" s="2" t="inlineStr"/>
      <c r="I165" s="8" t="b">
        <v>0</v>
      </c>
      <c r="J165" s="2" t="inlineStr">
        <is>
          <t>https://www.sec.gov/Archives/edgar/data/1730168/000173016818000084/0001730168-18-000084-index.html</t>
        </is>
      </c>
      <c r="K165" s="2" t="inlineStr">
        <is>
          <t>USD</t>
        </is>
      </c>
    </row>
    <row r="166" ht="42" customHeight="1">
      <c r="A166" s="2" t="inlineStr">
        <is>
          <t>debt-due-3y</t>
        </is>
      </c>
      <c r="B166" s="2" t="inlineStr">
        <is>
          <t>2018-11-04</t>
        </is>
      </c>
      <c r="C166" s="2" t="inlineStr">
        <is>
          <t>maturity_y2</t>
        </is>
      </c>
      <c r="D166" s="2" t="inlineStr">
        <is>
          <t>maturity_y2</t>
        </is>
      </c>
      <c r="E166" s="2" t="inlineStr">
        <is>
          <t>2018-11-04</t>
        </is>
      </c>
      <c r="F166" s="3" t="n">
        <v>2787000000</v>
      </c>
      <c r="G166" s="8" t="b">
        <v>0</v>
      </c>
      <c r="H166" s="2" t="inlineStr"/>
      <c r="I166" s="8" t="b">
        <v>0</v>
      </c>
      <c r="J166" s="2" t="inlineStr">
        <is>
          <t>https://www.sec.gov/Archives/edgar/data/1730168/000173016818000084/0001730168-18-000084-index.html</t>
        </is>
      </c>
      <c r="K166" s="2" t="inlineStr">
        <is>
          <t>USD</t>
        </is>
      </c>
    </row>
    <row r="167" ht="42" customHeight="1">
      <c r="A167" s="2" t="inlineStr">
        <is>
          <t>debt-due-3y</t>
        </is>
      </c>
      <c r="B167" s="2" t="inlineStr">
        <is>
          <t>2018-11-04</t>
        </is>
      </c>
      <c r="C167" s="2" t="inlineStr">
        <is>
          <t>maturity_y3</t>
        </is>
      </c>
      <c r="D167" s="2" t="inlineStr">
        <is>
          <t>maturity_y3</t>
        </is>
      </c>
      <c r="E167" s="2" t="inlineStr">
        <is>
          <t>2018-11-04</t>
        </is>
      </c>
      <c r="F167" s="3" t="n">
        <v>750000000</v>
      </c>
      <c r="G167" s="8" t="b">
        <v>0</v>
      </c>
      <c r="H167" s="2" t="inlineStr"/>
      <c r="I167" s="8" t="b">
        <v>0</v>
      </c>
      <c r="J167" s="2" t="inlineStr">
        <is>
          <t>https://www.sec.gov/Archives/edgar/data/1730168/000173016818000084/0001730168-18-000084-index.html</t>
        </is>
      </c>
      <c r="K167" s="2" t="inlineStr">
        <is>
          <t>USD</t>
        </is>
      </c>
    </row>
    <row r="168" ht="42" customHeight="1">
      <c r="A168" s="2" t="inlineStr">
        <is>
          <t>revenue-growth</t>
        </is>
      </c>
      <c r="B168" s="2" t="inlineStr">
        <is>
          <t>2019-11-03</t>
        </is>
      </c>
      <c r="C168" s="2" t="inlineStr">
        <is>
          <t>revenue</t>
        </is>
      </c>
      <c r="D168" s="2" t="inlineStr">
        <is>
          <t>revenue</t>
        </is>
      </c>
      <c r="E168" s="2" t="inlineStr">
        <is>
          <t>2019-11-03</t>
        </is>
      </c>
      <c r="F168" s="3" t="n">
        <v>22597000000</v>
      </c>
      <c r="G168" s="8" t="b">
        <v>0</v>
      </c>
      <c r="H168" s="2" t="inlineStr"/>
      <c r="I168" s="8" t="b">
        <v>0</v>
      </c>
      <c r="J168" s="2" t="inlineStr">
        <is>
          <t>https://www.sec.gov/Archives/edgar/data/1730168/000173016821000153/0001730168-21-000153-index.html</t>
        </is>
      </c>
      <c r="K168" s="2" t="inlineStr">
        <is>
          <t>USD</t>
        </is>
      </c>
    </row>
    <row r="169" ht="42" customHeight="1">
      <c r="A169" s="2" t="inlineStr">
        <is>
          <t>revenue-growth</t>
        </is>
      </c>
      <c r="B169" s="2" t="inlineStr">
        <is>
          <t>2019-11-03</t>
        </is>
      </c>
      <c r="C169" s="2" t="inlineStr">
        <is>
          <t>previous_revenue</t>
        </is>
      </c>
      <c r="D169" s="2" t="inlineStr">
        <is>
          <t>revenue</t>
        </is>
      </c>
      <c r="E169" s="2" t="inlineStr">
        <is>
          <t>2018-11-04</t>
        </is>
      </c>
      <c r="F169" s="3" t="n">
        <v>20454641509.43396</v>
      </c>
      <c r="G169" s="8" t="b">
        <v>0</v>
      </c>
      <c r="H169" s="2" t="inlineStr"/>
      <c r="I169" s="8" t="b">
        <v>0</v>
      </c>
      <c r="J169" s="2" t="inlineStr">
        <is>
          <t>https://www.sec.gov/Archives/edgar/data/1730168/000173016818000084/0001730168-18-000084-index.html
Transformed calculation input: differs from the raw filing value; see formula and flags.</t>
        </is>
      </c>
      <c r="K169" s="2" t="inlineStr">
        <is>
          <t>USD</t>
        </is>
      </c>
    </row>
    <row r="170" ht="42" customHeight="1">
      <c r="A170" s="2" t="inlineStr">
        <is>
          <t>gross-margin</t>
        </is>
      </c>
      <c r="B170" s="2" t="inlineStr">
        <is>
          <t>2019-11-03</t>
        </is>
      </c>
      <c r="C170" s="2" t="inlineStr">
        <is>
          <t>gross_profit</t>
        </is>
      </c>
      <c r="D170" s="2" t="inlineStr">
        <is>
          <t>gross_profit</t>
        </is>
      </c>
      <c r="E170" s="2" t="inlineStr">
        <is>
          <t>2019-11-03</t>
        </is>
      </c>
      <c r="F170" s="3" t="n">
        <v>12483000000</v>
      </c>
      <c r="G170" s="8" t="b">
        <v>0</v>
      </c>
      <c r="H170" s="2" t="inlineStr"/>
      <c r="I170" s="8" t="b">
        <v>0</v>
      </c>
      <c r="J170" s="2" t="inlineStr">
        <is>
          <t>https://www.sec.gov/Archives/edgar/data/1730168/000173016821000153/0001730168-21-000153-index.html</t>
        </is>
      </c>
      <c r="K170" s="2" t="inlineStr">
        <is>
          <t>USD</t>
        </is>
      </c>
    </row>
    <row r="171" ht="42" customHeight="1">
      <c r="A171" s="2" t="inlineStr">
        <is>
          <t>gross-margin</t>
        </is>
      </c>
      <c r="B171" s="2" t="inlineStr">
        <is>
          <t>2019-11-03</t>
        </is>
      </c>
      <c r="C171" s="2" t="inlineStr">
        <is>
          <t>revenue</t>
        </is>
      </c>
      <c r="D171" s="2" t="inlineStr">
        <is>
          <t>revenue</t>
        </is>
      </c>
      <c r="E171" s="2" t="inlineStr">
        <is>
          <t>2019-11-03</t>
        </is>
      </c>
      <c r="F171" s="3" t="n">
        <v>22597000000</v>
      </c>
      <c r="G171" s="8" t="b">
        <v>0</v>
      </c>
      <c r="H171" s="2" t="inlineStr"/>
      <c r="I171" s="8" t="b">
        <v>0</v>
      </c>
      <c r="J171" s="2" t="inlineStr">
        <is>
          <t>https://www.sec.gov/Archives/edgar/data/1730168/000173016821000153/0001730168-21-000153-index.html</t>
        </is>
      </c>
      <c r="K171" s="2" t="inlineStr">
        <is>
          <t>USD</t>
        </is>
      </c>
    </row>
    <row r="172" ht="42" customHeight="1">
      <c r="A172" s="2" t="inlineStr">
        <is>
          <t>operating-margin</t>
        </is>
      </c>
      <c r="B172" s="2" t="inlineStr">
        <is>
          <t>2019-11-03</t>
        </is>
      </c>
      <c r="C172" s="2" t="inlineStr">
        <is>
          <t>operating_income</t>
        </is>
      </c>
      <c r="D172" s="2" t="inlineStr">
        <is>
          <t>operating_income</t>
        </is>
      </c>
      <c r="E172" s="2" t="inlineStr">
        <is>
          <t>2019-11-03</t>
        </is>
      </c>
      <c r="F172" s="3" t="n">
        <v>3444000000</v>
      </c>
      <c r="G172" s="8" t="b">
        <v>0</v>
      </c>
      <c r="H172" s="2" t="inlineStr"/>
      <c r="I172" s="8" t="b">
        <v>0</v>
      </c>
      <c r="J172" s="2" t="inlineStr">
        <is>
          <t>https://www.sec.gov/Archives/edgar/data/1730168/000173016821000153/0001730168-21-000153-index.html</t>
        </is>
      </c>
      <c r="K172" s="2" t="inlineStr">
        <is>
          <t>USD</t>
        </is>
      </c>
    </row>
    <row r="173" ht="42" customHeight="1">
      <c r="A173" s="2" t="inlineStr">
        <is>
          <t>operating-margin</t>
        </is>
      </c>
      <c r="B173" s="2" t="inlineStr">
        <is>
          <t>2019-11-03</t>
        </is>
      </c>
      <c r="C173" s="2" t="inlineStr">
        <is>
          <t>revenue</t>
        </is>
      </c>
      <c r="D173" s="2" t="inlineStr">
        <is>
          <t>revenue</t>
        </is>
      </c>
      <c r="E173" s="2" t="inlineStr">
        <is>
          <t>2019-11-03</t>
        </is>
      </c>
      <c r="F173" s="3" t="n">
        <v>22597000000</v>
      </c>
      <c r="G173" s="8" t="b">
        <v>0</v>
      </c>
      <c r="H173" s="2" t="inlineStr"/>
      <c r="I173" s="8" t="b">
        <v>0</v>
      </c>
      <c r="J173" s="2" t="inlineStr">
        <is>
          <t>https://www.sec.gov/Archives/edgar/data/1730168/000173016821000153/0001730168-21-000153-index.html</t>
        </is>
      </c>
      <c r="K173" s="2" t="inlineStr">
        <is>
          <t>USD</t>
        </is>
      </c>
    </row>
    <row r="174" ht="42" customHeight="1">
      <c r="A174" s="2" t="inlineStr">
        <is>
          <t>net-margin</t>
        </is>
      </c>
      <c r="B174" s="2" t="inlineStr">
        <is>
          <t>2019-11-03</t>
        </is>
      </c>
      <c r="C174" s="2" t="inlineStr">
        <is>
          <t>net_income</t>
        </is>
      </c>
      <c r="D174" s="2" t="inlineStr">
        <is>
          <t>net_income</t>
        </is>
      </c>
      <c r="E174" s="2" t="inlineStr">
        <is>
          <t>2019-11-03</t>
        </is>
      </c>
      <c r="F174" s="3" t="n">
        <v>2724000000</v>
      </c>
      <c r="G174" s="8" t="b">
        <v>0</v>
      </c>
      <c r="H174" s="2" t="inlineStr"/>
      <c r="I174" s="8" t="b">
        <v>0</v>
      </c>
      <c r="J174" s="2" t="inlineStr">
        <is>
          <t>https://www.sec.gov/Archives/edgar/data/1730168/000173016821000153/0001730168-21-000153-index.html</t>
        </is>
      </c>
      <c r="K174" s="2" t="inlineStr">
        <is>
          <t>USD</t>
        </is>
      </c>
    </row>
    <row r="175" ht="42" customHeight="1">
      <c r="A175" s="2" t="inlineStr">
        <is>
          <t>net-margin</t>
        </is>
      </c>
      <c r="B175" s="2" t="inlineStr">
        <is>
          <t>2019-11-03</t>
        </is>
      </c>
      <c r="C175" s="2" t="inlineStr">
        <is>
          <t>revenue</t>
        </is>
      </c>
      <c r="D175" s="2" t="inlineStr">
        <is>
          <t>revenue</t>
        </is>
      </c>
      <c r="E175" s="2" t="inlineStr">
        <is>
          <t>2019-11-03</t>
        </is>
      </c>
      <c r="F175" s="3" t="n">
        <v>22597000000</v>
      </c>
      <c r="G175" s="8" t="b">
        <v>0</v>
      </c>
      <c r="H175" s="2" t="inlineStr"/>
      <c r="I175" s="8" t="b">
        <v>0</v>
      </c>
      <c r="J175" s="2" t="inlineStr">
        <is>
          <t>https://www.sec.gov/Archives/edgar/data/1730168/000173016821000153/0001730168-21-000153-index.html</t>
        </is>
      </c>
      <c r="K175" s="2" t="inlineStr">
        <is>
          <t>USD</t>
        </is>
      </c>
    </row>
    <row r="176" ht="42" customHeight="1">
      <c r="A176" s="2" t="inlineStr">
        <is>
          <t>fcf</t>
        </is>
      </c>
      <c r="B176" s="2" t="inlineStr">
        <is>
          <t>2019-11-03</t>
        </is>
      </c>
      <c r="C176" s="2" t="inlineStr">
        <is>
          <t>ocf</t>
        </is>
      </c>
      <c r="D176" s="2" t="inlineStr">
        <is>
          <t>ocf</t>
        </is>
      </c>
      <c r="E176" s="2" t="inlineStr">
        <is>
          <t>2019-11-03</t>
        </is>
      </c>
      <c r="F176" s="3" t="n">
        <v>9697000000</v>
      </c>
      <c r="G176" s="8" t="b">
        <v>0</v>
      </c>
      <c r="H176" s="2" t="inlineStr"/>
      <c r="I176" s="8" t="b">
        <v>0</v>
      </c>
      <c r="J176" s="2" t="inlineStr">
        <is>
          <t>https://www.sec.gov/Archives/edgar/data/1730168/000173016821000153/0001730168-21-000153-index.html</t>
        </is>
      </c>
      <c r="K176" s="2" t="inlineStr">
        <is>
          <t>USD</t>
        </is>
      </c>
    </row>
    <row r="177" ht="42" customHeight="1">
      <c r="A177" s="2" t="inlineStr">
        <is>
          <t>fcf</t>
        </is>
      </c>
      <c r="B177" s="2" t="inlineStr">
        <is>
          <t>2019-11-03</t>
        </is>
      </c>
      <c r="C177" s="2" t="inlineStr">
        <is>
          <t>capex</t>
        </is>
      </c>
      <c r="D177" s="2" t="inlineStr">
        <is>
          <t>capex</t>
        </is>
      </c>
      <c r="E177" s="2" t="inlineStr">
        <is>
          <t>2019-11-03</t>
        </is>
      </c>
      <c r="F177" s="3" t="n">
        <v>432000000</v>
      </c>
      <c r="G177" s="8" t="b">
        <v>0</v>
      </c>
      <c r="H177" s="2" t="inlineStr"/>
      <c r="I177" s="8" t="b">
        <v>0</v>
      </c>
      <c r="J177" s="2" t="inlineStr">
        <is>
          <t>https://www.sec.gov/Archives/edgar/data/1730168/000173016821000153/0001730168-21-000153-index.html</t>
        </is>
      </c>
      <c r="K177" s="2" t="inlineStr">
        <is>
          <t>USD</t>
        </is>
      </c>
    </row>
    <row r="178" ht="42" customHeight="1">
      <c r="A178" s="2" t="inlineStr">
        <is>
          <t>fcf-margin</t>
        </is>
      </c>
      <c r="B178" s="2" t="inlineStr">
        <is>
          <t>2019-11-03</t>
        </is>
      </c>
      <c r="C178" s="2" t="inlineStr">
        <is>
          <t>ocf</t>
        </is>
      </c>
      <c r="D178" s="2" t="inlineStr">
        <is>
          <t>ocf</t>
        </is>
      </c>
      <c r="E178" s="2" t="inlineStr">
        <is>
          <t>2019-11-03</t>
        </is>
      </c>
      <c r="F178" s="3" t="n">
        <v>9697000000</v>
      </c>
      <c r="G178" s="8" t="b">
        <v>0</v>
      </c>
      <c r="H178" s="2" t="inlineStr"/>
      <c r="I178" s="8" t="b">
        <v>0</v>
      </c>
      <c r="J178" s="2" t="inlineStr">
        <is>
          <t>https://www.sec.gov/Archives/edgar/data/1730168/000173016821000153/0001730168-21-000153-index.html</t>
        </is>
      </c>
      <c r="K178" s="2" t="inlineStr">
        <is>
          <t>USD</t>
        </is>
      </c>
    </row>
    <row r="179" ht="42" customHeight="1">
      <c r="A179" s="2" t="inlineStr">
        <is>
          <t>fcf-margin</t>
        </is>
      </c>
      <c r="B179" s="2" t="inlineStr">
        <is>
          <t>2019-11-03</t>
        </is>
      </c>
      <c r="C179" s="2" t="inlineStr">
        <is>
          <t>capex</t>
        </is>
      </c>
      <c r="D179" s="2" t="inlineStr">
        <is>
          <t>capex</t>
        </is>
      </c>
      <c r="E179" s="2" t="inlineStr">
        <is>
          <t>2019-11-03</t>
        </is>
      </c>
      <c r="F179" s="3" t="n">
        <v>432000000</v>
      </c>
      <c r="G179" s="8" t="b">
        <v>0</v>
      </c>
      <c r="H179" s="2" t="inlineStr"/>
      <c r="I179" s="8" t="b">
        <v>0</v>
      </c>
      <c r="J179" s="2" t="inlineStr">
        <is>
          <t>https://www.sec.gov/Archives/edgar/data/1730168/000173016821000153/0001730168-21-000153-index.html</t>
        </is>
      </c>
      <c r="K179" s="2" t="inlineStr">
        <is>
          <t>USD</t>
        </is>
      </c>
    </row>
    <row r="180" ht="42" customHeight="1">
      <c r="A180" s="2" t="inlineStr">
        <is>
          <t>fcf-margin</t>
        </is>
      </c>
      <c r="B180" s="2" t="inlineStr">
        <is>
          <t>2019-11-03</t>
        </is>
      </c>
      <c r="C180" s="2" t="inlineStr">
        <is>
          <t>revenue</t>
        </is>
      </c>
      <c r="D180" s="2" t="inlineStr">
        <is>
          <t>revenue</t>
        </is>
      </c>
      <c r="E180" s="2" t="inlineStr">
        <is>
          <t>2019-11-03</t>
        </is>
      </c>
      <c r="F180" s="3" t="n">
        <v>22597000000</v>
      </c>
      <c r="G180" s="8" t="b">
        <v>0</v>
      </c>
      <c r="H180" s="2" t="inlineStr"/>
      <c r="I180" s="8" t="b">
        <v>0</v>
      </c>
      <c r="J180" s="2" t="inlineStr">
        <is>
          <t>https://www.sec.gov/Archives/edgar/data/1730168/000173016821000153/0001730168-21-000153-index.html</t>
        </is>
      </c>
      <c r="K180" s="2" t="inlineStr">
        <is>
          <t>USD</t>
        </is>
      </c>
    </row>
    <row r="181" ht="42" customHeight="1">
      <c r="A181" s="2" t="inlineStr">
        <is>
          <t>fcff</t>
        </is>
      </c>
      <c r="B181" s="2" t="inlineStr">
        <is>
          <t>2019-11-03</t>
        </is>
      </c>
      <c r="C181" s="2" t="inlineStr">
        <is>
          <t>ocf</t>
        </is>
      </c>
      <c r="D181" s="2" t="inlineStr">
        <is>
          <t>ocf</t>
        </is>
      </c>
      <c r="E181" s="2" t="inlineStr">
        <is>
          <t>2019-11-03</t>
        </is>
      </c>
      <c r="F181" s="3" t="n">
        <v>9697000000</v>
      </c>
      <c r="G181" s="8" t="b">
        <v>0</v>
      </c>
      <c r="H181" s="2" t="inlineStr"/>
      <c r="I181" s="8" t="b">
        <v>0</v>
      </c>
      <c r="J181" s="2" t="inlineStr">
        <is>
          <t>https://www.sec.gov/Archives/edgar/data/1730168/000173016821000153/0001730168-21-000153-index.html</t>
        </is>
      </c>
      <c r="K181" s="2" t="inlineStr">
        <is>
          <t>USD</t>
        </is>
      </c>
    </row>
    <row r="182" ht="42" customHeight="1">
      <c r="A182" s="2" t="inlineStr">
        <is>
          <t>fcff</t>
        </is>
      </c>
      <c r="B182" s="2" t="inlineStr">
        <is>
          <t>2019-11-03</t>
        </is>
      </c>
      <c r="C182" s="2" t="inlineStr">
        <is>
          <t>capex</t>
        </is>
      </c>
      <c r="D182" s="2" t="inlineStr">
        <is>
          <t>capex</t>
        </is>
      </c>
      <c r="E182" s="2" t="inlineStr">
        <is>
          <t>2019-11-03</t>
        </is>
      </c>
      <c r="F182" s="3" t="n">
        <v>432000000</v>
      </c>
      <c r="G182" s="8" t="b">
        <v>0</v>
      </c>
      <c r="H182" s="2" t="inlineStr"/>
      <c r="I182" s="8" t="b">
        <v>0</v>
      </c>
      <c r="J182" s="2" t="inlineStr">
        <is>
          <t>https://www.sec.gov/Archives/edgar/data/1730168/000173016821000153/0001730168-21-000153-index.html</t>
        </is>
      </c>
      <c r="K182" s="2" t="inlineStr">
        <is>
          <t>USD</t>
        </is>
      </c>
    </row>
    <row r="183" ht="42" customHeight="1">
      <c r="A183" s="2" t="inlineStr">
        <is>
          <t>fcff</t>
        </is>
      </c>
      <c r="B183" s="2" t="inlineStr">
        <is>
          <t>2019-11-03</t>
        </is>
      </c>
      <c r="C183" s="2" t="inlineStr">
        <is>
          <t>interest_expense</t>
        </is>
      </c>
      <c r="D183" s="2" t="inlineStr">
        <is>
          <t>interest_expense</t>
        </is>
      </c>
      <c r="E183" s="2" t="inlineStr">
        <is>
          <t>2019-11-03</t>
        </is>
      </c>
      <c r="F183" s="3" t="n">
        <v>1444000000</v>
      </c>
      <c r="G183" s="8" t="b">
        <v>0</v>
      </c>
      <c r="H183" s="2" t="inlineStr"/>
      <c r="I183" s="8" t="b">
        <v>0</v>
      </c>
      <c r="J183" s="2" t="inlineStr">
        <is>
          <t>https://www.sec.gov/Archives/edgar/data/1730168/000173016821000153/0001730168-21-000153-index.html</t>
        </is>
      </c>
      <c r="K183" s="2" t="inlineStr">
        <is>
          <t>USD</t>
        </is>
      </c>
    </row>
    <row r="184" ht="42" customHeight="1">
      <c r="A184" s="2" t="inlineStr">
        <is>
          <t>fcff</t>
        </is>
      </c>
      <c r="B184" s="2" t="inlineStr">
        <is>
          <t>2019-11-03</t>
        </is>
      </c>
      <c r="C184" s="2" t="inlineStr">
        <is>
          <t>tax_rate</t>
        </is>
      </c>
      <c r="D184" s="2" t="inlineStr">
        <is>
          <t>tax_rate</t>
        </is>
      </c>
      <c r="E184" s="2" t="inlineStr">
        <is>
          <t>2019-11-03</t>
        </is>
      </c>
      <c r="F184" s="3" t="n">
        <v>0</v>
      </c>
      <c r="G184" s="8" t="b">
        <v>0</v>
      </c>
      <c r="H184" s="2" t="inlineStr"/>
      <c r="I184" s="8" t="b">
        <v>0</v>
      </c>
      <c r="J184" s="2" t="inlineStr">
        <is>
          <t>Derived or model input; see parent calculation formula and model assumptions.</t>
        </is>
      </c>
      <c r="K184" s="2" t="inlineStr">
        <is>
          <t>ratio (decimal)</t>
        </is>
      </c>
    </row>
    <row r="185" ht="42" customHeight="1">
      <c r="A185" s="2" t="inlineStr">
        <is>
          <t>fcff</t>
        </is>
      </c>
      <c r="B185" s="2" t="inlineStr">
        <is>
          <t>2019-11-03</t>
        </is>
      </c>
      <c r="C185" s="2" t="inlineStr">
        <is>
          <t>sbc</t>
        </is>
      </c>
      <c r="D185" s="2" t="inlineStr">
        <is>
          <t>sbc</t>
        </is>
      </c>
      <c r="E185" s="2" t="inlineStr">
        <is>
          <t>2019-11-03</t>
        </is>
      </c>
      <c r="F185" s="3" t="n">
        <v>2185000000</v>
      </c>
      <c r="G185" s="8" t="b">
        <v>0</v>
      </c>
      <c r="H185" s="2" t="inlineStr"/>
      <c r="I185" s="8" t="b">
        <v>0</v>
      </c>
      <c r="J185" s="2" t="inlineStr">
        <is>
          <t>https://www.sec.gov/Archives/edgar/data/1730168/000173016821000153/0001730168-21-000153-index.html</t>
        </is>
      </c>
      <c r="K185" s="2" t="inlineStr">
        <is>
          <t>USD</t>
        </is>
      </c>
    </row>
    <row r="186" ht="42" customHeight="1">
      <c r="A186" s="2" t="inlineStr">
        <is>
          <t>fcfe</t>
        </is>
      </c>
      <c r="B186" s="2" t="inlineStr">
        <is>
          <t>2019-11-03</t>
        </is>
      </c>
      <c r="C186" s="2" t="inlineStr">
        <is>
          <t>net_income</t>
        </is>
      </c>
      <c r="D186" s="2" t="inlineStr">
        <is>
          <t>net_income</t>
        </is>
      </c>
      <c r="E186" s="2" t="inlineStr">
        <is>
          <t>2019-11-03</t>
        </is>
      </c>
      <c r="F186" s="3" t="n">
        <v>2724000000</v>
      </c>
      <c r="G186" s="8" t="b">
        <v>0</v>
      </c>
      <c r="H186" s="2" t="inlineStr"/>
      <c r="I186" s="8" t="b">
        <v>0</v>
      </c>
      <c r="J186" s="2" t="inlineStr">
        <is>
          <t>https://www.sec.gov/Archives/edgar/data/1730168/000173016821000153/0001730168-21-000153-index.html</t>
        </is>
      </c>
      <c r="K186" s="2" t="inlineStr">
        <is>
          <t>USD</t>
        </is>
      </c>
    </row>
    <row r="187" ht="42" customHeight="1">
      <c r="A187" s="2" t="inlineStr">
        <is>
          <t>fcfe</t>
        </is>
      </c>
      <c r="B187" s="2" t="inlineStr">
        <is>
          <t>2019-11-03</t>
        </is>
      </c>
      <c r="C187" s="2" t="inlineStr">
        <is>
          <t>d_and_a</t>
        </is>
      </c>
      <c r="D187" s="2" t="inlineStr">
        <is>
          <t>d_and_a</t>
        </is>
      </c>
      <c r="E187" s="2" t="inlineStr">
        <is>
          <t>2019-11-03</t>
        </is>
      </c>
      <c r="F187" s="3" t="n">
        <v>5808000000</v>
      </c>
      <c r="G187" s="8" t="b">
        <v>0</v>
      </c>
      <c r="H187" s="2" t="inlineStr"/>
      <c r="I187" s="8" t="b">
        <v>0</v>
      </c>
      <c r="J187" s="2" t="inlineStr">
        <is>
          <t>https://www.sec.gov/Archives/edgar/data/1730168/000173016821000153/0001730168-21-000153-index.html
https://www.sec.gov/Archives/edgar/data/1730168/000173016819000144/0001730168-19-000144-index.html</t>
        </is>
      </c>
      <c r="K187" s="2" t="inlineStr">
        <is>
          <t>USD</t>
        </is>
      </c>
    </row>
    <row r="188" ht="42" customHeight="1">
      <c r="A188" s="2" t="inlineStr">
        <is>
          <t>fcfe</t>
        </is>
      </c>
      <c r="B188" s="2" t="inlineStr">
        <is>
          <t>2019-11-03</t>
        </is>
      </c>
      <c r="C188" s="2" t="inlineStr">
        <is>
          <t>capex</t>
        </is>
      </c>
      <c r="D188" s="2" t="inlineStr">
        <is>
          <t>capex</t>
        </is>
      </c>
      <c r="E188" s="2" t="inlineStr">
        <is>
          <t>2019-11-03</t>
        </is>
      </c>
      <c r="F188" s="3" t="n">
        <v>432000000</v>
      </c>
      <c r="G188" s="8" t="b">
        <v>0</v>
      </c>
      <c r="H188" s="2" t="inlineStr"/>
      <c r="I188" s="8" t="b">
        <v>0</v>
      </c>
      <c r="J188" s="2" t="inlineStr">
        <is>
          <t>https://www.sec.gov/Archives/edgar/data/1730168/000173016821000153/0001730168-21-000153-index.html</t>
        </is>
      </c>
      <c r="K188" s="2" t="inlineStr">
        <is>
          <t>USD</t>
        </is>
      </c>
    </row>
    <row r="189" ht="42" customHeight="1">
      <c r="A189" s="2" t="inlineStr">
        <is>
          <t>fcfe</t>
        </is>
      </c>
      <c r="B189" s="2" t="inlineStr">
        <is>
          <t>2019-11-03</t>
        </is>
      </c>
      <c r="C189" s="2" t="inlineStr">
        <is>
          <t>change_in_owc</t>
        </is>
      </c>
      <c r="D189" s="2" t="inlineStr">
        <is>
          <t>change_in_owc</t>
        </is>
      </c>
      <c r="E189" s="2" t="inlineStr">
        <is>
          <t>2019-11-03</t>
        </is>
      </c>
      <c r="F189" s="3" t="n">
        <v>-360000000</v>
      </c>
      <c r="G189" s="8" t="b">
        <v>0</v>
      </c>
      <c r="H189" s="2" t="inlineStr"/>
      <c r="I189" s="8" t="b">
        <v>0</v>
      </c>
      <c r="J189" s="2" t="inlineStr">
        <is>
          <t>Derived or model input; see parent calculation formula and model assumptions.</t>
        </is>
      </c>
      <c r="K189" s="2" t="inlineStr">
        <is>
          <t>USD</t>
        </is>
      </c>
    </row>
    <row r="190" ht="42" customHeight="1">
      <c r="A190" s="2" t="inlineStr">
        <is>
          <t>fcfe</t>
        </is>
      </c>
      <c r="B190" s="2" t="inlineStr">
        <is>
          <t>2019-11-03</t>
        </is>
      </c>
      <c r="C190" s="2" t="inlineStr">
        <is>
          <t>debt_issued</t>
        </is>
      </c>
      <c r="D190" s="2" t="inlineStr">
        <is>
          <t>debt_issued</t>
        </is>
      </c>
      <c r="E190" s="2" t="inlineStr">
        <is>
          <t>2019-11-03</t>
        </is>
      </c>
      <c r="F190" s="3" t="n">
        <v>28793000000</v>
      </c>
      <c r="G190" s="8" t="b">
        <v>0</v>
      </c>
      <c r="H190" s="2" t="inlineStr"/>
      <c r="I190" s="8" t="b">
        <v>0</v>
      </c>
      <c r="J190" s="2" t="inlineStr">
        <is>
          <t>https://www.sec.gov/Archives/edgar/data/1730168/000173016821000153/0001730168-21-000153-index.html</t>
        </is>
      </c>
      <c r="K190" s="2" t="inlineStr">
        <is>
          <t>USD</t>
        </is>
      </c>
    </row>
    <row r="191" ht="42" customHeight="1">
      <c r="A191" s="2" t="inlineStr">
        <is>
          <t>fcfe</t>
        </is>
      </c>
      <c r="B191" s="2" t="inlineStr">
        <is>
          <t>2019-11-03</t>
        </is>
      </c>
      <c r="C191" s="2" t="inlineStr">
        <is>
          <t>debt_repaid</t>
        </is>
      </c>
      <c r="D191" s="2" t="inlineStr">
        <is>
          <t>debt_repaid</t>
        </is>
      </c>
      <c r="E191" s="2" t="inlineStr">
        <is>
          <t>2019-11-03</t>
        </is>
      </c>
      <c r="F191" s="3" t="n">
        <v>16800000000</v>
      </c>
      <c r="G191" s="8" t="b">
        <v>0</v>
      </c>
      <c r="H191" s="2" t="inlineStr"/>
      <c r="I191" s="8" t="b">
        <v>0</v>
      </c>
      <c r="J191" s="2" t="inlineStr">
        <is>
          <t>https://www.sec.gov/Archives/edgar/data/1730168/000173016821000153/0001730168-21-000153-index.html</t>
        </is>
      </c>
      <c r="K191" s="2" t="inlineStr">
        <is>
          <t>USD</t>
        </is>
      </c>
    </row>
    <row r="192" ht="42" customHeight="1">
      <c r="A192" s="2" t="inlineStr">
        <is>
          <t>owner-earnings</t>
        </is>
      </c>
      <c r="B192" s="2" t="inlineStr">
        <is>
          <t>2019-11-03</t>
        </is>
      </c>
      <c r="C192" s="2" t="inlineStr">
        <is>
          <t>net_income</t>
        </is>
      </c>
      <c r="D192" s="2" t="inlineStr">
        <is>
          <t>net_income</t>
        </is>
      </c>
      <c r="E192" s="2" t="inlineStr">
        <is>
          <t>2019-11-03</t>
        </is>
      </c>
      <c r="F192" s="3" t="n">
        <v>2724000000</v>
      </c>
      <c r="G192" s="8" t="b">
        <v>0</v>
      </c>
      <c r="H192" s="2" t="inlineStr"/>
      <c r="I192" s="8" t="b">
        <v>0</v>
      </c>
      <c r="J192" s="2" t="inlineStr">
        <is>
          <t>https://www.sec.gov/Archives/edgar/data/1730168/000173016821000153/0001730168-21-000153-index.html</t>
        </is>
      </c>
      <c r="K192" s="2" t="inlineStr">
        <is>
          <t>USD</t>
        </is>
      </c>
    </row>
    <row r="193" ht="42" customHeight="1">
      <c r="A193" s="2" t="inlineStr">
        <is>
          <t>owner-earnings</t>
        </is>
      </c>
      <c r="B193" s="2" t="inlineStr">
        <is>
          <t>2019-11-03</t>
        </is>
      </c>
      <c r="C193" s="2" t="inlineStr">
        <is>
          <t>d_and_a</t>
        </is>
      </c>
      <c r="D193" s="2" t="inlineStr">
        <is>
          <t>d_and_a</t>
        </is>
      </c>
      <c r="E193" s="2" t="inlineStr">
        <is>
          <t>2019-11-03</t>
        </is>
      </c>
      <c r="F193" s="3" t="n">
        <v>5808000000</v>
      </c>
      <c r="G193" s="8" t="b">
        <v>0</v>
      </c>
      <c r="H193" s="2" t="inlineStr"/>
      <c r="I193" s="8" t="b">
        <v>0</v>
      </c>
      <c r="J193" s="2" t="inlineStr">
        <is>
          <t>https://www.sec.gov/Archives/edgar/data/1730168/000173016821000153/0001730168-21-000153-index.html
https://www.sec.gov/Archives/edgar/data/1730168/000173016819000144/0001730168-19-000144-index.html</t>
        </is>
      </c>
      <c r="K193" s="2" t="inlineStr">
        <is>
          <t>USD</t>
        </is>
      </c>
    </row>
    <row r="194" ht="42" customHeight="1">
      <c r="A194" s="2" t="inlineStr">
        <is>
          <t>owner-earnings</t>
        </is>
      </c>
      <c r="B194" s="2" t="inlineStr">
        <is>
          <t>2019-11-03</t>
        </is>
      </c>
      <c r="C194" s="2" t="inlineStr">
        <is>
          <t>change_in_owc</t>
        </is>
      </c>
      <c r="D194" s="2" t="inlineStr">
        <is>
          <t>change_in_owc</t>
        </is>
      </c>
      <c r="E194" s="2" t="inlineStr">
        <is>
          <t>2019-11-03</t>
        </is>
      </c>
      <c r="F194" s="3" t="n">
        <v>-360000000</v>
      </c>
      <c r="G194" s="8" t="b">
        <v>0</v>
      </c>
      <c r="H194" s="2" t="inlineStr"/>
      <c r="I194" s="8" t="b">
        <v>0</v>
      </c>
      <c r="J194" s="2" t="inlineStr">
        <is>
          <t>Derived or model input; see parent calculation formula and model assumptions.</t>
        </is>
      </c>
      <c r="K194" s="2" t="inlineStr">
        <is>
          <t>USD</t>
        </is>
      </c>
    </row>
    <row r="195" ht="42" customHeight="1">
      <c r="A195" s="2" t="inlineStr">
        <is>
          <t>earnings-quality</t>
        </is>
      </c>
      <c r="B195" s="2" t="inlineStr">
        <is>
          <t>2019-11-03</t>
        </is>
      </c>
      <c r="C195" s="2" t="inlineStr">
        <is>
          <t>ocf</t>
        </is>
      </c>
      <c r="D195" s="2" t="inlineStr">
        <is>
          <t>ocf</t>
        </is>
      </c>
      <c r="E195" s="2" t="inlineStr">
        <is>
          <t>2019-11-03</t>
        </is>
      </c>
      <c r="F195" s="3" t="n">
        <v>9697000000</v>
      </c>
      <c r="G195" s="8" t="b">
        <v>0</v>
      </c>
      <c r="H195" s="2" t="inlineStr"/>
      <c r="I195" s="8" t="b">
        <v>0</v>
      </c>
      <c r="J195" s="2" t="inlineStr">
        <is>
          <t>https://www.sec.gov/Archives/edgar/data/1730168/000173016821000153/0001730168-21-000153-index.html</t>
        </is>
      </c>
      <c r="K195" s="2" t="inlineStr">
        <is>
          <t>USD</t>
        </is>
      </c>
    </row>
    <row r="196" ht="42" customHeight="1">
      <c r="A196" s="2" t="inlineStr">
        <is>
          <t>earnings-quality</t>
        </is>
      </c>
      <c r="B196" s="2" t="inlineStr">
        <is>
          <t>2019-11-03</t>
        </is>
      </c>
      <c r="C196" s="2" t="inlineStr">
        <is>
          <t>net_income</t>
        </is>
      </c>
      <c r="D196" s="2" t="inlineStr">
        <is>
          <t>net_income</t>
        </is>
      </c>
      <c r="E196" s="2" t="inlineStr">
        <is>
          <t>2019-11-03</t>
        </is>
      </c>
      <c r="F196" s="3" t="n">
        <v>2724000000</v>
      </c>
      <c r="G196" s="8" t="b">
        <v>0</v>
      </c>
      <c r="H196" s="2" t="inlineStr"/>
      <c r="I196" s="8" t="b">
        <v>0</v>
      </c>
      <c r="J196" s="2" t="inlineStr">
        <is>
          <t>https://www.sec.gov/Archives/edgar/data/1730168/000173016821000153/0001730168-21-000153-index.html</t>
        </is>
      </c>
      <c r="K196" s="2" t="inlineStr">
        <is>
          <t>USD</t>
        </is>
      </c>
    </row>
    <row r="197" ht="42" customHeight="1">
      <c r="A197" s="2" t="inlineStr">
        <is>
          <t>ebitda</t>
        </is>
      </c>
      <c r="B197" s="2" t="inlineStr">
        <is>
          <t>2019-11-03</t>
        </is>
      </c>
      <c r="C197" s="2" t="inlineStr">
        <is>
          <t>operating_income</t>
        </is>
      </c>
      <c r="D197" s="2" t="inlineStr">
        <is>
          <t>operating_income</t>
        </is>
      </c>
      <c r="E197" s="2" t="inlineStr">
        <is>
          <t>2019-11-03</t>
        </is>
      </c>
      <c r="F197" s="3" t="n">
        <v>3444000000</v>
      </c>
      <c r="G197" s="8" t="b">
        <v>0</v>
      </c>
      <c r="H197" s="2" t="inlineStr"/>
      <c r="I197" s="8" t="b">
        <v>0</v>
      </c>
      <c r="J197" s="2" t="inlineStr">
        <is>
          <t>https://www.sec.gov/Archives/edgar/data/1730168/000173016821000153/0001730168-21-000153-index.html</t>
        </is>
      </c>
      <c r="K197" s="2" t="inlineStr">
        <is>
          <t>USD</t>
        </is>
      </c>
    </row>
    <row r="198" ht="42" customHeight="1">
      <c r="A198" s="2" t="inlineStr">
        <is>
          <t>ebitda</t>
        </is>
      </c>
      <c r="B198" s="2" t="inlineStr">
        <is>
          <t>2019-11-03</t>
        </is>
      </c>
      <c r="C198" s="2" t="inlineStr">
        <is>
          <t>d_and_a</t>
        </is>
      </c>
      <c r="D198" s="2" t="inlineStr">
        <is>
          <t>d_and_a</t>
        </is>
      </c>
      <c r="E198" s="2" t="inlineStr">
        <is>
          <t>2019-11-03</t>
        </is>
      </c>
      <c r="F198" s="3" t="n">
        <v>5808000000</v>
      </c>
      <c r="G198" s="8" t="b">
        <v>0</v>
      </c>
      <c r="H198" s="2" t="inlineStr"/>
      <c r="I198" s="8" t="b">
        <v>0</v>
      </c>
      <c r="J198" s="2" t="inlineStr">
        <is>
          <t>https://www.sec.gov/Archives/edgar/data/1730168/000173016821000153/0001730168-21-000153-index.html
https://www.sec.gov/Archives/edgar/data/1730168/000173016819000144/0001730168-19-000144-index.html</t>
        </is>
      </c>
      <c r="K198" s="2" t="inlineStr">
        <is>
          <t>USD</t>
        </is>
      </c>
    </row>
    <row r="199" ht="42" customHeight="1">
      <c r="A199" s="2" t="inlineStr">
        <is>
          <t>nopat</t>
        </is>
      </c>
      <c r="B199" s="2" t="inlineStr">
        <is>
          <t>2019-11-03</t>
        </is>
      </c>
      <c r="C199" s="2" t="inlineStr">
        <is>
          <t>operating_income</t>
        </is>
      </c>
      <c r="D199" s="2" t="inlineStr">
        <is>
          <t>operating_income</t>
        </is>
      </c>
      <c r="E199" s="2" t="inlineStr">
        <is>
          <t>2019-11-03</t>
        </is>
      </c>
      <c r="F199" s="3" t="n">
        <v>3444000000</v>
      </c>
      <c r="G199" s="8" t="b">
        <v>0</v>
      </c>
      <c r="H199" s="2" t="inlineStr"/>
      <c r="I199" s="8" t="b">
        <v>0</v>
      </c>
      <c r="J199" s="2" t="inlineStr">
        <is>
          <t>https://www.sec.gov/Archives/edgar/data/1730168/000173016821000153/0001730168-21-000153-index.html</t>
        </is>
      </c>
      <c r="K199" s="2" t="inlineStr">
        <is>
          <t>USD</t>
        </is>
      </c>
    </row>
    <row r="200" ht="42" customHeight="1">
      <c r="A200" s="2" t="inlineStr">
        <is>
          <t>nopat</t>
        </is>
      </c>
      <c r="B200" s="2" t="inlineStr">
        <is>
          <t>2019-11-03</t>
        </is>
      </c>
      <c r="C200" s="2" t="inlineStr">
        <is>
          <t>tax_rate</t>
        </is>
      </c>
      <c r="D200" s="2" t="inlineStr">
        <is>
          <t>tax_rate</t>
        </is>
      </c>
      <c r="E200" s="2" t="inlineStr">
        <is>
          <t>2019-11-03</t>
        </is>
      </c>
      <c r="F200" s="3" t="n">
        <v>0</v>
      </c>
      <c r="G200" s="8" t="b">
        <v>0</v>
      </c>
      <c r="H200" s="2" t="inlineStr"/>
      <c r="I200" s="8" t="b">
        <v>0</v>
      </c>
      <c r="J200" s="2" t="inlineStr">
        <is>
          <t>Derived or model input; see parent calculation formula and model assumptions.</t>
        </is>
      </c>
      <c r="K200" s="2" t="inlineStr">
        <is>
          <t>ratio (decimal)</t>
        </is>
      </c>
    </row>
    <row r="201" ht="42" customHeight="1">
      <c r="A201" s="2" t="inlineStr">
        <is>
          <t>invested-capital</t>
        </is>
      </c>
      <c r="B201" s="2" t="inlineStr">
        <is>
          <t>2019-11-03</t>
        </is>
      </c>
      <c r="C201" s="2" t="inlineStr">
        <is>
          <t>equity</t>
        </is>
      </c>
      <c r="D201" s="2" t="inlineStr">
        <is>
          <t>equity</t>
        </is>
      </c>
      <c r="E201" s="2" t="inlineStr">
        <is>
          <t>2019-11-03</t>
        </is>
      </c>
      <c r="F201" s="3" t="n">
        <v>24941000000</v>
      </c>
      <c r="G201" s="8" t="b">
        <v>0</v>
      </c>
      <c r="H201" s="2" t="inlineStr"/>
      <c r="I201" s="8" t="b">
        <v>0</v>
      </c>
      <c r="J201" s="2" t="inlineStr">
        <is>
          <t>https://www.sec.gov/Archives/edgar/data/1730168/000173016819000144/0001730168-19-000144-index.html</t>
        </is>
      </c>
      <c r="K201" s="2" t="inlineStr">
        <is>
          <t>USD</t>
        </is>
      </c>
    </row>
    <row r="202" ht="42" customHeight="1">
      <c r="A202" s="2" t="inlineStr">
        <is>
          <t>invested-capital</t>
        </is>
      </c>
      <c r="B202" s="2" t="inlineStr">
        <is>
          <t>2019-11-03</t>
        </is>
      </c>
      <c r="C202" s="2" t="inlineStr">
        <is>
          <t>debt</t>
        </is>
      </c>
      <c r="D202" s="2" t="inlineStr">
        <is>
          <t>debt</t>
        </is>
      </c>
      <c r="E202" s="2" t="inlineStr">
        <is>
          <t>2019-11-03</t>
        </is>
      </c>
      <c r="F202" s="3" t="n">
        <v>32798000000</v>
      </c>
      <c r="G202" s="8" t="b">
        <v>0</v>
      </c>
      <c r="H202" s="2" t="inlineStr"/>
      <c r="I202" s="8" t="b">
        <v>0</v>
      </c>
      <c r="J202" s="2" t="inlineStr">
        <is>
          <t>Derived or model input; see parent calculation formula and model assumptions.</t>
        </is>
      </c>
      <c r="K202" s="2" t="inlineStr">
        <is>
          <t>USD</t>
        </is>
      </c>
    </row>
    <row r="203" ht="42" customHeight="1">
      <c r="A203" s="2" t="inlineStr">
        <is>
          <t>invested-capital</t>
        </is>
      </c>
      <c r="B203" s="2" t="inlineStr">
        <is>
          <t>2019-11-03</t>
        </is>
      </c>
      <c r="C203" s="2" t="inlineStr">
        <is>
          <t>cash_sti</t>
        </is>
      </c>
      <c r="D203" s="2" t="inlineStr">
        <is>
          <t>cash_sti</t>
        </is>
      </c>
      <c r="E203" s="2" t="inlineStr">
        <is>
          <t>2019-11-03</t>
        </is>
      </c>
      <c r="F203" s="3" t="n">
        <v>5055000000</v>
      </c>
      <c r="G203" s="8" t="b">
        <v>0</v>
      </c>
      <c r="H203" s="2" t="inlineStr"/>
      <c r="I203" s="8" t="b">
        <v>0</v>
      </c>
      <c r="J203" s="2" t="inlineStr">
        <is>
          <t>https://www.sec.gov/Archives/edgar/data/1730168/000173016821000153/0001730168-21-000153-index.html</t>
        </is>
      </c>
      <c r="K203" s="2" t="inlineStr">
        <is>
          <t>USD</t>
        </is>
      </c>
    </row>
    <row r="204" ht="42" customHeight="1">
      <c r="A204" s="2" t="inlineStr">
        <is>
          <t>roic</t>
        </is>
      </c>
      <c r="B204" s="2" t="inlineStr">
        <is>
          <t>2019-11-03</t>
        </is>
      </c>
      <c r="C204" s="2" t="inlineStr">
        <is>
          <t>operating_income</t>
        </is>
      </c>
      <c r="D204" s="2" t="inlineStr">
        <is>
          <t>operating_income</t>
        </is>
      </c>
      <c r="E204" s="2" t="inlineStr">
        <is>
          <t>2019-11-03</t>
        </is>
      </c>
      <c r="F204" s="3" t="n">
        <v>3444000000</v>
      </c>
      <c r="G204" s="8" t="b">
        <v>0</v>
      </c>
      <c r="H204" s="2" t="inlineStr"/>
      <c r="I204" s="8" t="b">
        <v>0</v>
      </c>
      <c r="J204" s="2" t="inlineStr">
        <is>
          <t>https://www.sec.gov/Archives/edgar/data/1730168/000173016821000153/0001730168-21-000153-index.html</t>
        </is>
      </c>
      <c r="K204" s="2" t="inlineStr">
        <is>
          <t>USD</t>
        </is>
      </c>
    </row>
    <row r="205" ht="42" customHeight="1">
      <c r="A205" s="2" t="inlineStr">
        <is>
          <t>roic</t>
        </is>
      </c>
      <c r="B205" s="2" t="inlineStr">
        <is>
          <t>2019-11-03</t>
        </is>
      </c>
      <c r="C205" s="2" t="inlineStr">
        <is>
          <t>tax_rate</t>
        </is>
      </c>
      <c r="D205" s="2" t="inlineStr">
        <is>
          <t>tax_rate</t>
        </is>
      </c>
      <c r="E205" s="2" t="inlineStr">
        <is>
          <t>2019-11-03</t>
        </is>
      </c>
      <c r="F205" s="3" t="n">
        <v>0</v>
      </c>
      <c r="G205" s="8" t="b">
        <v>0</v>
      </c>
      <c r="H205" s="2" t="inlineStr"/>
      <c r="I205" s="8" t="b">
        <v>0</v>
      </c>
      <c r="J205" s="2" t="inlineStr">
        <is>
          <t>Derived or model input; see parent calculation formula and model assumptions.</t>
        </is>
      </c>
      <c r="K205" s="2" t="inlineStr">
        <is>
          <t>ratio (decimal)</t>
        </is>
      </c>
    </row>
    <row r="206" ht="42" customHeight="1">
      <c r="A206" s="2" t="inlineStr">
        <is>
          <t>roic</t>
        </is>
      </c>
      <c r="B206" s="2" t="inlineStr">
        <is>
          <t>2019-11-03</t>
        </is>
      </c>
      <c r="C206" s="2" t="inlineStr">
        <is>
          <t>average_invested_capital</t>
        </is>
      </c>
      <c r="D206" s="2" t="inlineStr">
        <is>
          <t>average_invested_capital</t>
        </is>
      </c>
      <c r="E206" s="2" t="inlineStr">
        <is>
          <t>2019-11-03</t>
        </is>
      </c>
      <c r="F206" s="3" t="n">
        <v>46271000000</v>
      </c>
      <c r="G206" s="8" t="b">
        <v>0</v>
      </c>
      <c r="H206" s="2" t="inlineStr"/>
      <c r="I206" s="8" t="b">
        <v>0</v>
      </c>
      <c r="J206" s="2" t="inlineStr">
        <is>
          <t>Derived or model input; see parent calculation formula and model assumptions.</t>
        </is>
      </c>
      <c r="K206" s="2" t="inlineStr">
        <is>
          <t>USD</t>
        </is>
      </c>
    </row>
    <row r="207" ht="42" customHeight="1">
      <c r="A207" s="2" t="inlineStr">
        <is>
          <t>net-debt</t>
        </is>
      </c>
      <c r="B207" s="2" t="inlineStr">
        <is>
          <t>2019-11-03</t>
        </is>
      </c>
      <c r="C207" s="2" t="inlineStr">
        <is>
          <t>debt</t>
        </is>
      </c>
      <c r="D207" s="2" t="inlineStr">
        <is>
          <t>debt</t>
        </is>
      </c>
      <c r="E207" s="2" t="inlineStr">
        <is>
          <t>2019-11-03</t>
        </is>
      </c>
      <c r="F207" s="3" t="n">
        <v>32798000000</v>
      </c>
      <c r="G207" s="8" t="b">
        <v>0</v>
      </c>
      <c r="H207" s="2" t="inlineStr"/>
      <c r="I207" s="8" t="b">
        <v>0</v>
      </c>
      <c r="J207" s="2" t="inlineStr">
        <is>
          <t>Derived or model input; see parent calculation formula and model assumptions.</t>
        </is>
      </c>
      <c r="K207" s="2" t="inlineStr">
        <is>
          <t>USD</t>
        </is>
      </c>
    </row>
    <row r="208" ht="42" customHeight="1">
      <c r="A208" s="2" t="inlineStr">
        <is>
          <t>net-debt</t>
        </is>
      </c>
      <c r="B208" s="2" t="inlineStr">
        <is>
          <t>2019-11-03</t>
        </is>
      </c>
      <c r="C208" s="2" t="inlineStr">
        <is>
          <t>cash_sti</t>
        </is>
      </c>
      <c r="D208" s="2" t="inlineStr">
        <is>
          <t>cash_sti</t>
        </is>
      </c>
      <c r="E208" s="2" t="inlineStr">
        <is>
          <t>2019-11-03</t>
        </is>
      </c>
      <c r="F208" s="3" t="n">
        <v>5055000000</v>
      </c>
      <c r="G208" s="8" t="b">
        <v>0</v>
      </c>
      <c r="H208" s="2" t="inlineStr"/>
      <c r="I208" s="8" t="b">
        <v>0</v>
      </c>
      <c r="J208" s="2" t="inlineStr">
        <is>
          <t>https://www.sec.gov/Archives/edgar/data/1730168/000173016821000153/0001730168-21-000153-index.html</t>
        </is>
      </c>
      <c r="K208" s="2" t="inlineStr">
        <is>
          <t>USD</t>
        </is>
      </c>
    </row>
    <row r="209" ht="42" customHeight="1">
      <c r="A209" s="2" t="inlineStr">
        <is>
          <t>debt-ebitda</t>
        </is>
      </c>
      <c r="B209" s="2" t="inlineStr">
        <is>
          <t>2019-11-03</t>
        </is>
      </c>
      <c r="C209" s="2" t="inlineStr">
        <is>
          <t>debt</t>
        </is>
      </c>
      <c r="D209" s="2" t="inlineStr">
        <is>
          <t>debt</t>
        </is>
      </c>
      <c r="E209" s="2" t="inlineStr">
        <is>
          <t>2019-11-03</t>
        </is>
      </c>
      <c r="F209" s="3" t="n">
        <v>32798000000</v>
      </c>
      <c r="G209" s="8" t="b">
        <v>0</v>
      </c>
      <c r="H209" s="2" t="inlineStr"/>
      <c r="I209" s="8" t="b">
        <v>0</v>
      </c>
      <c r="J209" s="2" t="inlineStr">
        <is>
          <t>Derived or model input; see parent calculation formula and model assumptions.</t>
        </is>
      </c>
      <c r="K209" s="2" t="inlineStr">
        <is>
          <t>USD</t>
        </is>
      </c>
    </row>
    <row r="210" ht="42" customHeight="1">
      <c r="A210" s="2" t="inlineStr">
        <is>
          <t>debt-ebitda</t>
        </is>
      </c>
      <c r="B210" s="2" t="inlineStr">
        <is>
          <t>2019-11-03</t>
        </is>
      </c>
      <c r="C210" s="2" t="inlineStr">
        <is>
          <t>ebitda</t>
        </is>
      </c>
      <c r="D210" s="2" t="inlineStr">
        <is>
          <t>ebitda</t>
        </is>
      </c>
      <c r="E210" s="2" t="inlineStr">
        <is>
          <t>2019-11-03</t>
        </is>
      </c>
      <c r="F210" s="3" t="n">
        <v>9252000000</v>
      </c>
      <c r="G210" s="8" t="b">
        <v>0</v>
      </c>
      <c r="H210" s="2" t="inlineStr"/>
      <c r="I210" s="8" t="b">
        <v>0</v>
      </c>
      <c r="J210" s="2" t="inlineStr">
        <is>
          <t>Derived: ebitda @ 2019-11-03; see Calculations and Calc inputs.</t>
        </is>
      </c>
      <c r="K210" s="2" t="inlineStr">
        <is>
          <t>USD</t>
        </is>
      </c>
    </row>
    <row r="211" ht="42" customHeight="1">
      <c r="A211" s="2" t="inlineStr">
        <is>
          <t>interest-coverage</t>
        </is>
      </c>
      <c r="B211" s="2" t="inlineStr">
        <is>
          <t>2019-11-03</t>
        </is>
      </c>
      <c r="C211" s="2" t="inlineStr">
        <is>
          <t>operating_income</t>
        </is>
      </c>
      <c r="D211" s="2" t="inlineStr">
        <is>
          <t>operating_income</t>
        </is>
      </c>
      <c r="E211" s="2" t="inlineStr">
        <is>
          <t>2019-11-03</t>
        </is>
      </c>
      <c r="F211" s="3" t="n">
        <v>3444000000</v>
      </c>
      <c r="G211" s="8" t="b">
        <v>0</v>
      </c>
      <c r="H211" s="2" t="inlineStr"/>
      <c r="I211" s="8" t="b">
        <v>0</v>
      </c>
      <c r="J211" s="2" t="inlineStr">
        <is>
          <t>https://www.sec.gov/Archives/edgar/data/1730168/000173016821000153/0001730168-21-000153-index.html</t>
        </is>
      </c>
      <c r="K211" s="2" t="inlineStr">
        <is>
          <t>USD</t>
        </is>
      </c>
    </row>
    <row r="212" ht="42" customHeight="1">
      <c r="A212" s="2" t="inlineStr">
        <is>
          <t>interest-coverage</t>
        </is>
      </c>
      <c r="B212" s="2" t="inlineStr">
        <is>
          <t>2019-11-03</t>
        </is>
      </c>
      <c r="C212" s="2" t="inlineStr">
        <is>
          <t>interest_expense</t>
        </is>
      </c>
      <c r="D212" s="2" t="inlineStr">
        <is>
          <t>interest_expense</t>
        </is>
      </c>
      <c r="E212" s="2" t="inlineStr">
        <is>
          <t>2019-11-03</t>
        </is>
      </c>
      <c r="F212" s="3" t="n">
        <v>1444000000</v>
      </c>
      <c r="G212" s="8" t="b">
        <v>0</v>
      </c>
      <c r="H212" s="2" t="inlineStr"/>
      <c r="I212" s="8" t="b">
        <v>0</v>
      </c>
      <c r="J212" s="2" t="inlineStr">
        <is>
          <t>https://www.sec.gov/Archives/edgar/data/1730168/000173016821000153/0001730168-21-000153-index.html</t>
        </is>
      </c>
      <c r="K212" s="2" t="inlineStr">
        <is>
          <t>USD</t>
        </is>
      </c>
    </row>
    <row r="213" ht="42" customHeight="1">
      <c r="A213" s="2" t="inlineStr">
        <is>
          <t>current-ratio</t>
        </is>
      </c>
      <c r="B213" s="2" t="inlineStr">
        <is>
          <t>2019-11-03</t>
        </is>
      </c>
      <c r="C213" s="2" t="inlineStr">
        <is>
          <t>current_assets</t>
        </is>
      </c>
      <c r="D213" s="2" t="inlineStr">
        <is>
          <t>current_assets</t>
        </is>
      </c>
      <c r="E213" s="2" t="inlineStr">
        <is>
          <t>2019-11-03</t>
        </is>
      </c>
      <c r="F213" s="3" t="n">
        <v>9917000000</v>
      </c>
      <c r="G213" s="8" t="b">
        <v>0</v>
      </c>
      <c r="H213" s="2" t="inlineStr"/>
      <c r="I213" s="8" t="b">
        <v>0</v>
      </c>
      <c r="J213" s="2" t="inlineStr">
        <is>
          <t>https://www.sec.gov/Archives/edgar/data/1730168/000173016820000226/0001730168-20-000226-index.html</t>
        </is>
      </c>
      <c r="K213" s="2" t="inlineStr">
        <is>
          <t>USD</t>
        </is>
      </c>
    </row>
    <row r="214" ht="42" customHeight="1">
      <c r="A214" s="2" t="inlineStr">
        <is>
          <t>current-ratio</t>
        </is>
      </c>
      <c r="B214" s="2" t="inlineStr">
        <is>
          <t>2019-11-03</t>
        </is>
      </c>
      <c r="C214" s="2" t="inlineStr">
        <is>
          <t>current_liabilities</t>
        </is>
      </c>
      <c r="D214" s="2" t="inlineStr">
        <is>
          <t>current_liabilities</t>
        </is>
      </c>
      <c r="E214" s="2" t="inlineStr">
        <is>
          <t>2019-11-03</t>
        </is>
      </c>
      <c r="F214" s="3" t="n">
        <v>6899000000</v>
      </c>
      <c r="G214" s="8" t="b">
        <v>0</v>
      </c>
      <c r="H214" s="2" t="inlineStr"/>
      <c r="I214" s="8" t="b">
        <v>0</v>
      </c>
      <c r="J214" s="2" t="inlineStr">
        <is>
          <t>https://www.sec.gov/Archives/edgar/data/1730168/000173016820000226/0001730168-20-000226-index.html</t>
        </is>
      </c>
      <c r="K214" s="2" t="inlineStr">
        <is>
          <t>USD</t>
        </is>
      </c>
    </row>
    <row r="215" ht="42" customHeight="1">
      <c r="A215" s="2" t="inlineStr">
        <is>
          <t>tangible-book-value</t>
        </is>
      </c>
      <c r="B215" s="2" t="inlineStr">
        <is>
          <t>2019-11-03</t>
        </is>
      </c>
      <c r="C215" s="2" t="inlineStr">
        <is>
          <t>equity</t>
        </is>
      </c>
      <c r="D215" s="2" t="inlineStr">
        <is>
          <t>equity</t>
        </is>
      </c>
      <c r="E215" s="2" t="inlineStr">
        <is>
          <t>2019-11-03</t>
        </is>
      </c>
      <c r="F215" s="3" t="n">
        <v>24941000000</v>
      </c>
      <c r="G215" s="8" t="b">
        <v>0</v>
      </c>
      <c r="H215" s="2" t="inlineStr"/>
      <c r="I215" s="8" t="b">
        <v>0</v>
      </c>
      <c r="J215" s="2" t="inlineStr">
        <is>
          <t>https://www.sec.gov/Archives/edgar/data/1730168/000173016819000144/0001730168-19-000144-index.html</t>
        </is>
      </c>
      <c r="K215" s="2" t="inlineStr">
        <is>
          <t>USD</t>
        </is>
      </c>
    </row>
    <row r="216" ht="42" customHeight="1">
      <c r="A216" s="2" t="inlineStr">
        <is>
          <t>tangible-book-value</t>
        </is>
      </c>
      <c r="B216" s="2" t="inlineStr">
        <is>
          <t>2019-11-03</t>
        </is>
      </c>
      <c r="C216" s="2" t="inlineStr">
        <is>
          <t>preferred</t>
        </is>
      </c>
      <c r="D216" s="2" t="inlineStr">
        <is>
          <t>preferred</t>
        </is>
      </c>
      <c r="E216" s="2" t="inlineStr">
        <is>
          <t>2019-11-03</t>
        </is>
      </c>
      <c r="F216" s="3" t="n">
        <v>0</v>
      </c>
      <c r="G216" s="8" t="b">
        <v>0</v>
      </c>
      <c r="H216" s="2" t="inlineStr"/>
      <c r="I216" s="8" t="b">
        <v>0</v>
      </c>
      <c r="J216" s="2" t="inlineStr">
        <is>
          <t>https://www.sec.gov/Archives/edgar/data/1730168/000173016820000226/0001730168-20-000226-index.html</t>
        </is>
      </c>
      <c r="K216" s="2" t="inlineStr">
        <is>
          <t>USD</t>
        </is>
      </c>
    </row>
    <row r="217" ht="42" customHeight="1">
      <c r="A217" s="2" t="inlineStr">
        <is>
          <t>tangible-book-value</t>
        </is>
      </c>
      <c r="B217" s="2" t="inlineStr">
        <is>
          <t>2019-11-03</t>
        </is>
      </c>
      <c r="C217" s="2" t="inlineStr">
        <is>
          <t>goodwill</t>
        </is>
      </c>
      <c r="D217" s="2" t="inlineStr">
        <is>
          <t>goodwill</t>
        </is>
      </c>
      <c r="E217" s="2" t="inlineStr">
        <is>
          <t>2019-11-03</t>
        </is>
      </c>
      <c r="F217" s="3" t="n">
        <v>36714000000</v>
      </c>
      <c r="G217" s="8" t="b">
        <v>0</v>
      </c>
      <c r="H217" s="2" t="inlineStr"/>
      <c r="I217" s="8" t="b">
        <v>0</v>
      </c>
      <c r="J217" s="2" t="inlineStr">
        <is>
          <t>https://www.sec.gov/Archives/edgar/data/1730168/000173016821000153/0001730168-21-000153-index.html</t>
        </is>
      </c>
      <c r="K217" s="2" t="inlineStr">
        <is>
          <t>USD</t>
        </is>
      </c>
    </row>
    <row r="218" ht="42" customHeight="1">
      <c r="A218" s="2" t="inlineStr">
        <is>
          <t>tangible-book-value</t>
        </is>
      </c>
      <c r="B218" s="2" t="inlineStr">
        <is>
          <t>2019-11-03</t>
        </is>
      </c>
      <c r="C218" s="2" t="inlineStr">
        <is>
          <t>intangibles</t>
        </is>
      </c>
      <c r="D218" s="2" t="inlineStr">
        <is>
          <t>intangibles</t>
        </is>
      </c>
      <c r="E218" s="2" t="inlineStr">
        <is>
          <t>2019-11-03</t>
        </is>
      </c>
      <c r="F218" s="3" t="n">
        <v>17554000000</v>
      </c>
      <c r="G218" s="8" t="b">
        <v>0</v>
      </c>
      <c r="H218" s="2" t="inlineStr"/>
      <c r="I218" s="8" t="b">
        <v>0</v>
      </c>
      <c r="J218" s="2" t="inlineStr">
        <is>
          <t>https://www.sec.gov/Archives/edgar/data/1730168/000173016820000226/0001730168-20-000226-index.html</t>
        </is>
      </c>
      <c r="K218" s="2" t="inlineStr">
        <is>
          <t>USD</t>
        </is>
      </c>
    </row>
    <row r="219" ht="42" customHeight="1">
      <c r="A219" s="2" t="inlineStr">
        <is>
          <t>ncav</t>
        </is>
      </c>
      <c r="B219" s="2" t="inlineStr">
        <is>
          <t>2019-11-03</t>
        </is>
      </c>
      <c r="C219" s="2" t="inlineStr">
        <is>
          <t>current_assets</t>
        </is>
      </c>
      <c r="D219" s="2" t="inlineStr">
        <is>
          <t>current_assets</t>
        </is>
      </c>
      <c r="E219" s="2" t="inlineStr">
        <is>
          <t>2019-11-03</t>
        </is>
      </c>
      <c r="F219" s="3" t="n">
        <v>9917000000</v>
      </c>
      <c r="G219" s="8" t="b">
        <v>0</v>
      </c>
      <c r="H219" s="2" t="inlineStr"/>
      <c r="I219" s="8" t="b">
        <v>0</v>
      </c>
      <c r="J219" s="2" t="inlineStr">
        <is>
          <t>https://www.sec.gov/Archives/edgar/data/1730168/000173016820000226/0001730168-20-000226-index.html</t>
        </is>
      </c>
      <c r="K219" s="2" t="inlineStr">
        <is>
          <t>USD</t>
        </is>
      </c>
    </row>
    <row r="220" ht="42" customHeight="1">
      <c r="A220" s="2" t="inlineStr">
        <is>
          <t>ncav</t>
        </is>
      </c>
      <c r="B220" s="2" t="inlineStr">
        <is>
          <t>2019-11-03</t>
        </is>
      </c>
      <c r="C220" s="2" t="inlineStr">
        <is>
          <t>total_liabilities</t>
        </is>
      </c>
      <c r="D220" s="2" t="inlineStr">
        <is>
          <t>total_liabilities</t>
        </is>
      </c>
      <c r="E220" s="2" t="inlineStr">
        <is>
          <t>2019-11-03</t>
        </is>
      </c>
      <c r="F220" s="3" t="n">
        <v>42523000000</v>
      </c>
      <c r="G220" s="8" t="b">
        <v>0</v>
      </c>
      <c r="H220" s="2" t="inlineStr"/>
      <c r="I220" s="8" t="b">
        <v>0</v>
      </c>
      <c r="J220" s="2" t="inlineStr">
        <is>
          <t>https://www.sec.gov/Archives/edgar/data/1730168/000173016820000226/0001730168-20-000226-index.html</t>
        </is>
      </c>
      <c r="K220" s="2" t="inlineStr">
        <is>
          <t>USD</t>
        </is>
      </c>
    </row>
    <row r="221" ht="42" customHeight="1">
      <c r="A221" s="2" t="inlineStr">
        <is>
          <t>ncav</t>
        </is>
      </c>
      <c r="B221" s="2" t="inlineStr">
        <is>
          <t>2019-11-03</t>
        </is>
      </c>
      <c r="C221" s="2" t="inlineStr">
        <is>
          <t>preferred</t>
        </is>
      </c>
      <c r="D221" s="2" t="inlineStr">
        <is>
          <t>preferred</t>
        </is>
      </c>
      <c r="E221" s="2" t="inlineStr">
        <is>
          <t>2019-11-03</t>
        </is>
      </c>
      <c r="F221" s="3" t="n">
        <v>0</v>
      </c>
      <c r="G221" s="8" t="b">
        <v>0</v>
      </c>
      <c r="H221" s="2" t="inlineStr"/>
      <c r="I221" s="8" t="b">
        <v>0</v>
      </c>
      <c r="J221" s="2" t="inlineStr">
        <is>
          <t>https://www.sec.gov/Archives/edgar/data/1730168/000173016820000226/0001730168-20-000226-index.html</t>
        </is>
      </c>
      <c r="K221" s="2" t="inlineStr">
        <is>
          <t>USD</t>
        </is>
      </c>
    </row>
    <row r="222" ht="42" customHeight="1">
      <c r="A222" s="2" t="inlineStr">
        <is>
          <t>dilution</t>
        </is>
      </c>
      <c r="B222" s="2" t="inlineStr">
        <is>
          <t>2019-11-03</t>
        </is>
      </c>
      <c r="C222" s="2" t="inlineStr">
        <is>
          <t>diluted_avg_shares</t>
        </is>
      </c>
      <c r="D222" s="2" t="inlineStr">
        <is>
          <t>diluted_avg_shares</t>
        </is>
      </c>
      <c r="E222" s="2" t="inlineStr">
        <is>
          <t>2019-11-03</t>
        </is>
      </c>
      <c r="F222" s="3" t="n">
        <v>4190000000</v>
      </c>
      <c r="G222" s="8" t="b">
        <v>0</v>
      </c>
      <c r="H222" s="2" t="inlineStr"/>
      <c r="I222" s="8" t="b">
        <v>0</v>
      </c>
      <c r="J222" s="2" t="inlineStr">
        <is>
          <t>https://www.sec.gov/Archives/edgar/data/1730168/000173016821000153/0001730168-21-000153-index.html</t>
        </is>
      </c>
      <c r="K222" s="2" t="inlineStr">
        <is>
          <t>shares</t>
        </is>
      </c>
    </row>
    <row r="223" ht="42" customHeight="1">
      <c r="A223" s="2" t="inlineStr">
        <is>
          <t>dilution</t>
        </is>
      </c>
      <c r="B223" s="2" t="inlineStr">
        <is>
          <t>2019-11-03</t>
        </is>
      </c>
      <c r="C223" s="2" t="inlineStr">
        <is>
          <t>previous_shares</t>
        </is>
      </c>
      <c r="D223" s="2" t="inlineStr">
        <is>
          <t>diluted_avg_shares</t>
        </is>
      </c>
      <c r="E223" s="2" t="inlineStr">
        <is>
          <t>2018-11-04</t>
        </is>
      </c>
      <c r="F223" s="3" t="n">
        <v>4310000000</v>
      </c>
      <c r="G223" s="8" t="b">
        <v>0</v>
      </c>
      <c r="H223" s="2" t="inlineStr"/>
      <c r="I223" s="8" t="b">
        <v>0</v>
      </c>
      <c r="J223" s="2" t="inlineStr">
        <is>
          <t>https://www.sec.gov/Archives/edgar/data/1730168/000173016820000226/0001730168-20-000226-index.html</t>
        </is>
      </c>
      <c r="K223" s="2" t="inlineStr">
        <is>
          <t>shares</t>
        </is>
      </c>
    </row>
    <row r="224" ht="42" customHeight="1">
      <c r="A224" s="2" t="inlineStr">
        <is>
          <t>sbc-to-revenue</t>
        </is>
      </c>
      <c r="B224" s="2" t="inlineStr">
        <is>
          <t>2019-11-03</t>
        </is>
      </c>
      <c r="C224" s="2" t="inlineStr">
        <is>
          <t>sbc</t>
        </is>
      </c>
      <c r="D224" s="2" t="inlineStr">
        <is>
          <t>sbc</t>
        </is>
      </c>
      <c r="E224" s="2" t="inlineStr">
        <is>
          <t>2019-11-03</t>
        </is>
      </c>
      <c r="F224" s="3" t="n">
        <v>2185000000</v>
      </c>
      <c r="G224" s="8" t="b">
        <v>0</v>
      </c>
      <c r="H224" s="2" t="inlineStr"/>
      <c r="I224" s="8" t="b">
        <v>0</v>
      </c>
      <c r="J224" s="2" t="inlineStr">
        <is>
          <t>https://www.sec.gov/Archives/edgar/data/1730168/000173016821000153/0001730168-21-000153-index.html</t>
        </is>
      </c>
      <c r="K224" s="2" t="inlineStr">
        <is>
          <t>USD</t>
        </is>
      </c>
    </row>
    <row r="225" ht="42" customHeight="1">
      <c r="A225" s="2" t="inlineStr">
        <is>
          <t>sbc-to-revenue</t>
        </is>
      </c>
      <c r="B225" s="2" t="inlineStr">
        <is>
          <t>2019-11-03</t>
        </is>
      </c>
      <c r="C225" s="2" t="inlineStr">
        <is>
          <t>revenue</t>
        </is>
      </c>
      <c r="D225" s="2" t="inlineStr">
        <is>
          <t>revenue</t>
        </is>
      </c>
      <c r="E225" s="2" t="inlineStr">
        <is>
          <t>2019-11-03</t>
        </is>
      </c>
      <c r="F225" s="3" t="n">
        <v>22597000000</v>
      </c>
      <c r="G225" s="8" t="b">
        <v>0</v>
      </c>
      <c r="H225" s="2" t="inlineStr"/>
      <c r="I225" s="8" t="b">
        <v>0</v>
      </c>
      <c r="J225" s="2" t="inlineStr">
        <is>
          <t>https://www.sec.gov/Archives/edgar/data/1730168/000173016821000153/0001730168-21-000153-index.html</t>
        </is>
      </c>
      <c r="K225" s="2" t="inlineStr">
        <is>
          <t>USD</t>
        </is>
      </c>
    </row>
    <row r="226" ht="42" customHeight="1">
      <c r="A226" s="2" t="inlineStr">
        <is>
          <t>eps</t>
        </is>
      </c>
      <c r="B226" s="2" t="inlineStr">
        <is>
          <t>2019-11-03</t>
        </is>
      </c>
      <c r="C226" s="2" t="inlineStr">
        <is>
          <t>eps_diluted</t>
        </is>
      </c>
      <c r="D226" s="2" t="inlineStr">
        <is>
          <t>eps_diluted</t>
        </is>
      </c>
      <c r="E226" s="2" t="inlineStr">
        <is>
          <t>2019-11-03</t>
        </is>
      </c>
      <c r="F226" s="3" t="n">
        <v>0.643</v>
      </c>
      <c r="G226" s="8" t="b">
        <v>0</v>
      </c>
      <c r="H226" s="2" t="inlineStr"/>
      <c r="I226" s="8" t="b">
        <v>0</v>
      </c>
      <c r="J226" s="2" t="inlineStr">
        <is>
          <t>https://www.sec.gov/Archives/edgar/data/1730168/000173016821000153/0001730168-21-000153-index.html</t>
        </is>
      </c>
      <c r="K226" s="2" t="inlineStr">
        <is>
          <t>USD per share</t>
        </is>
      </c>
    </row>
    <row r="227" ht="42" customHeight="1">
      <c r="A227" s="2" t="inlineStr">
        <is>
          <t>debt-due-3y</t>
        </is>
      </c>
      <c r="B227" s="2" t="inlineStr">
        <is>
          <t>2019-11-03</t>
        </is>
      </c>
      <c r="C227" s="2" t="inlineStr">
        <is>
          <t>maturity_y1</t>
        </is>
      </c>
      <c r="D227" s="2" t="inlineStr">
        <is>
          <t>maturity_y1</t>
        </is>
      </c>
      <c r="E227" s="2" t="inlineStr">
        <is>
          <t>2019-11-03</t>
        </is>
      </c>
      <c r="F227" s="3" t="n">
        <v>4537000000</v>
      </c>
      <c r="G227" s="8" t="b">
        <v>0</v>
      </c>
      <c r="H227" s="2" t="inlineStr"/>
      <c r="I227" s="8" t="b">
        <v>0</v>
      </c>
      <c r="J227" s="2" t="inlineStr">
        <is>
          <t>https://www.sec.gov/Archives/edgar/data/1730168/000173016819000144/0001730168-19-000144-index.html</t>
        </is>
      </c>
      <c r="K227" s="2" t="inlineStr">
        <is>
          <t>USD</t>
        </is>
      </c>
    </row>
    <row r="228" ht="42" customHeight="1">
      <c r="A228" s="2" t="inlineStr">
        <is>
          <t>debt-due-3y</t>
        </is>
      </c>
      <c r="B228" s="2" t="inlineStr">
        <is>
          <t>2019-11-03</t>
        </is>
      </c>
      <c r="C228" s="2" t="inlineStr">
        <is>
          <t>maturity_y2</t>
        </is>
      </c>
      <c r="D228" s="2" t="inlineStr">
        <is>
          <t>maturity_y2</t>
        </is>
      </c>
      <c r="E228" s="2" t="inlineStr">
        <is>
          <t>2019-11-03</t>
        </is>
      </c>
      <c r="F228" s="3" t="n">
        <v>2750000000</v>
      </c>
      <c r="G228" s="8" t="b">
        <v>0</v>
      </c>
      <c r="H228" s="2" t="inlineStr"/>
      <c r="I228" s="8" t="b">
        <v>0</v>
      </c>
      <c r="J228" s="2" t="inlineStr">
        <is>
          <t>https://www.sec.gov/Archives/edgar/data/1730168/000173016819000144/0001730168-19-000144-index.html</t>
        </is>
      </c>
      <c r="K228" s="2" t="inlineStr">
        <is>
          <t>USD</t>
        </is>
      </c>
    </row>
    <row r="229" ht="42" customHeight="1">
      <c r="A229" s="2" t="inlineStr">
        <is>
          <t>debt-due-3y</t>
        </is>
      </c>
      <c r="B229" s="2" t="inlineStr">
        <is>
          <t>2019-11-03</t>
        </is>
      </c>
      <c r="C229" s="2" t="inlineStr">
        <is>
          <t>maturity_y3</t>
        </is>
      </c>
      <c r="D229" s="2" t="inlineStr">
        <is>
          <t>maturity_y3</t>
        </is>
      </c>
      <c r="E229" s="2" t="inlineStr">
        <is>
          <t>2019-11-03</t>
        </is>
      </c>
      <c r="F229" s="3" t="n">
        <v>5509000000</v>
      </c>
      <c r="G229" s="8" t="b">
        <v>0</v>
      </c>
      <c r="H229" s="2" t="inlineStr"/>
      <c r="I229" s="8" t="b">
        <v>0</v>
      </c>
      <c r="J229" s="2" t="inlineStr">
        <is>
          <t>https://www.sec.gov/Archives/edgar/data/1730168/000173016819000144/0001730168-19-000144-index.html</t>
        </is>
      </c>
      <c r="K229" s="2" t="inlineStr">
        <is>
          <t>USD</t>
        </is>
      </c>
    </row>
    <row r="230" ht="42" customHeight="1">
      <c r="A230" s="2" t="inlineStr">
        <is>
          <t>revenue-growth</t>
        </is>
      </c>
      <c r="B230" s="2" t="inlineStr">
        <is>
          <t>2020-11-01</t>
        </is>
      </c>
      <c r="C230" s="2" t="inlineStr">
        <is>
          <t>revenue</t>
        </is>
      </c>
      <c r="D230" s="2" t="inlineStr">
        <is>
          <t>revenue</t>
        </is>
      </c>
      <c r="E230" s="2" t="inlineStr">
        <is>
          <t>2020-11-01</t>
        </is>
      </c>
      <c r="F230" s="3" t="n">
        <v>23888000000</v>
      </c>
      <c r="G230" s="8" t="b">
        <v>0</v>
      </c>
      <c r="H230" s="2" t="inlineStr"/>
      <c r="I230" s="8" t="b">
        <v>0</v>
      </c>
      <c r="J230" s="2" t="inlineStr">
        <is>
          <t>https://www.sec.gov/Archives/edgar/data/1730168/000173016822000118/0001730168-22-000118-index.html</t>
        </is>
      </c>
      <c r="K230" s="2" t="inlineStr">
        <is>
          <t>USD</t>
        </is>
      </c>
    </row>
    <row r="231" ht="42" customHeight="1">
      <c r="A231" s="2" t="inlineStr">
        <is>
          <t>revenue-growth</t>
        </is>
      </c>
      <c r="B231" s="2" t="inlineStr">
        <is>
          <t>2020-11-01</t>
        </is>
      </c>
      <c r="C231" s="2" t="inlineStr">
        <is>
          <t>previous_revenue</t>
        </is>
      </c>
      <c r="D231" s="2" t="inlineStr">
        <is>
          <t>revenue</t>
        </is>
      </c>
      <c r="E231" s="2" t="inlineStr">
        <is>
          <t>2019-11-03</t>
        </is>
      </c>
      <c r="F231" s="3" t="n">
        <v>22597000000</v>
      </c>
      <c r="G231" s="8" t="b">
        <v>0</v>
      </c>
      <c r="H231" s="2" t="inlineStr"/>
      <c r="I231" s="8" t="b">
        <v>0</v>
      </c>
      <c r="J231" s="2" t="inlineStr">
        <is>
          <t>https://www.sec.gov/Archives/edgar/data/1730168/000173016821000153/0001730168-21-000153-index.html</t>
        </is>
      </c>
      <c r="K231" s="2" t="inlineStr">
        <is>
          <t>USD</t>
        </is>
      </c>
    </row>
    <row r="232" ht="42" customHeight="1">
      <c r="A232" s="2" t="inlineStr">
        <is>
          <t>gross-margin</t>
        </is>
      </c>
      <c r="B232" s="2" t="inlineStr">
        <is>
          <t>2020-11-01</t>
        </is>
      </c>
      <c r="C232" s="2" t="inlineStr">
        <is>
          <t>gross_profit</t>
        </is>
      </c>
      <c r="D232" s="2" t="inlineStr">
        <is>
          <t>gross_profit</t>
        </is>
      </c>
      <c r="E232" s="2" t="inlineStr">
        <is>
          <t>2020-11-01</t>
        </is>
      </c>
      <c r="F232" s="3" t="n">
        <v>13516000000</v>
      </c>
      <c r="G232" s="8" t="b">
        <v>0</v>
      </c>
      <c r="H232" s="2" t="inlineStr"/>
      <c r="I232" s="8" t="b">
        <v>0</v>
      </c>
      <c r="J232" s="2" t="inlineStr">
        <is>
          <t>https://www.sec.gov/Archives/edgar/data/1730168/000173016822000118/0001730168-22-000118-index.html</t>
        </is>
      </c>
      <c r="K232" s="2" t="inlineStr">
        <is>
          <t>USD</t>
        </is>
      </c>
    </row>
    <row r="233" ht="42" customHeight="1">
      <c r="A233" s="2" t="inlineStr">
        <is>
          <t>gross-margin</t>
        </is>
      </c>
      <c r="B233" s="2" t="inlineStr">
        <is>
          <t>2020-11-01</t>
        </is>
      </c>
      <c r="C233" s="2" t="inlineStr">
        <is>
          <t>revenue</t>
        </is>
      </c>
      <c r="D233" s="2" t="inlineStr">
        <is>
          <t>revenue</t>
        </is>
      </c>
      <c r="E233" s="2" t="inlineStr">
        <is>
          <t>2020-11-01</t>
        </is>
      </c>
      <c r="F233" s="3" t="n">
        <v>23888000000</v>
      </c>
      <c r="G233" s="8" t="b">
        <v>0</v>
      </c>
      <c r="H233" s="2" t="inlineStr"/>
      <c r="I233" s="8" t="b">
        <v>0</v>
      </c>
      <c r="J233" s="2" t="inlineStr">
        <is>
          <t>https://www.sec.gov/Archives/edgar/data/1730168/000173016822000118/0001730168-22-000118-index.html</t>
        </is>
      </c>
      <c r="K233" s="2" t="inlineStr">
        <is>
          <t>USD</t>
        </is>
      </c>
    </row>
    <row r="234" ht="42" customHeight="1">
      <c r="A234" s="2" t="inlineStr">
        <is>
          <t>operating-margin</t>
        </is>
      </c>
      <c r="B234" s="2" t="inlineStr">
        <is>
          <t>2020-11-01</t>
        </is>
      </c>
      <c r="C234" s="2" t="inlineStr">
        <is>
          <t>operating_income</t>
        </is>
      </c>
      <c r="D234" s="2" t="inlineStr">
        <is>
          <t>operating_income</t>
        </is>
      </c>
      <c r="E234" s="2" t="inlineStr">
        <is>
          <t>2020-11-01</t>
        </is>
      </c>
      <c r="F234" s="3" t="n">
        <v>4014000000</v>
      </c>
      <c r="G234" s="8" t="b">
        <v>0</v>
      </c>
      <c r="H234" s="2" t="inlineStr"/>
      <c r="I234" s="8" t="b">
        <v>0</v>
      </c>
      <c r="J234" s="2" t="inlineStr">
        <is>
          <t>https://www.sec.gov/Archives/edgar/data/1730168/000173016822000118/0001730168-22-000118-index.html</t>
        </is>
      </c>
      <c r="K234" s="2" t="inlineStr">
        <is>
          <t>USD</t>
        </is>
      </c>
    </row>
    <row r="235" ht="42" customHeight="1">
      <c r="A235" s="2" t="inlineStr">
        <is>
          <t>operating-margin</t>
        </is>
      </c>
      <c r="B235" s="2" t="inlineStr">
        <is>
          <t>2020-11-01</t>
        </is>
      </c>
      <c r="C235" s="2" t="inlineStr">
        <is>
          <t>revenue</t>
        </is>
      </c>
      <c r="D235" s="2" t="inlineStr">
        <is>
          <t>revenue</t>
        </is>
      </c>
      <c r="E235" s="2" t="inlineStr">
        <is>
          <t>2020-11-01</t>
        </is>
      </c>
      <c r="F235" s="3" t="n">
        <v>23888000000</v>
      </c>
      <c r="G235" s="8" t="b">
        <v>0</v>
      </c>
      <c r="H235" s="2" t="inlineStr"/>
      <c r="I235" s="8" t="b">
        <v>0</v>
      </c>
      <c r="J235" s="2" t="inlineStr">
        <is>
          <t>https://www.sec.gov/Archives/edgar/data/1730168/000173016822000118/0001730168-22-000118-index.html</t>
        </is>
      </c>
      <c r="K235" s="2" t="inlineStr">
        <is>
          <t>USD</t>
        </is>
      </c>
    </row>
    <row r="236" ht="42" customHeight="1">
      <c r="A236" s="2" t="inlineStr">
        <is>
          <t>net-margin</t>
        </is>
      </c>
      <c r="B236" s="2" t="inlineStr">
        <is>
          <t>2020-11-01</t>
        </is>
      </c>
      <c r="C236" s="2" t="inlineStr">
        <is>
          <t>net_income</t>
        </is>
      </c>
      <c r="D236" s="2" t="inlineStr">
        <is>
          <t>net_income</t>
        </is>
      </c>
      <c r="E236" s="2" t="inlineStr">
        <is>
          <t>2020-11-01</t>
        </is>
      </c>
      <c r="F236" s="3" t="n">
        <v>2960000000</v>
      </c>
      <c r="G236" s="8" t="b">
        <v>0</v>
      </c>
      <c r="H236" s="2" t="inlineStr"/>
      <c r="I236" s="8" t="b">
        <v>0</v>
      </c>
      <c r="J236" s="2" t="inlineStr">
        <is>
          <t>https://www.sec.gov/Archives/edgar/data/1730168/000173016822000118/0001730168-22-000118-index.html</t>
        </is>
      </c>
      <c r="K236" s="2" t="inlineStr">
        <is>
          <t>USD</t>
        </is>
      </c>
    </row>
    <row r="237" ht="42" customHeight="1">
      <c r="A237" s="2" t="inlineStr">
        <is>
          <t>net-margin</t>
        </is>
      </c>
      <c r="B237" s="2" t="inlineStr">
        <is>
          <t>2020-11-01</t>
        </is>
      </c>
      <c r="C237" s="2" t="inlineStr">
        <is>
          <t>revenue</t>
        </is>
      </c>
      <c r="D237" s="2" t="inlineStr">
        <is>
          <t>revenue</t>
        </is>
      </c>
      <c r="E237" s="2" t="inlineStr">
        <is>
          <t>2020-11-01</t>
        </is>
      </c>
      <c r="F237" s="3" t="n">
        <v>23888000000</v>
      </c>
      <c r="G237" s="8" t="b">
        <v>0</v>
      </c>
      <c r="H237" s="2" t="inlineStr"/>
      <c r="I237" s="8" t="b">
        <v>0</v>
      </c>
      <c r="J237" s="2" t="inlineStr">
        <is>
          <t>https://www.sec.gov/Archives/edgar/data/1730168/000173016822000118/0001730168-22-000118-index.html</t>
        </is>
      </c>
      <c r="K237" s="2" t="inlineStr">
        <is>
          <t>USD</t>
        </is>
      </c>
    </row>
    <row r="238" ht="42" customHeight="1">
      <c r="A238" s="2" t="inlineStr">
        <is>
          <t>fcf</t>
        </is>
      </c>
      <c r="B238" s="2" t="inlineStr">
        <is>
          <t>2020-11-01</t>
        </is>
      </c>
      <c r="C238" s="2" t="inlineStr">
        <is>
          <t>ocf</t>
        </is>
      </c>
      <c r="D238" s="2" t="inlineStr">
        <is>
          <t>ocf</t>
        </is>
      </c>
      <c r="E238" s="2" t="inlineStr">
        <is>
          <t>2020-11-01</t>
        </is>
      </c>
      <c r="F238" s="3" t="n">
        <v>12061000000</v>
      </c>
      <c r="G238" s="8" t="b">
        <v>0</v>
      </c>
      <c r="H238" s="2" t="inlineStr"/>
      <c r="I238" s="8" t="b">
        <v>0</v>
      </c>
      <c r="J238" s="2" t="inlineStr">
        <is>
          <t>https://www.sec.gov/Archives/edgar/data/1730168/000173016822000118/0001730168-22-000118-index.html</t>
        </is>
      </c>
      <c r="K238" s="2" t="inlineStr">
        <is>
          <t>USD</t>
        </is>
      </c>
    </row>
    <row r="239" ht="42" customHeight="1">
      <c r="A239" s="2" t="inlineStr">
        <is>
          <t>fcf</t>
        </is>
      </c>
      <c r="B239" s="2" t="inlineStr">
        <is>
          <t>2020-11-01</t>
        </is>
      </c>
      <c r="C239" s="2" t="inlineStr">
        <is>
          <t>capex</t>
        </is>
      </c>
      <c r="D239" s="2" t="inlineStr">
        <is>
          <t>capex</t>
        </is>
      </c>
      <c r="E239" s="2" t="inlineStr">
        <is>
          <t>2020-11-01</t>
        </is>
      </c>
      <c r="F239" s="3" t="n">
        <v>463000000</v>
      </c>
      <c r="G239" s="8" t="b">
        <v>0</v>
      </c>
      <c r="H239" s="2" t="inlineStr"/>
      <c r="I239" s="8" t="b">
        <v>0</v>
      </c>
      <c r="J239" s="2" t="inlineStr">
        <is>
          <t>https://www.sec.gov/Archives/edgar/data/1730168/000173016822000118/0001730168-22-000118-index.html</t>
        </is>
      </c>
      <c r="K239" s="2" t="inlineStr">
        <is>
          <t>USD</t>
        </is>
      </c>
    </row>
    <row r="240" ht="42" customHeight="1">
      <c r="A240" s="2" t="inlineStr">
        <is>
          <t>fcf-margin</t>
        </is>
      </c>
      <c r="B240" s="2" t="inlineStr">
        <is>
          <t>2020-11-01</t>
        </is>
      </c>
      <c r="C240" s="2" t="inlineStr">
        <is>
          <t>ocf</t>
        </is>
      </c>
      <c r="D240" s="2" t="inlineStr">
        <is>
          <t>ocf</t>
        </is>
      </c>
      <c r="E240" s="2" t="inlineStr">
        <is>
          <t>2020-11-01</t>
        </is>
      </c>
      <c r="F240" s="3" t="n">
        <v>12061000000</v>
      </c>
      <c r="G240" s="8" t="b">
        <v>0</v>
      </c>
      <c r="H240" s="2" t="inlineStr"/>
      <c r="I240" s="8" t="b">
        <v>0</v>
      </c>
      <c r="J240" s="2" t="inlineStr">
        <is>
          <t>https://www.sec.gov/Archives/edgar/data/1730168/000173016822000118/0001730168-22-000118-index.html</t>
        </is>
      </c>
      <c r="K240" s="2" t="inlineStr">
        <is>
          <t>USD</t>
        </is>
      </c>
    </row>
    <row r="241" ht="42" customHeight="1">
      <c r="A241" s="2" t="inlineStr">
        <is>
          <t>fcf-margin</t>
        </is>
      </c>
      <c r="B241" s="2" t="inlineStr">
        <is>
          <t>2020-11-01</t>
        </is>
      </c>
      <c r="C241" s="2" t="inlineStr">
        <is>
          <t>capex</t>
        </is>
      </c>
      <c r="D241" s="2" t="inlineStr">
        <is>
          <t>capex</t>
        </is>
      </c>
      <c r="E241" s="2" t="inlineStr">
        <is>
          <t>2020-11-01</t>
        </is>
      </c>
      <c r="F241" s="3" t="n">
        <v>463000000</v>
      </c>
      <c r="G241" s="8" t="b">
        <v>0</v>
      </c>
      <c r="H241" s="2" t="inlineStr"/>
      <c r="I241" s="8" t="b">
        <v>0</v>
      </c>
      <c r="J241" s="2" t="inlineStr">
        <is>
          <t>https://www.sec.gov/Archives/edgar/data/1730168/000173016822000118/0001730168-22-000118-index.html</t>
        </is>
      </c>
      <c r="K241" s="2" t="inlineStr">
        <is>
          <t>USD</t>
        </is>
      </c>
    </row>
    <row r="242" ht="42" customHeight="1">
      <c r="A242" s="2" t="inlineStr">
        <is>
          <t>fcf-margin</t>
        </is>
      </c>
      <c r="B242" s="2" t="inlineStr">
        <is>
          <t>2020-11-01</t>
        </is>
      </c>
      <c r="C242" s="2" t="inlineStr">
        <is>
          <t>revenue</t>
        </is>
      </c>
      <c r="D242" s="2" t="inlineStr">
        <is>
          <t>revenue</t>
        </is>
      </c>
      <c r="E242" s="2" t="inlineStr">
        <is>
          <t>2020-11-01</t>
        </is>
      </c>
      <c r="F242" s="3" t="n">
        <v>23888000000</v>
      </c>
      <c r="G242" s="8" t="b">
        <v>0</v>
      </c>
      <c r="H242" s="2" t="inlineStr"/>
      <c r="I242" s="8" t="b">
        <v>0</v>
      </c>
      <c r="J242" s="2" t="inlineStr">
        <is>
          <t>https://www.sec.gov/Archives/edgar/data/1730168/000173016822000118/0001730168-22-000118-index.html</t>
        </is>
      </c>
      <c r="K242" s="2" t="inlineStr">
        <is>
          <t>USD</t>
        </is>
      </c>
    </row>
    <row r="243" ht="42" customHeight="1">
      <c r="A243" s="2" t="inlineStr">
        <is>
          <t>fcff</t>
        </is>
      </c>
      <c r="B243" s="2" t="inlineStr">
        <is>
          <t>2020-11-01</t>
        </is>
      </c>
      <c r="C243" s="2" t="inlineStr">
        <is>
          <t>ocf</t>
        </is>
      </c>
      <c r="D243" s="2" t="inlineStr">
        <is>
          <t>ocf</t>
        </is>
      </c>
      <c r="E243" s="2" t="inlineStr">
        <is>
          <t>2020-11-01</t>
        </is>
      </c>
      <c r="F243" s="3" t="n">
        <v>12061000000</v>
      </c>
      <c r="G243" s="8" t="b">
        <v>0</v>
      </c>
      <c r="H243" s="2" t="inlineStr"/>
      <c r="I243" s="8" t="b">
        <v>0</v>
      </c>
      <c r="J243" s="2" t="inlineStr">
        <is>
          <t>https://www.sec.gov/Archives/edgar/data/1730168/000173016822000118/0001730168-22-000118-index.html</t>
        </is>
      </c>
      <c r="K243" s="2" t="inlineStr">
        <is>
          <t>USD</t>
        </is>
      </c>
    </row>
    <row r="244" ht="42" customHeight="1">
      <c r="A244" s="2" t="inlineStr">
        <is>
          <t>fcff</t>
        </is>
      </c>
      <c r="B244" s="2" t="inlineStr">
        <is>
          <t>2020-11-01</t>
        </is>
      </c>
      <c r="C244" s="2" t="inlineStr">
        <is>
          <t>capex</t>
        </is>
      </c>
      <c r="D244" s="2" t="inlineStr">
        <is>
          <t>capex</t>
        </is>
      </c>
      <c r="E244" s="2" t="inlineStr">
        <is>
          <t>2020-11-01</t>
        </is>
      </c>
      <c r="F244" s="3" t="n">
        <v>463000000</v>
      </c>
      <c r="G244" s="8" t="b">
        <v>0</v>
      </c>
      <c r="H244" s="2" t="inlineStr"/>
      <c r="I244" s="8" t="b">
        <v>0</v>
      </c>
      <c r="J244" s="2" t="inlineStr">
        <is>
          <t>https://www.sec.gov/Archives/edgar/data/1730168/000173016822000118/0001730168-22-000118-index.html</t>
        </is>
      </c>
      <c r="K244" s="2" t="inlineStr">
        <is>
          <t>USD</t>
        </is>
      </c>
    </row>
    <row r="245" ht="42" customHeight="1">
      <c r="A245" s="2" t="inlineStr">
        <is>
          <t>fcff</t>
        </is>
      </c>
      <c r="B245" s="2" t="inlineStr">
        <is>
          <t>2020-11-01</t>
        </is>
      </c>
      <c r="C245" s="2" t="inlineStr">
        <is>
          <t>interest_expense</t>
        </is>
      </c>
      <c r="D245" s="2" t="inlineStr">
        <is>
          <t>interest_expense</t>
        </is>
      </c>
      <c r="E245" s="2" t="inlineStr">
        <is>
          <t>2020-11-01</t>
        </is>
      </c>
      <c r="F245" s="3" t="n">
        <v>1777000000</v>
      </c>
      <c r="G245" s="8" t="b">
        <v>0</v>
      </c>
      <c r="H245" s="2" t="inlineStr"/>
      <c r="I245" s="8" t="b">
        <v>0</v>
      </c>
      <c r="J245" s="2" t="inlineStr">
        <is>
          <t>https://www.sec.gov/Archives/edgar/data/1730168/000173016822000118/0001730168-22-000118-index.html</t>
        </is>
      </c>
      <c r="K245" s="2" t="inlineStr">
        <is>
          <t>USD</t>
        </is>
      </c>
    </row>
    <row r="246" ht="42" customHeight="1">
      <c r="A246" s="2" t="inlineStr">
        <is>
          <t>fcff</t>
        </is>
      </c>
      <c r="B246" s="2" t="inlineStr">
        <is>
          <t>2020-11-01</t>
        </is>
      </c>
      <c r="C246" s="2" t="inlineStr">
        <is>
          <t>tax_rate</t>
        </is>
      </c>
      <c r="D246" s="2" t="inlineStr">
        <is>
          <t>tax_rate</t>
        </is>
      </c>
      <c r="E246" s="2" t="inlineStr">
        <is>
          <t>2020-11-01</t>
        </is>
      </c>
      <c r="F246" s="3" t="n">
        <v>0</v>
      </c>
      <c r="G246" s="8" t="b">
        <v>0</v>
      </c>
      <c r="H246" s="2" t="inlineStr"/>
      <c r="I246" s="8" t="b">
        <v>0</v>
      </c>
      <c r="J246" s="2" t="inlineStr">
        <is>
          <t>Derived or model input; see parent calculation formula and model assumptions.</t>
        </is>
      </c>
      <c r="K246" s="2" t="inlineStr">
        <is>
          <t>ratio (decimal)</t>
        </is>
      </c>
    </row>
    <row r="247" ht="42" customHeight="1">
      <c r="A247" s="2" t="inlineStr">
        <is>
          <t>fcff</t>
        </is>
      </c>
      <c r="B247" s="2" t="inlineStr">
        <is>
          <t>2020-11-01</t>
        </is>
      </c>
      <c r="C247" s="2" t="inlineStr">
        <is>
          <t>sbc</t>
        </is>
      </c>
      <c r="D247" s="2" t="inlineStr">
        <is>
          <t>sbc</t>
        </is>
      </c>
      <c r="E247" s="2" t="inlineStr">
        <is>
          <t>2020-11-01</t>
        </is>
      </c>
      <c r="F247" s="3" t="n">
        <v>1976000000</v>
      </c>
      <c r="G247" s="8" t="b">
        <v>0</v>
      </c>
      <c r="H247" s="2" t="inlineStr"/>
      <c r="I247" s="8" t="b">
        <v>0</v>
      </c>
      <c r="J247" s="2" t="inlineStr">
        <is>
          <t>https://www.sec.gov/Archives/edgar/data/1730168/000173016822000118/0001730168-22-000118-index.html</t>
        </is>
      </c>
      <c r="K247" s="2" t="inlineStr">
        <is>
          <t>USD</t>
        </is>
      </c>
    </row>
    <row r="248" ht="42" customHeight="1">
      <c r="A248" s="2" t="inlineStr">
        <is>
          <t>fcfe</t>
        </is>
      </c>
      <c r="B248" s="2" t="inlineStr">
        <is>
          <t>2020-11-01</t>
        </is>
      </c>
      <c r="C248" s="2" t="inlineStr">
        <is>
          <t>net_income</t>
        </is>
      </c>
      <c r="D248" s="2" t="inlineStr">
        <is>
          <t>net_income</t>
        </is>
      </c>
      <c r="E248" s="2" t="inlineStr">
        <is>
          <t>2020-11-01</t>
        </is>
      </c>
      <c r="F248" s="3" t="n">
        <v>2960000000</v>
      </c>
      <c r="G248" s="8" t="b">
        <v>0</v>
      </c>
      <c r="H248" s="2" t="inlineStr"/>
      <c r="I248" s="8" t="b">
        <v>0</v>
      </c>
      <c r="J248" s="2" t="inlineStr">
        <is>
          <t>https://www.sec.gov/Archives/edgar/data/1730168/000173016822000118/0001730168-22-000118-index.html</t>
        </is>
      </c>
      <c r="K248" s="2" t="inlineStr">
        <is>
          <t>USD</t>
        </is>
      </c>
    </row>
    <row r="249" ht="42" customHeight="1">
      <c r="A249" s="2" t="inlineStr">
        <is>
          <t>fcfe</t>
        </is>
      </c>
      <c r="B249" s="2" t="inlineStr">
        <is>
          <t>2020-11-01</t>
        </is>
      </c>
      <c r="C249" s="2" t="inlineStr">
        <is>
          <t>capex</t>
        </is>
      </c>
      <c r="D249" s="2" t="inlineStr">
        <is>
          <t>capex</t>
        </is>
      </c>
      <c r="E249" s="2" t="inlineStr">
        <is>
          <t>2020-11-01</t>
        </is>
      </c>
      <c r="F249" s="3" t="n">
        <v>463000000</v>
      </c>
      <c r="G249" s="8" t="b">
        <v>0</v>
      </c>
      <c r="H249" s="2" t="inlineStr"/>
      <c r="I249" s="8" t="b">
        <v>0</v>
      </c>
      <c r="J249" s="2" t="inlineStr">
        <is>
          <t>https://www.sec.gov/Archives/edgar/data/1730168/000173016822000118/0001730168-22-000118-index.html</t>
        </is>
      </c>
      <c r="K249" s="2" t="inlineStr">
        <is>
          <t>USD</t>
        </is>
      </c>
    </row>
    <row r="250" ht="42" customHeight="1">
      <c r="A250" s="2" t="inlineStr">
        <is>
          <t>fcfe</t>
        </is>
      </c>
      <c r="B250" s="2" t="inlineStr">
        <is>
          <t>2020-11-01</t>
        </is>
      </c>
      <c r="C250" s="2" t="inlineStr">
        <is>
          <t>change_in_owc</t>
        </is>
      </c>
      <c r="D250" s="2" t="inlineStr">
        <is>
          <t>change_in_owc</t>
        </is>
      </c>
      <c r="E250" s="2" t="inlineStr">
        <is>
          <t>2020-11-01</t>
        </is>
      </c>
      <c r="F250" s="3" t="n">
        <v>-814000000</v>
      </c>
      <c r="G250" s="8" t="b">
        <v>0</v>
      </c>
      <c r="H250" s="2" t="inlineStr"/>
      <c r="I250" s="8" t="b">
        <v>0</v>
      </c>
      <c r="J250" s="2" t="inlineStr">
        <is>
          <t>Derived or model input; see parent calculation formula and model assumptions.</t>
        </is>
      </c>
      <c r="K250" s="2" t="inlineStr">
        <is>
          <t>USD</t>
        </is>
      </c>
    </row>
    <row r="251" ht="42" customHeight="1">
      <c r="A251" s="2" t="inlineStr">
        <is>
          <t>fcfe</t>
        </is>
      </c>
      <c r="B251" s="2" t="inlineStr">
        <is>
          <t>2020-11-01</t>
        </is>
      </c>
      <c r="C251" s="2" t="inlineStr">
        <is>
          <t>debt_issued</t>
        </is>
      </c>
      <c r="D251" s="2" t="inlineStr">
        <is>
          <t>debt_issued</t>
        </is>
      </c>
      <c r="E251" s="2" t="inlineStr">
        <is>
          <t>2020-11-01</t>
        </is>
      </c>
      <c r="F251" s="3" t="n">
        <v>27802000000</v>
      </c>
      <c r="G251" s="8" t="b">
        <v>0</v>
      </c>
      <c r="H251" s="2" t="inlineStr"/>
      <c r="I251" s="8" t="b">
        <v>0</v>
      </c>
      <c r="J251" s="2" t="inlineStr">
        <is>
          <t>https://www.sec.gov/Archives/edgar/data/1730168/000173016822000118/0001730168-22-000118-index.html</t>
        </is>
      </c>
      <c r="K251" s="2" t="inlineStr">
        <is>
          <t>USD</t>
        </is>
      </c>
    </row>
    <row r="252" ht="42" customHeight="1">
      <c r="A252" s="2" t="inlineStr">
        <is>
          <t>fcfe</t>
        </is>
      </c>
      <c r="B252" s="2" t="inlineStr">
        <is>
          <t>2020-11-01</t>
        </is>
      </c>
      <c r="C252" s="2" t="inlineStr">
        <is>
          <t>debt_repaid</t>
        </is>
      </c>
      <c r="D252" s="2" t="inlineStr">
        <is>
          <t>debt_repaid</t>
        </is>
      </c>
      <c r="E252" s="2" t="inlineStr">
        <is>
          <t>2020-11-01</t>
        </is>
      </c>
      <c r="F252" s="3" t="n">
        <v>18814000000</v>
      </c>
      <c r="G252" s="8" t="b">
        <v>0</v>
      </c>
      <c r="H252" s="2" t="inlineStr"/>
      <c r="I252" s="8" t="b">
        <v>0</v>
      </c>
      <c r="J252" s="2" t="inlineStr">
        <is>
          <t>https://www.sec.gov/Archives/edgar/data/1730168/000173016822000118/0001730168-22-000118-index.html</t>
        </is>
      </c>
      <c r="K252" s="2" t="inlineStr">
        <is>
          <t>USD</t>
        </is>
      </c>
    </row>
    <row r="253" ht="42" customHeight="1">
      <c r="A253" s="2" t="inlineStr">
        <is>
          <t>owner-earnings</t>
        </is>
      </c>
      <c r="B253" s="2" t="inlineStr">
        <is>
          <t>2020-11-01</t>
        </is>
      </c>
      <c r="C253" s="2" t="inlineStr">
        <is>
          <t>net_income</t>
        </is>
      </c>
      <c r="D253" s="2" t="inlineStr">
        <is>
          <t>net_income</t>
        </is>
      </c>
      <c r="E253" s="2" t="inlineStr">
        <is>
          <t>2020-11-01</t>
        </is>
      </c>
      <c r="F253" s="3" t="n">
        <v>2960000000</v>
      </c>
      <c r="G253" s="8" t="b">
        <v>0</v>
      </c>
      <c r="H253" s="2" t="inlineStr"/>
      <c r="I253" s="8" t="b">
        <v>0</v>
      </c>
      <c r="J253" s="2" t="inlineStr">
        <is>
          <t>https://www.sec.gov/Archives/edgar/data/1730168/000173016822000118/0001730168-22-000118-index.html</t>
        </is>
      </c>
      <c r="K253" s="2" t="inlineStr">
        <is>
          <t>USD</t>
        </is>
      </c>
    </row>
    <row r="254" ht="42" customHeight="1">
      <c r="A254" s="2" t="inlineStr">
        <is>
          <t>owner-earnings</t>
        </is>
      </c>
      <c r="B254" s="2" t="inlineStr">
        <is>
          <t>2020-11-01</t>
        </is>
      </c>
      <c r="C254" s="2" t="inlineStr">
        <is>
          <t>change_in_owc</t>
        </is>
      </c>
      <c r="D254" s="2" t="inlineStr">
        <is>
          <t>change_in_owc</t>
        </is>
      </c>
      <c r="E254" s="2" t="inlineStr">
        <is>
          <t>2020-11-01</t>
        </is>
      </c>
      <c r="F254" s="3" t="n">
        <v>-814000000</v>
      </c>
      <c r="G254" s="8" t="b">
        <v>0</v>
      </c>
      <c r="H254" s="2" t="inlineStr"/>
      <c r="I254" s="8" t="b">
        <v>0</v>
      </c>
      <c r="J254" s="2" t="inlineStr">
        <is>
          <t>Derived or model input; see parent calculation formula and model assumptions.</t>
        </is>
      </c>
      <c r="K254" s="2" t="inlineStr">
        <is>
          <t>USD</t>
        </is>
      </c>
    </row>
    <row r="255" ht="42" customHeight="1">
      <c r="A255" s="2" t="inlineStr">
        <is>
          <t>earnings-quality</t>
        </is>
      </c>
      <c r="B255" s="2" t="inlineStr">
        <is>
          <t>2020-11-01</t>
        </is>
      </c>
      <c r="C255" s="2" t="inlineStr">
        <is>
          <t>ocf</t>
        </is>
      </c>
      <c r="D255" s="2" t="inlineStr">
        <is>
          <t>ocf</t>
        </is>
      </c>
      <c r="E255" s="2" t="inlineStr">
        <is>
          <t>2020-11-01</t>
        </is>
      </c>
      <c r="F255" s="3" t="n">
        <v>12061000000</v>
      </c>
      <c r="G255" s="8" t="b">
        <v>0</v>
      </c>
      <c r="H255" s="2" t="inlineStr"/>
      <c r="I255" s="8" t="b">
        <v>0</v>
      </c>
      <c r="J255" s="2" t="inlineStr">
        <is>
          <t>https://www.sec.gov/Archives/edgar/data/1730168/000173016822000118/0001730168-22-000118-index.html</t>
        </is>
      </c>
      <c r="K255" s="2" t="inlineStr">
        <is>
          <t>USD</t>
        </is>
      </c>
    </row>
    <row r="256" ht="42" customHeight="1">
      <c r="A256" s="2" t="inlineStr">
        <is>
          <t>earnings-quality</t>
        </is>
      </c>
      <c r="B256" s="2" t="inlineStr">
        <is>
          <t>2020-11-01</t>
        </is>
      </c>
      <c r="C256" s="2" t="inlineStr">
        <is>
          <t>net_income</t>
        </is>
      </c>
      <c r="D256" s="2" t="inlineStr">
        <is>
          <t>net_income</t>
        </is>
      </c>
      <c r="E256" s="2" t="inlineStr">
        <is>
          <t>2020-11-01</t>
        </is>
      </c>
      <c r="F256" s="3" t="n">
        <v>2960000000</v>
      </c>
      <c r="G256" s="8" t="b">
        <v>0</v>
      </c>
      <c r="H256" s="2" t="inlineStr"/>
      <c r="I256" s="8" t="b">
        <v>0</v>
      </c>
      <c r="J256" s="2" t="inlineStr">
        <is>
          <t>https://www.sec.gov/Archives/edgar/data/1730168/000173016822000118/0001730168-22-000118-index.html</t>
        </is>
      </c>
      <c r="K256" s="2" t="inlineStr">
        <is>
          <t>USD</t>
        </is>
      </c>
    </row>
    <row r="257" ht="42" customHeight="1">
      <c r="A257" s="2" t="inlineStr">
        <is>
          <t>ebitda</t>
        </is>
      </c>
      <c r="B257" s="2" t="inlineStr">
        <is>
          <t>2020-11-01</t>
        </is>
      </c>
      <c r="C257" s="2" t="inlineStr">
        <is>
          <t>operating_income</t>
        </is>
      </c>
      <c r="D257" s="2" t="inlineStr">
        <is>
          <t>operating_income</t>
        </is>
      </c>
      <c r="E257" s="2" t="inlineStr">
        <is>
          <t>2020-11-01</t>
        </is>
      </c>
      <c r="F257" s="3" t="n">
        <v>4014000000</v>
      </c>
      <c r="G257" s="8" t="b">
        <v>0</v>
      </c>
      <c r="H257" s="2" t="inlineStr"/>
      <c r="I257" s="8" t="b">
        <v>0</v>
      </c>
      <c r="J257" s="2" t="inlineStr">
        <is>
          <t>https://www.sec.gov/Archives/edgar/data/1730168/000173016822000118/0001730168-22-000118-index.html</t>
        </is>
      </c>
      <c r="K257" s="2" t="inlineStr">
        <is>
          <t>USD</t>
        </is>
      </c>
    </row>
    <row r="258" ht="42" customHeight="1">
      <c r="A258" s="2" t="inlineStr">
        <is>
          <t>nopat</t>
        </is>
      </c>
      <c r="B258" s="2" t="inlineStr">
        <is>
          <t>2020-11-01</t>
        </is>
      </c>
      <c r="C258" s="2" t="inlineStr">
        <is>
          <t>operating_income</t>
        </is>
      </c>
      <c r="D258" s="2" t="inlineStr">
        <is>
          <t>operating_income</t>
        </is>
      </c>
      <c r="E258" s="2" t="inlineStr">
        <is>
          <t>2020-11-01</t>
        </is>
      </c>
      <c r="F258" s="3" t="n">
        <v>4014000000</v>
      </c>
      <c r="G258" s="8" t="b">
        <v>0</v>
      </c>
      <c r="H258" s="2" t="inlineStr"/>
      <c r="I258" s="8" t="b">
        <v>0</v>
      </c>
      <c r="J258" s="2" t="inlineStr">
        <is>
          <t>https://www.sec.gov/Archives/edgar/data/1730168/000173016822000118/0001730168-22-000118-index.html</t>
        </is>
      </c>
      <c r="K258" s="2" t="inlineStr">
        <is>
          <t>USD</t>
        </is>
      </c>
    </row>
    <row r="259" ht="42" customHeight="1">
      <c r="A259" s="2" t="inlineStr">
        <is>
          <t>nopat</t>
        </is>
      </c>
      <c r="B259" s="2" t="inlineStr">
        <is>
          <t>2020-11-01</t>
        </is>
      </c>
      <c r="C259" s="2" t="inlineStr">
        <is>
          <t>tax_rate</t>
        </is>
      </c>
      <c r="D259" s="2" t="inlineStr">
        <is>
          <t>tax_rate</t>
        </is>
      </c>
      <c r="E259" s="2" t="inlineStr">
        <is>
          <t>2020-11-01</t>
        </is>
      </c>
      <c r="F259" s="3" t="n">
        <v>0</v>
      </c>
      <c r="G259" s="8" t="b">
        <v>0</v>
      </c>
      <c r="H259" s="2" t="inlineStr"/>
      <c r="I259" s="8" t="b">
        <v>0</v>
      </c>
      <c r="J259" s="2" t="inlineStr">
        <is>
          <t>Derived or model input; see parent calculation formula and model assumptions.</t>
        </is>
      </c>
      <c r="K259" s="2" t="inlineStr">
        <is>
          <t>ratio (decimal)</t>
        </is>
      </c>
    </row>
    <row r="260" ht="42" customHeight="1">
      <c r="A260" s="2" t="inlineStr">
        <is>
          <t>invested-capital</t>
        </is>
      </c>
      <c r="B260" s="2" t="inlineStr">
        <is>
          <t>2020-11-01</t>
        </is>
      </c>
      <c r="C260" s="2" t="inlineStr">
        <is>
          <t>equity</t>
        </is>
      </c>
      <c r="D260" s="2" t="inlineStr">
        <is>
          <t>equity</t>
        </is>
      </c>
      <c r="E260" s="2" t="inlineStr">
        <is>
          <t>2020-11-01</t>
        </is>
      </c>
      <c r="F260" s="3" t="n">
        <v>23874000000</v>
      </c>
      <c r="G260" s="8" t="b">
        <v>0</v>
      </c>
      <c r="H260" s="2" t="inlineStr"/>
      <c r="I260" s="8" t="b">
        <v>0</v>
      </c>
      <c r="J260" s="2" t="inlineStr">
        <is>
          <t>https://www.sec.gov/Archives/edgar/data/1730168/000173016823000096/0001730168-23-000096-index.html</t>
        </is>
      </c>
      <c r="K260" s="2" t="inlineStr">
        <is>
          <t>USD</t>
        </is>
      </c>
    </row>
    <row r="261" ht="42" customHeight="1">
      <c r="A261" s="2" t="inlineStr">
        <is>
          <t>invested-capital</t>
        </is>
      </c>
      <c r="B261" s="2" t="inlineStr">
        <is>
          <t>2020-11-01</t>
        </is>
      </c>
      <c r="C261" s="2" t="inlineStr">
        <is>
          <t>debt</t>
        </is>
      </c>
      <c r="D261" s="2" t="inlineStr">
        <is>
          <t>debt</t>
        </is>
      </c>
      <c r="E261" s="2" t="inlineStr">
        <is>
          <t>2020-11-01</t>
        </is>
      </c>
      <c r="F261" s="3" t="n">
        <v>41062000000</v>
      </c>
      <c r="G261" s="8" t="b">
        <v>0</v>
      </c>
      <c r="H261" s="2" t="inlineStr"/>
      <c r="I261" s="8" t="b">
        <v>0</v>
      </c>
      <c r="J261" s="2" t="inlineStr">
        <is>
          <t>Derived or model input; see parent calculation formula and model assumptions.</t>
        </is>
      </c>
      <c r="K261" s="2" t="inlineStr">
        <is>
          <t>USD</t>
        </is>
      </c>
    </row>
    <row r="262" ht="42" customHeight="1">
      <c r="A262" s="2" t="inlineStr">
        <is>
          <t>invested-capital</t>
        </is>
      </c>
      <c r="B262" s="2" t="inlineStr">
        <is>
          <t>2020-11-01</t>
        </is>
      </c>
      <c r="C262" s="2" t="inlineStr">
        <is>
          <t>cash_sti</t>
        </is>
      </c>
      <c r="D262" s="2" t="inlineStr">
        <is>
          <t>cash_sti</t>
        </is>
      </c>
      <c r="E262" s="2" t="inlineStr">
        <is>
          <t>2020-11-01</t>
        </is>
      </c>
      <c r="F262" s="3" t="n">
        <v>7618000000</v>
      </c>
      <c r="G262" s="8" t="b">
        <v>0</v>
      </c>
      <c r="H262" s="2" t="inlineStr"/>
      <c r="I262" s="8" t="b">
        <v>0</v>
      </c>
      <c r="J262" s="2" t="inlineStr">
        <is>
          <t>https://www.sec.gov/Archives/edgar/data/1730168/000173016821000153/0001730168-21-000153-index.html</t>
        </is>
      </c>
      <c r="K262" s="2" t="inlineStr">
        <is>
          <t>USD</t>
        </is>
      </c>
    </row>
    <row r="263" ht="42" customHeight="1">
      <c r="A263" s="2" t="inlineStr">
        <is>
          <t>roic</t>
        </is>
      </c>
      <c r="B263" s="2" t="inlineStr">
        <is>
          <t>2020-11-01</t>
        </is>
      </c>
      <c r="C263" s="2" t="inlineStr">
        <is>
          <t>operating_income</t>
        </is>
      </c>
      <c r="D263" s="2" t="inlineStr">
        <is>
          <t>operating_income</t>
        </is>
      </c>
      <c r="E263" s="2" t="inlineStr">
        <is>
          <t>2020-11-01</t>
        </is>
      </c>
      <c r="F263" s="3" t="n">
        <v>4014000000</v>
      </c>
      <c r="G263" s="8" t="b">
        <v>0</v>
      </c>
      <c r="H263" s="2" t="inlineStr"/>
      <c r="I263" s="8" t="b">
        <v>0</v>
      </c>
      <c r="J263" s="2" t="inlineStr">
        <is>
          <t>https://www.sec.gov/Archives/edgar/data/1730168/000173016822000118/0001730168-22-000118-index.html</t>
        </is>
      </c>
      <c r="K263" s="2" t="inlineStr">
        <is>
          <t>USD</t>
        </is>
      </c>
    </row>
    <row r="264" ht="42" customHeight="1">
      <c r="A264" s="2" t="inlineStr">
        <is>
          <t>roic</t>
        </is>
      </c>
      <c r="B264" s="2" t="inlineStr">
        <is>
          <t>2020-11-01</t>
        </is>
      </c>
      <c r="C264" s="2" t="inlineStr">
        <is>
          <t>tax_rate</t>
        </is>
      </c>
      <c r="D264" s="2" t="inlineStr">
        <is>
          <t>tax_rate</t>
        </is>
      </c>
      <c r="E264" s="2" t="inlineStr">
        <is>
          <t>2020-11-01</t>
        </is>
      </c>
      <c r="F264" s="3" t="n">
        <v>0</v>
      </c>
      <c r="G264" s="8" t="b">
        <v>0</v>
      </c>
      <c r="H264" s="2" t="inlineStr"/>
      <c r="I264" s="8" t="b">
        <v>0</v>
      </c>
      <c r="J264" s="2" t="inlineStr">
        <is>
          <t>Derived or model input; see parent calculation formula and model assumptions.</t>
        </is>
      </c>
      <c r="K264" s="2" t="inlineStr">
        <is>
          <t>ratio (decimal)</t>
        </is>
      </c>
    </row>
    <row r="265" ht="42" customHeight="1">
      <c r="A265" s="2" t="inlineStr">
        <is>
          <t>roic</t>
        </is>
      </c>
      <c r="B265" s="2" t="inlineStr">
        <is>
          <t>2020-11-01</t>
        </is>
      </c>
      <c r="C265" s="2" t="inlineStr">
        <is>
          <t>average_invested_capital</t>
        </is>
      </c>
      <c r="D265" s="2" t="inlineStr">
        <is>
          <t>average_invested_capital</t>
        </is>
      </c>
      <c r="E265" s="2" t="inlineStr">
        <is>
          <t>2020-11-01</t>
        </is>
      </c>
      <c r="F265" s="3" t="n">
        <v>55001000000</v>
      </c>
      <c r="G265" s="8" t="b">
        <v>0</v>
      </c>
      <c r="H265" s="2" t="inlineStr"/>
      <c r="I265" s="8" t="b">
        <v>0</v>
      </c>
      <c r="J265" s="2" t="inlineStr">
        <is>
          <t>Derived or model input; see parent calculation formula and model assumptions.</t>
        </is>
      </c>
      <c r="K265" s="2" t="inlineStr">
        <is>
          <t>USD</t>
        </is>
      </c>
    </row>
    <row r="266" ht="42" customHeight="1">
      <c r="A266" s="2" t="inlineStr">
        <is>
          <t>net-debt</t>
        </is>
      </c>
      <c r="B266" s="2" t="inlineStr">
        <is>
          <t>2020-11-01</t>
        </is>
      </c>
      <c r="C266" s="2" t="inlineStr">
        <is>
          <t>debt</t>
        </is>
      </c>
      <c r="D266" s="2" t="inlineStr">
        <is>
          <t>debt</t>
        </is>
      </c>
      <c r="E266" s="2" t="inlineStr">
        <is>
          <t>2020-11-01</t>
        </is>
      </c>
      <c r="F266" s="3" t="n">
        <v>41062000000</v>
      </c>
      <c r="G266" s="8" t="b">
        <v>0</v>
      </c>
      <c r="H266" s="2" t="inlineStr"/>
      <c r="I266" s="8" t="b">
        <v>0</v>
      </c>
      <c r="J266" s="2" t="inlineStr">
        <is>
          <t>Derived or model input; see parent calculation formula and model assumptions.</t>
        </is>
      </c>
      <c r="K266" s="2" t="inlineStr">
        <is>
          <t>USD</t>
        </is>
      </c>
    </row>
    <row r="267" ht="42" customHeight="1">
      <c r="A267" s="2" t="inlineStr">
        <is>
          <t>net-debt</t>
        </is>
      </c>
      <c r="B267" s="2" t="inlineStr">
        <is>
          <t>2020-11-01</t>
        </is>
      </c>
      <c r="C267" s="2" t="inlineStr">
        <is>
          <t>cash_sti</t>
        </is>
      </c>
      <c r="D267" s="2" t="inlineStr">
        <is>
          <t>cash_sti</t>
        </is>
      </c>
      <c r="E267" s="2" t="inlineStr">
        <is>
          <t>2020-11-01</t>
        </is>
      </c>
      <c r="F267" s="3" t="n">
        <v>7618000000</v>
      </c>
      <c r="G267" s="8" t="b">
        <v>0</v>
      </c>
      <c r="H267" s="2" t="inlineStr"/>
      <c r="I267" s="8" t="b">
        <v>0</v>
      </c>
      <c r="J267" s="2" t="inlineStr">
        <is>
          <t>https://www.sec.gov/Archives/edgar/data/1730168/000173016821000153/0001730168-21-000153-index.html</t>
        </is>
      </c>
      <c r="K267" s="2" t="inlineStr">
        <is>
          <t>USD</t>
        </is>
      </c>
    </row>
    <row r="268" ht="42" customHeight="1">
      <c r="A268" s="2" t="inlineStr">
        <is>
          <t>debt-ebitda</t>
        </is>
      </c>
      <c r="B268" s="2" t="inlineStr">
        <is>
          <t>2020-11-01</t>
        </is>
      </c>
      <c r="C268" s="2" t="inlineStr">
        <is>
          <t>debt</t>
        </is>
      </c>
      <c r="D268" s="2" t="inlineStr">
        <is>
          <t>debt</t>
        </is>
      </c>
      <c r="E268" s="2" t="inlineStr">
        <is>
          <t>2020-11-01</t>
        </is>
      </c>
      <c r="F268" s="3" t="n">
        <v>41062000000</v>
      </c>
      <c r="G268" s="8" t="b">
        <v>0</v>
      </c>
      <c r="H268" s="2" t="inlineStr"/>
      <c r="I268" s="8" t="b">
        <v>0</v>
      </c>
      <c r="J268" s="2" t="inlineStr">
        <is>
          <t>Derived or model input; see parent calculation formula and model assumptions.</t>
        </is>
      </c>
      <c r="K268" s="2" t="inlineStr">
        <is>
          <t>USD</t>
        </is>
      </c>
    </row>
    <row r="269" ht="42" customHeight="1">
      <c r="A269" s="2" t="inlineStr">
        <is>
          <t>interest-coverage</t>
        </is>
      </c>
      <c r="B269" s="2" t="inlineStr">
        <is>
          <t>2020-11-01</t>
        </is>
      </c>
      <c r="C269" s="2" t="inlineStr">
        <is>
          <t>operating_income</t>
        </is>
      </c>
      <c r="D269" s="2" t="inlineStr">
        <is>
          <t>operating_income</t>
        </is>
      </c>
      <c r="E269" s="2" t="inlineStr">
        <is>
          <t>2020-11-01</t>
        </is>
      </c>
      <c r="F269" s="3" t="n">
        <v>4014000000</v>
      </c>
      <c r="G269" s="8" t="b">
        <v>0</v>
      </c>
      <c r="H269" s="2" t="inlineStr"/>
      <c r="I269" s="8" t="b">
        <v>0</v>
      </c>
      <c r="J269" s="2" t="inlineStr">
        <is>
          <t>https://www.sec.gov/Archives/edgar/data/1730168/000173016822000118/0001730168-22-000118-index.html</t>
        </is>
      </c>
      <c r="K269" s="2" t="inlineStr">
        <is>
          <t>USD</t>
        </is>
      </c>
    </row>
    <row r="270" ht="42" customHeight="1">
      <c r="A270" s="2" t="inlineStr">
        <is>
          <t>interest-coverage</t>
        </is>
      </c>
      <c r="B270" s="2" t="inlineStr">
        <is>
          <t>2020-11-01</t>
        </is>
      </c>
      <c r="C270" s="2" t="inlineStr">
        <is>
          <t>interest_expense</t>
        </is>
      </c>
      <c r="D270" s="2" t="inlineStr">
        <is>
          <t>interest_expense</t>
        </is>
      </c>
      <c r="E270" s="2" t="inlineStr">
        <is>
          <t>2020-11-01</t>
        </is>
      </c>
      <c r="F270" s="3" t="n">
        <v>1777000000</v>
      </c>
      <c r="G270" s="8" t="b">
        <v>0</v>
      </c>
      <c r="H270" s="2" t="inlineStr"/>
      <c r="I270" s="8" t="b">
        <v>0</v>
      </c>
      <c r="J270" s="2" t="inlineStr">
        <is>
          <t>https://www.sec.gov/Archives/edgar/data/1730168/000173016822000118/0001730168-22-000118-index.html</t>
        </is>
      </c>
      <c r="K270" s="2" t="inlineStr">
        <is>
          <t>USD</t>
        </is>
      </c>
    </row>
    <row r="271" ht="42" customHeight="1">
      <c r="A271" s="2" t="inlineStr">
        <is>
          <t>current-ratio</t>
        </is>
      </c>
      <c r="B271" s="2" t="inlineStr">
        <is>
          <t>2020-11-01</t>
        </is>
      </c>
      <c r="C271" s="2" t="inlineStr">
        <is>
          <t>current_assets</t>
        </is>
      </c>
      <c r="D271" s="2" t="inlineStr">
        <is>
          <t>current_assets</t>
        </is>
      </c>
      <c r="E271" s="2" t="inlineStr">
        <is>
          <t>2020-11-01</t>
        </is>
      </c>
      <c r="F271" s="3" t="n">
        <v>11895000000</v>
      </c>
      <c r="G271" s="8" t="b">
        <v>0</v>
      </c>
      <c r="H271" s="2" t="inlineStr"/>
      <c r="I271" s="8" t="b">
        <v>0</v>
      </c>
      <c r="J271" s="2" t="inlineStr">
        <is>
          <t>https://www.sec.gov/Archives/edgar/data/1730168/000173016821000153/0001730168-21-000153-index.html</t>
        </is>
      </c>
      <c r="K271" s="2" t="inlineStr">
        <is>
          <t>USD</t>
        </is>
      </c>
    </row>
    <row r="272" ht="42" customHeight="1">
      <c r="A272" s="2" t="inlineStr">
        <is>
          <t>current-ratio</t>
        </is>
      </c>
      <c r="B272" s="2" t="inlineStr">
        <is>
          <t>2020-11-01</t>
        </is>
      </c>
      <c r="C272" s="2" t="inlineStr">
        <is>
          <t>current_liabilities</t>
        </is>
      </c>
      <c r="D272" s="2" t="inlineStr">
        <is>
          <t>current_liabilities</t>
        </is>
      </c>
      <c r="E272" s="2" t="inlineStr">
        <is>
          <t>2020-11-01</t>
        </is>
      </c>
      <c r="F272" s="3" t="n">
        <v>6371000000</v>
      </c>
      <c r="G272" s="8" t="b">
        <v>0</v>
      </c>
      <c r="H272" s="2" t="inlineStr"/>
      <c r="I272" s="8" t="b">
        <v>0</v>
      </c>
      <c r="J272" s="2" t="inlineStr">
        <is>
          <t>https://www.sec.gov/Archives/edgar/data/1730168/000173016821000153/0001730168-21-000153-index.html</t>
        </is>
      </c>
      <c r="K272" s="2" t="inlineStr">
        <is>
          <t>USD</t>
        </is>
      </c>
    </row>
    <row r="273" ht="42" customHeight="1">
      <c r="A273" s="2" t="inlineStr">
        <is>
          <t>tangible-book-value</t>
        </is>
      </c>
      <c r="B273" s="2" t="inlineStr">
        <is>
          <t>2020-11-01</t>
        </is>
      </c>
      <c r="C273" s="2" t="inlineStr">
        <is>
          <t>equity</t>
        </is>
      </c>
      <c r="D273" s="2" t="inlineStr">
        <is>
          <t>equity</t>
        </is>
      </c>
      <c r="E273" s="2" t="inlineStr">
        <is>
          <t>2020-11-01</t>
        </is>
      </c>
      <c r="F273" s="3" t="n">
        <v>23874000000</v>
      </c>
      <c r="G273" s="8" t="b">
        <v>0</v>
      </c>
      <c r="H273" s="2" t="inlineStr"/>
      <c r="I273" s="8" t="b">
        <v>0</v>
      </c>
      <c r="J273" s="2" t="inlineStr">
        <is>
          <t>https://www.sec.gov/Archives/edgar/data/1730168/000173016823000096/0001730168-23-000096-index.html</t>
        </is>
      </c>
      <c r="K273" s="2" t="inlineStr">
        <is>
          <t>USD</t>
        </is>
      </c>
    </row>
    <row r="274" ht="42" customHeight="1">
      <c r="A274" s="2" t="inlineStr">
        <is>
          <t>tangible-book-value</t>
        </is>
      </c>
      <c r="B274" s="2" t="inlineStr">
        <is>
          <t>2020-11-01</t>
        </is>
      </c>
      <c r="C274" s="2" t="inlineStr">
        <is>
          <t>preferred</t>
        </is>
      </c>
      <c r="D274" s="2" t="inlineStr">
        <is>
          <t>preferred</t>
        </is>
      </c>
      <c r="E274" s="2" t="inlineStr">
        <is>
          <t>2020-11-01</t>
        </is>
      </c>
      <c r="F274" s="3" t="n">
        <v>0</v>
      </c>
      <c r="G274" s="8" t="b">
        <v>0</v>
      </c>
      <c r="H274" s="2" t="inlineStr"/>
      <c r="I274" s="8" t="b">
        <v>0</v>
      </c>
      <c r="J274" s="2" t="inlineStr">
        <is>
          <t>https://www.sec.gov/Archives/edgar/data/1730168/000173016821000153/0001730168-21-000153-index.html</t>
        </is>
      </c>
      <c r="K274" s="2" t="inlineStr">
        <is>
          <t>USD</t>
        </is>
      </c>
    </row>
    <row r="275" ht="42" customHeight="1">
      <c r="A275" s="2" t="inlineStr">
        <is>
          <t>tangible-book-value</t>
        </is>
      </c>
      <c r="B275" s="2" t="inlineStr">
        <is>
          <t>2020-11-01</t>
        </is>
      </c>
      <c r="C275" s="2" t="inlineStr">
        <is>
          <t>goodwill</t>
        </is>
      </c>
      <c r="D275" s="2" t="inlineStr">
        <is>
          <t>goodwill</t>
        </is>
      </c>
      <c r="E275" s="2" t="inlineStr">
        <is>
          <t>2020-11-01</t>
        </is>
      </c>
      <c r="F275" s="3" t="n">
        <v>43447000000</v>
      </c>
      <c r="G275" s="8" t="b">
        <v>0</v>
      </c>
      <c r="H275" s="2" t="inlineStr"/>
      <c r="I275" s="8" t="b">
        <v>0</v>
      </c>
      <c r="J275" s="2" t="inlineStr">
        <is>
          <t>https://www.sec.gov/Archives/edgar/data/1730168/000173016822000118/0001730168-22-000118-index.html</t>
        </is>
      </c>
      <c r="K275" s="2" t="inlineStr">
        <is>
          <t>USD</t>
        </is>
      </c>
    </row>
    <row r="276" ht="42" customHeight="1">
      <c r="A276" s="2" t="inlineStr">
        <is>
          <t>tangible-book-value</t>
        </is>
      </c>
      <c r="B276" s="2" t="inlineStr">
        <is>
          <t>2020-11-01</t>
        </is>
      </c>
      <c r="C276" s="2" t="inlineStr">
        <is>
          <t>intangibles</t>
        </is>
      </c>
      <c r="D276" s="2" t="inlineStr">
        <is>
          <t>intangibles</t>
        </is>
      </c>
      <c r="E276" s="2" t="inlineStr">
        <is>
          <t>2020-11-01</t>
        </is>
      </c>
      <c r="F276" s="3" t="n">
        <v>16782000000</v>
      </c>
      <c r="G276" s="8" t="b">
        <v>0</v>
      </c>
      <c r="H276" s="2" t="inlineStr"/>
      <c r="I276" s="8" t="b">
        <v>0</v>
      </c>
      <c r="J276" s="2" t="inlineStr">
        <is>
          <t>https://www.sec.gov/Archives/edgar/data/1730168/000173016821000153/0001730168-21-000153-index.html</t>
        </is>
      </c>
      <c r="K276" s="2" t="inlineStr">
        <is>
          <t>USD</t>
        </is>
      </c>
    </row>
    <row r="277" ht="42" customHeight="1">
      <c r="A277" s="2" t="inlineStr">
        <is>
          <t>ncav</t>
        </is>
      </c>
      <c r="B277" s="2" t="inlineStr">
        <is>
          <t>2020-11-01</t>
        </is>
      </c>
      <c r="C277" s="2" t="inlineStr">
        <is>
          <t>current_assets</t>
        </is>
      </c>
      <c r="D277" s="2" t="inlineStr">
        <is>
          <t>current_assets</t>
        </is>
      </c>
      <c r="E277" s="2" t="inlineStr">
        <is>
          <t>2020-11-01</t>
        </is>
      </c>
      <c r="F277" s="3" t="n">
        <v>11895000000</v>
      </c>
      <c r="G277" s="8" t="b">
        <v>0</v>
      </c>
      <c r="H277" s="2" t="inlineStr"/>
      <c r="I277" s="8" t="b">
        <v>0</v>
      </c>
      <c r="J277" s="2" t="inlineStr">
        <is>
          <t>https://www.sec.gov/Archives/edgar/data/1730168/000173016821000153/0001730168-21-000153-index.html</t>
        </is>
      </c>
      <c r="K277" s="2" t="inlineStr">
        <is>
          <t>USD</t>
        </is>
      </c>
    </row>
    <row r="278" ht="42" customHeight="1">
      <c r="A278" s="2" t="inlineStr">
        <is>
          <t>ncav</t>
        </is>
      </c>
      <c r="B278" s="2" t="inlineStr">
        <is>
          <t>2020-11-01</t>
        </is>
      </c>
      <c r="C278" s="2" t="inlineStr">
        <is>
          <t>total_liabilities</t>
        </is>
      </c>
      <c r="D278" s="2" t="inlineStr">
        <is>
          <t>total_liabilities</t>
        </is>
      </c>
      <c r="E278" s="2" t="inlineStr">
        <is>
          <t>2020-11-01</t>
        </is>
      </c>
      <c r="F278" s="3" t="n">
        <v>52032000000</v>
      </c>
      <c r="G278" s="8" t="b">
        <v>0</v>
      </c>
      <c r="H278" s="2" t="inlineStr"/>
      <c r="I278" s="8" t="b">
        <v>0</v>
      </c>
      <c r="J278" s="2" t="inlineStr">
        <is>
          <t>https://www.sec.gov/Archives/edgar/data/1730168/000173016821000153/0001730168-21-000153-index.html</t>
        </is>
      </c>
      <c r="K278" s="2" t="inlineStr">
        <is>
          <t>USD</t>
        </is>
      </c>
    </row>
    <row r="279" ht="42" customHeight="1">
      <c r="A279" s="2" t="inlineStr">
        <is>
          <t>ncav</t>
        </is>
      </c>
      <c r="B279" s="2" t="inlineStr">
        <is>
          <t>2020-11-01</t>
        </is>
      </c>
      <c r="C279" s="2" t="inlineStr">
        <is>
          <t>preferred</t>
        </is>
      </c>
      <c r="D279" s="2" t="inlineStr">
        <is>
          <t>preferred</t>
        </is>
      </c>
      <c r="E279" s="2" t="inlineStr">
        <is>
          <t>2020-11-01</t>
        </is>
      </c>
      <c r="F279" s="3" t="n">
        <v>0</v>
      </c>
      <c r="G279" s="8" t="b">
        <v>0</v>
      </c>
      <c r="H279" s="2" t="inlineStr"/>
      <c r="I279" s="8" t="b">
        <v>0</v>
      </c>
      <c r="J279" s="2" t="inlineStr">
        <is>
          <t>https://www.sec.gov/Archives/edgar/data/1730168/000173016821000153/0001730168-21-000153-index.html</t>
        </is>
      </c>
      <c r="K279" s="2" t="inlineStr">
        <is>
          <t>USD</t>
        </is>
      </c>
    </row>
    <row r="280" ht="42" customHeight="1">
      <c r="A280" s="2" t="inlineStr">
        <is>
          <t>dilution</t>
        </is>
      </c>
      <c r="B280" s="2" t="inlineStr">
        <is>
          <t>2020-11-01</t>
        </is>
      </c>
      <c r="C280" s="2" t="inlineStr">
        <is>
          <t>diluted_avg_shares</t>
        </is>
      </c>
      <c r="D280" s="2" t="inlineStr">
        <is>
          <t>diluted_avg_shares</t>
        </is>
      </c>
      <c r="E280" s="2" t="inlineStr">
        <is>
          <t>2020-11-01</t>
        </is>
      </c>
      <c r="F280" s="3" t="n">
        <v>4210000000</v>
      </c>
      <c r="G280" s="8" t="b">
        <v>0</v>
      </c>
      <c r="H280" s="2" t="inlineStr"/>
      <c r="I280" s="8" t="b">
        <v>0</v>
      </c>
      <c r="J280" s="2" t="inlineStr">
        <is>
          <t>https://www.sec.gov/Archives/edgar/data/1730168/000173016822000118/0001730168-22-000118-index.html</t>
        </is>
      </c>
      <c r="K280" s="2" t="inlineStr">
        <is>
          <t>shares</t>
        </is>
      </c>
    </row>
    <row r="281" ht="42" customHeight="1">
      <c r="A281" s="2" t="inlineStr">
        <is>
          <t>dilution</t>
        </is>
      </c>
      <c r="B281" s="2" t="inlineStr">
        <is>
          <t>2020-11-01</t>
        </is>
      </c>
      <c r="C281" s="2" t="inlineStr">
        <is>
          <t>previous_shares</t>
        </is>
      </c>
      <c r="D281" s="2" t="inlineStr">
        <is>
          <t>diluted_avg_shares</t>
        </is>
      </c>
      <c r="E281" s="2" t="inlineStr">
        <is>
          <t>2019-11-03</t>
        </is>
      </c>
      <c r="F281" s="3" t="n">
        <v>4190000000</v>
      </c>
      <c r="G281" s="8" t="b">
        <v>0</v>
      </c>
      <c r="H281" s="2" t="inlineStr"/>
      <c r="I281" s="8" t="b">
        <v>0</v>
      </c>
      <c r="J281" s="2" t="inlineStr">
        <is>
          <t>https://www.sec.gov/Archives/edgar/data/1730168/000173016821000153/0001730168-21-000153-index.html</t>
        </is>
      </c>
      <c r="K281" s="2" t="inlineStr">
        <is>
          <t>shares</t>
        </is>
      </c>
    </row>
    <row r="282" ht="42" customHeight="1">
      <c r="A282" s="2" t="inlineStr">
        <is>
          <t>sbc-to-revenue</t>
        </is>
      </c>
      <c r="B282" s="2" t="inlineStr">
        <is>
          <t>2020-11-01</t>
        </is>
      </c>
      <c r="C282" s="2" t="inlineStr">
        <is>
          <t>sbc</t>
        </is>
      </c>
      <c r="D282" s="2" t="inlineStr">
        <is>
          <t>sbc</t>
        </is>
      </c>
      <c r="E282" s="2" t="inlineStr">
        <is>
          <t>2020-11-01</t>
        </is>
      </c>
      <c r="F282" s="3" t="n">
        <v>1976000000</v>
      </c>
      <c r="G282" s="8" t="b">
        <v>0</v>
      </c>
      <c r="H282" s="2" t="inlineStr"/>
      <c r="I282" s="8" t="b">
        <v>0</v>
      </c>
      <c r="J282" s="2" t="inlineStr">
        <is>
          <t>https://www.sec.gov/Archives/edgar/data/1730168/000173016822000118/0001730168-22-000118-index.html</t>
        </is>
      </c>
      <c r="K282" s="2" t="inlineStr">
        <is>
          <t>USD</t>
        </is>
      </c>
    </row>
    <row r="283" ht="42" customHeight="1">
      <c r="A283" s="2" t="inlineStr">
        <is>
          <t>sbc-to-revenue</t>
        </is>
      </c>
      <c r="B283" s="2" t="inlineStr">
        <is>
          <t>2020-11-01</t>
        </is>
      </c>
      <c r="C283" s="2" t="inlineStr">
        <is>
          <t>revenue</t>
        </is>
      </c>
      <c r="D283" s="2" t="inlineStr">
        <is>
          <t>revenue</t>
        </is>
      </c>
      <c r="E283" s="2" t="inlineStr">
        <is>
          <t>2020-11-01</t>
        </is>
      </c>
      <c r="F283" s="3" t="n">
        <v>23888000000</v>
      </c>
      <c r="G283" s="8" t="b">
        <v>0</v>
      </c>
      <c r="H283" s="2" t="inlineStr"/>
      <c r="I283" s="8" t="b">
        <v>0</v>
      </c>
      <c r="J283" s="2" t="inlineStr">
        <is>
          <t>https://www.sec.gov/Archives/edgar/data/1730168/000173016822000118/0001730168-22-000118-index.html</t>
        </is>
      </c>
      <c r="K283" s="2" t="inlineStr">
        <is>
          <t>USD</t>
        </is>
      </c>
    </row>
    <row r="284" ht="42" customHeight="1">
      <c r="A284" s="2" t="inlineStr">
        <is>
          <t>eps</t>
        </is>
      </c>
      <c r="B284" s="2" t="inlineStr">
        <is>
          <t>2020-11-01</t>
        </is>
      </c>
      <c r="C284" s="2" t="inlineStr">
        <is>
          <t>eps_diluted</t>
        </is>
      </c>
      <c r="D284" s="2" t="inlineStr">
        <is>
          <t>eps_diluted</t>
        </is>
      </c>
      <c r="E284" s="2" t="inlineStr">
        <is>
          <t>2020-11-01</t>
        </is>
      </c>
      <c r="F284" s="3" t="n">
        <v>0.633</v>
      </c>
      <c r="G284" s="8" t="b">
        <v>0</v>
      </c>
      <c r="H284" s="2" t="inlineStr"/>
      <c r="I284" s="8" t="b">
        <v>0</v>
      </c>
      <c r="J284" s="2" t="inlineStr">
        <is>
          <t>https://www.sec.gov/Archives/edgar/data/1730168/000173016822000118/0001730168-22-000118-index.html</t>
        </is>
      </c>
      <c r="K284" s="2" t="inlineStr">
        <is>
          <t>USD per share</t>
        </is>
      </c>
    </row>
    <row r="285" ht="42" customHeight="1">
      <c r="A285" s="2" t="inlineStr">
        <is>
          <t>debt-due-3y</t>
        </is>
      </c>
      <c r="B285" s="2" t="inlineStr">
        <is>
          <t>2020-11-01</t>
        </is>
      </c>
      <c r="C285" s="2" t="inlineStr">
        <is>
          <t>maturity_y2</t>
        </is>
      </c>
      <c r="D285" s="2" t="inlineStr">
        <is>
          <t>maturity_y2</t>
        </is>
      </c>
      <c r="E285" s="2" t="inlineStr">
        <is>
          <t>2020-11-01</t>
        </is>
      </c>
      <c r="F285" s="3" t="n">
        <v>1827000000</v>
      </c>
      <c r="G285" s="8" t="b">
        <v>0</v>
      </c>
      <c r="H285" s="2" t="inlineStr"/>
      <c r="I285" s="8" t="b">
        <v>0</v>
      </c>
      <c r="J285" s="2" t="inlineStr">
        <is>
          <t>https://www.sec.gov/Archives/edgar/data/1730168/000173016820000226/0001730168-20-000226-index.html</t>
        </is>
      </c>
      <c r="K285" s="2" t="inlineStr">
        <is>
          <t>USD</t>
        </is>
      </c>
    </row>
    <row r="286" ht="42" customHeight="1">
      <c r="A286" s="2" t="inlineStr">
        <is>
          <t>debt-due-3y</t>
        </is>
      </c>
      <c r="B286" s="2" t="inlineStr">
        <is>
          <t>2020-11-01</t>
        </is>
      </c>
      <c r="C286" s="2" t="inlineStr">
        <is>
          <t>maturity_y3</t>
        </is>
      </c>
      <c r="D286" s="2" t="inlineStr">
        <is>
          <t>maturity_y3</t>
        </is>
      </c>
      <c r="E286" s="2" t="inlineStr">
        <is>
          <t>2020-11-01</t>
        </is>
      </c>
      <c r="F286" s="3" t="n">
        <v>3069000000</v>
      </c>
      <c r="G286" s="8" t="b">
        <v>0</v>
      </c>
      <c r="H286" s="2" t="inlineStr"/>
      <c r="I286" s="8" t="b">
        <v>0</v>
      </c>
      <c r="J286" s="2" t="inlineStr">
        <is>
          <t>https://www.sec.gov/Archives/edgar/data/1730168/000173016820000226/0001730168-20-000226-index.html</t>
        </is>
      </c>
      <c r="K286" s="2" t="inlineStr">
        <is>
          <t>USD</t>
        </is>
      </c>
    </row>
    <row r="287" ht="42" customHeight="1">
      <c r="A287" s="2" t="inlineStr">
        <is>
          <t>revenue-growth</t>
        </is>
      </c>
      <c r="B287" s="2" t="inlineStr">
        <is>
          <t>2021-10-31</t>
        </is>
      </c>
      <c r="C287" s="2" t="inlineStr">
        <is>
          <t>revenue</t>
        </is>
      </c>
      <c r="D287" s="2" t="inlineStr">
        <is>
          <t>revenue</t>
        </is>
      </c>
      <c r="E287" s="2" t="inlineStr">
        <is>
          <t>2021-10-31</t>
        </is>
      </c>
      <c r="F287" s="3" t="n">
        <v>27450000000</v>
      </c>
      <c r="G287" s="8" t="b">
        <v>0</v>
      </c>
      <c r="H287" s="2" t="inlineStr"/>
      <c r="I287" s="8" t="b">
        <v>0</v>
      </c>
      <c r="J287" s="2" t="inlineStr">
        <is>
          <t>https://www.sec.gov/Archives/edgar/data/1730168/000173016823000096/0001730168-23-000096-index.html</t>
        </is>
      </c>
      <c r="K287" s="2" t="inlineStr">
        <is>
          <t>USD</t>
        </is>
      </c>
    </row>
    <row r="288" ht="42" customHeight="1">
      <c r="A288" s="2" t="inlineStr">
        <is>
          <t>revenue-growth</t>
        </is>
      </c>
      <c r="B288" s="2" t="inlineStr">
        <is>
          <t>2021-10-31</t>
        </is>
      </c>
      <c r="C288" s="2" t="inlineStr">
        <is>
          <t>previous_revenue</t>
        </is>
      </c>
      <c r="D288" s="2" t="inlineStr">
        <is>
          <t>revenue</t>
        </is>
      </c>
      <c r="E288" s="2" t="inlineStr">
        <is>
          <t>2020-11-01</t>
        </is>
      </c>
      <c r="F288" s="3" t="n">
        <v>23888000000</v>
      </c>
      <c r="G288" s="8" t="b">
        <v>0</v>
      </c>
      <c r="H288" s="2" t="inlineStr"/>
      <c r="I288" s="8" t="b">
        <v>0</v>
      </c>
      <c r="J288" s="2" t="inlineStr">
        <is>
          <t>https://www.sec.gov/Archives/edgar/data/1730168/000173016822000118/0001730168-22-000118-index.html</t>
        </is>
      </c>
      <c r="K288" s="2" t="inlineStr">
        <is>
          <t>USD</t>
        </is>
      </c>
    </row>
    <row r="289" ht="42" customHeight="1">
      <c r="A289" s="2" t="inlineStr">
        <is>
          <t>gross-margin</t>
        </is>
      </c>
      <c r="B289" s="2" t="inlineStr">
        <is>
          <t>2021-10-31</t>
        </is>
      </c>
      <c r="C289" s="2" t="inlineStr">
        <is>
          <t>gross_profit</t>
        </is>
      </c>
      <c r="D289" s="2" t="inlineStr">
        <is>
          <t>gross_profit</t>
        </is>
      </c>
      <c r="E289" s="2" t="inlineStr">
        <is>
          <t>2021-10-31</t>
        </is>
      </c>
      <c r="F289" s="3" t="n">
        <v>16844000000</v>
      </c>
      <c r="G289" s="8" t="b">
        <v>0</v>
      </c>
      <c r="H289" s="2" t="inlineStr"/>
      <c r="I289" s="8" t="b">
        <v>0</v>
      </c>
      <c r="J289" s="2" t="inlineStr">
        <is>
          <t>https://www.sec.gov/Archives/edgar/data/1730168/000173016823000096/0001730168-23-000096-index.html</t>
        </is>
      </c>
      <c r="K289" s="2" t="inlineStr">
        <is>
          <t>USD</t>
        </is>
      </c>
    </row>
    <row r="290" ht="42" customHeight="1">
      <c r="A290" s="2" t="inlineStr">
        <is>
          <t>gross-margin</t>
        </is>
      </c>
      <c r="B290" s="2" t="inlineStr">
        <is>
          <t>2021-10-31</t>
        </is>
      </c>
      <c r="C290" s="2" t="inlineStr">
        <is>
          <t>revenue</t>
        </is>
      </c>
      <c r="D290" s="2" t="inlineStr">
        <is>
          <t>revenue</t>
        </is>
      </c>
      <c r="E290" s="2" t="inlineStr">
        <is>
          <t>2021-10-31</t>
        </is>
      </c>
      <c r="F290" s="3" t="n">
        <v>27450000000</v>
      </c>
      <c r="G290" s="8" t="b">
        <v>0</v>
      </c>
      <c r="H290" s="2" t="inlineStr"/>
      <c r="I290" s="8" t="b">
        <v>0</v>
      </c>
      <c r="J290" s="2" t="inlineStr">
        <is>
          <t>https://www.sec.gov/Archives/edgar/data/1730168/000173016823000096/0001730168-23-000096-index.html</t>
        </is>
      </c>
      <c r="K290" s="2" t="inlineStr">
        <is>
          <t>USD</t>
        </is>
      </c>
    </row>
    <row r="291" ht="42" customHeight="1">
      <c r="A291" s="2" t="inlineStr">
        <is>
          <t>operating-margin</t>
        </is>
      </c>
      <c r="B291" s="2" t="inlineStr">
        <is>
          <t>2021-10-31</t>
        </is>
      </c>
      <c r="C291" s="2" t="inlineStr">
        <is>
          <t>operating_income</t>
        </is>
      </c>
      <c r="D291" s="2" t="inlineStr">
        <is>
          <t>operating_income</t>
        </is>
      </c>
      <c r="E291" s="2" t="inlineStr">
        <is>
          <t>2021-10-31</t>
        </is>
      </c>
      <c r="F291" s="3" t="n">
        <v>8519000000</v>
      </c>
      <c r="G291" s="8" t="b">
        <v>0</v>
      </c>
      <c r="H291" s="2" t="inlineStr"/>
      <c r="I291" s="8" t="b">
        <v>0</v>
      </c>
      <c r="J291" s="2" t="inlineStr">
        <is>
          <t>https://www.sec.gov/Archives/edgar/data/1730168/000173016823000096/0001730168-23-000096-index.html</t>
        </is>
      </c>
      <c r="K291" s="2" t="inlineStr">
        <is>
          <t>USD</t>
        </is>
      </c>
    </row>
    <row r="292" ht="42" customHeight="1">
      <c r="A292" s="2" t="inlineStr">
        <is>
          <t>operating-margin</t>
        </is>
      </c>
      <c r="B292" s="2" t="inlineStr">
        <is>
          <t>2021-10-31</t>
        </is>
      </c>
      <c r="C292" s="2" t="inlineStr">
        <is>
          <t>revenue</t>
        </is>
      </c>
      <c r="D292" s="2" t="inlineStr">
        <is>
          <t>revenue</t>
        </is>
      </c>
      <c r="E292" s="2" t="inlineStr">
        <is>
          <t>2021-10-31</t>
        </is>
      </c>
      <c r="F292" s="3" t="n">
        <v>27450000000</v>
      </c>
      <c r="G292" s="8" t="b">
        <v>0</v>
      </c>
      <c r="H292" s="2" t="inlineStr"/>
      <c r="I292" s="8" t="b">
        <v>0</v>
      </c>
      <c r="J292" s="2" t="inlineStr">
        <is>
          <t>https://www.sec.gov/Archives/edgar/data/1730168/000173016823000096/0001730168-23-000096-index.html</t>
        </is>
      </c>
      <c r="K292" s="2" t="inlineStr">
        <is>
          <t>USD</t>
        </is>
      </c>
    </row>
    <row r="293" ht="42" customHeight="1">
      <c r="A293" s="2" t="inlineStr">
        <is>
          <t>net-margin</t>
        </is>
      </c>
      <c r="B293" s="2" t="inlineStr">
        <is>
          <t>2021-10-31</t>
        </is>
      </c>
      <c r="C293" s="2" t="inlineStr">
        <is>
          <t>net_income</t>
        </is>
      </c>
      <c r="D293" s="2" t="inlineStr">
        <is>
          <t>net_income</t>
        </is>
      </c>
      <c r="E293" s="2" t="inlineStr">
        <is>
          <t>2021-10-31</t>
        </is>
      </c>
      <c r="F293" s="3" t="n">
        <v>6736000000</v>
      </c>
      <c r="G293" s="8" t="b">
        <v>0</v>
      </c>
      <c r="H293" s="2" t="inlineStr"/>
      <c r="I293" s="8" t="b">
        <v>0</v>
      </c>
      <c r="J293" s="2" t="inlineStr">
        <is>
          <t>https://www.sec.gov/Archives/edgar/data/1730168/000173016823000096/0001730168-23-000096-index.html</t>
        </is>
      </c>
      <c r="K293" s="2" t="inlineStr">
        <is>
          <t>USD</t>
        </is>
      </c>
    </row>
    <row r="294" ht="42" customHeight="1">
      <c r="A294" s="2" t="inlineStr">
        <is>
          <t>net-margin</t>
        </is>
      </c>
      <c r="B294" s="2" t="inlineStr">
        <is>
          <t>2021-10-31</t>
        </is>
      </c>
      <c r="C294" s="2" t="inlineStr">
        <is>
          <t>revenue</t>
        </is>
      </c>
      <c r="D294" s="2" t="inlineStr">
        <is>
          <t>revenue</t>
        </is>
      </c>
      <c r="E294" s="2" t="inlineStr">
        <is>
          <t>2021-10-31</t>
        </is>
      </c>
      <c r="F294" s="3" t="n">
        <v>27450000000</v>
      </c>
      <c r="G294" s="8" t="b">
        <v>0</v>
      </c>
      <c r="H294" s="2" t="inlineStr"/>
      <c r="I294" s="8" t="b">
        <v>0</v>
      </c>
      <c r="J294" s="2" t="inlineStr">
        <is>
          <t>https://www.sec.gov/Archives/edgar/data/1730168/000173016823000096/0001730168-23-000096-index.html</t>
        </is>
      </c>
      <c r="K294" s="2" t="inlineStr">
        <is>
          <t>USD</t>
        </is>
      </c>
    </row>
    <row r="295" ht="42" customHeight="1">
      <c r="A295" s="2" t="inlineStr">
        <is>
          <t>fcf</t>
        </is>
      </c>
      <c r="B295" s="2" t="inlineStr">
        <is>
          <t>2021-10-31</t>
        </is>
      </c>
      <c r="C295" s="2" t="inlineStr">
        <is>
          <t>ocf</t>
        </is>
      </c>
      <c r="D295" s="2" t="inlineStr">
        <is>
          <t>ocf</t>
        </is>
      </c>
      <c r="E295" s="2" t="inlineStr">
        <is>
          <t>2021-10-31</t>
        </is>
      </c>
      <c r="F295" s="3" t="n">
        <v>13764000000</v>
      </c>
      <c r="G295" s="8" t="b">
        <v>0</v>
      </c>
      <c r="H295" s="2" t="inlineStr"/>
      <c r="I295" s="8" t="b">
        <v>0</v>
      </c>
      <c r="J295" s="2" t="inlineStr">
        <is>
          <t>https://www.sec.gov/Archives/edgar/data/1730168/000173016823000096/0001730168-23-000096-index.html</t>
        </is>
      </c>
      <c r="K295" s="2" t="inlineStr">
        <is>
          <t>USD</t>
        </is>
      </c>
    </row>
    <row r="296" ht="42" customHeight="1">
      <c r="A296" s="2" t="inlineStr">
        <is>
          <t>fcf</t>
        </is>
      </c>
      <c r="B296" s="2" t="inlineStr">
        <is>
          <t>2021-10-31</t>
        </is>
      </c>
      <c r="C296" s="2" t="inlineStr">
        <is>
          <t>capex</t>
        </is>
      </c>
      <c r="D296" s="2" t="inlineStr">
        <is>
          <t>capex</t>
        </is>
      </c>
      <c r="E296" s="2" t="inlineStr">
        <is>
          <t>2021-10-31</t>
        </is>
      </c>
      <c r="F296" s="3" t="n">
        <v>443000000</v>
      </c>
      <c r="G296" s="8" t="b">
        <v>0</v>
      </c>
      <c r="H296" s="2" t="inlineStr"/>
      <c r="I296" s="8" t="b">
        <v>0</v>
      </c>
      <c r="J296" s="2" t="inlineStr">
        <is>
          <t>https://www.sec.gov/Archives/edgar/data/1730168/000173016823000096/0001730168-23-000096-index.html</t>
        </is>
      </c>
      <c r="K296" s="2" t="inlineStr">
        <is>
          <t>USD</t>
        </is>
      </c>
    </row>
    <row r="297" ht="42" customHeight="1">
      <c r="A297" s="2" t="inlineStr">
        <is>
          <t>fcf-margin</t>
        </is>
      </c>
      <c r="B297" s="2" t="inlineStr">
        <is>
          <t>2021-10-31</t>
        </is>
      </c>
      <c r="C297" s="2" t="inlineStr">
        <is>
          <t>ocf</t>
        </is>
      </c>
      <c r="D297" s="2" t="inlineStr">
        <is>
          <t>ocf</t>
        </is>
      </c>
      <c r="E297" s="2" t="inlineStr">
        <is>
          <t>2021-10-31</t>
        </is>
      </c>
      <c r="F297" s="3" t="n">
        <v>13764000000</v>
      </c>
      <c r="G297" s="8" t="b">
        <v>0</v>
      </c>
      <c r="H297" s="2" t="inlineStr"/>
      <c r="I297" s="8" t="b">
        <v>0</v>
      </c>
      <c r="J297" s="2" t="inlineStr">
        <is>
          <t>https://www.sec.gov/Archives/edgar/data/1730168/000173016823000096/0001730168-23-000096-index.html</t>
        </is>
      </c>
      <c r="K297" s="2" t="inlineStr">
        <is>
          <t>USD</t>
        </is>
      </c>
    </row>
    <row r="298" ht="42" customHeight="1">
      <c r="A298" s="2" t="inlineStr">
        <is>
          <t>fcf-margin</t>
        </is>
      </c>
      <c r="B298" s="2" t="inlineStr">
        <is>
          <t>2021-10-31</t>
        </is>
      </c>
      <c r="C298" s="2" t="inlineStr">
        <is>
          <t>capex</t>
        </is>
      </c>
      <c r="D298" s="2" t="inlineStr">
        <is>
          <t>capex</t>
        </is>
      </c>
      <c r="E298" s="2" t="inlineStr">
        <is>
          <t>2021-10-31</t>
        </is>
      </c>
      <c r="F298" s="3" t="n">
        <v>443000000</v>
      </c>
      <c r="G298" s="8" t="b">
        <v>0</v>
      </c>
      <c r="H298" s="2" t="inlineStr"/>
      <c r="I298" s="8" t="b">
        <v>0</v>
      </c>
      <c r="J298" s="2" t="inlineStr">
        <is>
          <t>https://www.sec.gov/Archives/edgar/data/1730168/000173016823000096/0001730168-23-000096-index.html</t>
        </is>
      </c>
      <c r="K298" s="2" t="inlineStr">
        <is>
          <t>USD</t>
        </is>
      </c>
    </row>
    <row r="299" ht="42" customHeight="1">
      <c r="A299" s="2" t="inlineStr">
        <is>
          <t>fcf-margin</t>
        </is>
      </c>
      <c r="B299" s="2" t="inlineStr">
        <is>
          <t>2021-10-31</t>
        </is>
      </c>
      <c r="C299" s="2" t="inlineStr">
        <is>
          <t>revenue</t>
        </is>
      </c>
      <c r="D299" s="2" t="inlineStr">
        <is>
          <t>revenue</t>
        </is>
      </c>
      <c r="E299" s="2" t="inlineStr">
        <is>
          <t>2021-10-31</t>
        </is>
      </c>
      <c r="F299" s="3" t="n">
        <v>27450000000</v>
      </c>
      <c r="G299" s="8" t="b">
        <v>0</v>
      </c>
      <c r="H299" s="2" t="inlineStr"/>
      <c r="I299" s="8" t="b">
        <v>0</v>
      </c>
      <c r="J299" s="2" t="inlineStr">
        <is>
          <t>https://www.sec.gov/Archives/edgar/data/1730168/000173016823000096/0001730168-23-000096-index.html</t>
        </is>
      </c>
      <c r="K299" s="2" t="inlineStr">
        <is>
          <t>USD</t>
        </is>
      </c>
    </row>
    <row r="300" ht="42" customHeight="1">
      <c r="A300" s="2" t="inlineStr">
        <is>
          <t>fcff</t>
        </is>
      </c>
      <c r="B300" s="2" t="inlineStr">
        <is>
          <t>2021-10-31</t>
        </is>
      </c>
      <c r="C300" s="2" t="inlineStr">
        <is>
          <t>ocf</t>
        </is>
      </c>
      <c r="D300" s="2" t="inlineStr">
        <is>
          <t>ocf</t>
        </is>
      </c>
      <c r="E300" s="2" t="inlineStr">
        <is>
          <t>2021-10-31</t>
        </is>
      </c>
      <c r="F300" s="3" t="n">
        <v>13764000000</v>
      </c>
      <c r="G300" s="8" t="b">
        <v>0</v>
      </c>
      <c r="H300" s="2" t="inlineStr"/>
      <c r="I300" s="8" t="b">
        <v>0</v>
      </c>
      <c r="J300" s="2" t="inlineStr">
        <is>
          <t>https://www.sec.gov/Archives/edgar/data/1730168/000173016823000096/0001730168-23-000096-index.html</t>
        </is>
      </c>
      <c r="K300" s="2" t="inlineStr">
        <is>
          <t>USD</t>
        </is>
      </c>
    </row>
    <row r="301" ht="42" customHeight="1">
      <c r="A301" s="2" t="inlineStr">
        <is>
          <t>fcff</t>
        </is>
      </c>
      <c r="B301" s="2" t="inlineStr">
        <is>
          <t>2021-10-31</t>
        </is>
      </c>
      <c r="C301" s="2" t="inlineStr">
        <is>
          <t>capex</t>
        </is>
      </c>
      <c r="D301" s="2" t="inlineStr">
        <is>
          <t>capex</t>
        </is>
      </c>
      <c r="E301" s="2" t="inlineStr">
        <is>
          <t>2021-10-31</t>
        </is>
      </c>
      <c r="F301" s="3" t="n">
        <v>443000000</v>
      </c>
      <c r="G301" s="8" t="b">
        <v>0</v>
      </c>
      <c r="H301" s="2" t="inlineStr"/>
      <c r="I301" s="8" t="b">
        <v>0</v>
      </c>
      <c r="J301" s="2" t="inlineStr">
        <is>
          <t>https://www.sec.gov/Archives/edgar/data/1730168/000173016823000096/0001730168-23-000096-index.html</t>
        </is>
      </c>
      <c r="K301" s="2" t="inlineStr">
        <is>
          <t>USD</t>
        </is>
      </c>
    </row>
    <row r="302" ht="42" customHeight="1">
      <c r="A302" s="2" t="inlineStr">
        <is>
          <t>fcff</t>
        </is>
      </c>
      <c r="B302" s="2" t="inlineStr">
        <is>
          <t>2021-10-31</t>
        </is>
      </c>
      <c r="C302" s="2" t="inlineStr">
        <is>
          <t>interest_expense</t>
        </is>
      </c>
      <c r="D302" s="2" t="inlineStr">
        <is>
          <t>interest_expense</t>
        </is>
      </c>
      <c r="E302" s="2" t="inlineStr">
        <is>
          <t>2021-10-31</t>
        </is>
      </c>
      <c r="F302" s="3" t="n">
        <v>1885000000</v>
      </c>
      <c r="G302" s="8" t="b">
        <v>0</v>
      </c>
      <c r="H302" s="2" t="inlineStr"/>
      <c r="I302" s="8" t="b">
        <v>0</v>
      </c>
      <c r="J302" s="2" t="inlineStr">
        <is>
          <t>https://www.sec.gov/Archives/edgar/data/1730168/000173016823000096/0001730168-23-000096-index.html</t>
        </is>
      </c>
      <c r="K302" s="2" t="inlineStr">
        <is>
          <t>USD</t>
        </is>
      </c>
    </row>
    <row r="303" ht="42" customHeight="1">
      <c r="A303" s="2" t="inlineStr">
        <is>
          <t>fcff</t>
        </is>
      </c>
      <c r="B303" s="2" t="inlineStr">
        <is>
          <t>2021-10-31</t>
        </is>
      </c>
      <c r="C303" s="2" t="inlineStr">
        <is>
          <t>tax_rate</t>
        </is>
      </c>
      <c r="D303" s="2" t="inlineStr">
        <is>
          <t>tax_rate</t>
        </is>
      </c>
      <c r="E303" s="2" t="inlineStr">
        <is>
          <t>2021-10-31</t>
        </is>
      </c>
      <c r="F303" s="3" t="n">
        <v>0.004286770140428677</v>
      </c>
      <c r="G303" s="8" t="b">
        <v>0</v>
      </c>
      <c r="H303" s="2" t="inlineStr"/>
      <c r="I303" s="8" t="b">
        <v>0</v>
      </c>
      <c r="J303" s="2" t="inlineStr">
        <is>
          <t>Derived or model input; see parent calculation formula and model assumptions.</t>
        </is>
      </c>
      <c r="K303" s="2" t="inlineStr">
        <is>
          <t>ratio (decimal)</t>
        </is>
      </c>
    </row>
    <row r="304" ht="42" customHeight="1">
      <c r="A304" s="2" t="inlineStr">
        <is>
          <t>fcff</t>
        </is>
      </c>
      <c r="B304" s="2" t="inlineStr">
        <is>
          <t>2021-10-31</t>
        </is>
      </c>
      <c r="C304" s="2" t="inlineStr">
        <is>
          <t>sbc</t>
        </is>
      </c>
      <c r="D304" s="2" t="inlineStr">
        <is>
          <t>sbc</t>
        </is>
      </c>
      <c r="E304" s="2" t="inlineStr">
        <is>
          <t>2021-10-31</t>
        </is>
      </c>
      <c r="F304" s="3" t="n">
        <v>1704000000</v>
      </c>
      <c r="G304" s="8" t="b">
        <v>0</v>
      </c>
      <c r="H304" s="2" t="inlineStr"/>
      <c r="I304" s="8" t="b">
        <v>0</v>
      </c>
      <c r="J304" s="2" t="inlineStr">
        <is>
          <t>https://www.sec.gov/Archives/edgar/data/1730168/000173016823000096/0001730168-23-000096-index.html</t>
        </is>
      </c>
      <c r="K304" s="2" t="inlineStr">
        <is>
          <t>USD</t>
        </is>
      </c>
    </row>
    <row r="305" ht="42" customHeight="1">
      <c r="A305" s="2" t="inlineStr">
        <is>
          <t>fcfe</t>
        </is>
      </c>
      <c r="B305" s="2" t="inlineStr">
        <is>
          <t>2021-10-31</t>
        </is>
      </c>
      <c r="C305" s="2" t="inlineStr">
        <is>
          <t>net_income</t>
        </is>
      </c>
      <c r="D305" s="2" t="inlineStr">
        <is>
          <t>net_income</t>
        </is>
      </c>
      <c r="E305" s="2" t="inlineStr">
        <is>
          <t>2021-10-31</t>
        </is>
      </c>
      <c r="F305" s="3" t="n">
        <v>6736000000</v>
      </c>
      <c r="G305" s="8" t="b">
        <v>0</v>
      </c>
      <c r="H305" s="2" t="inlineStr"/>
      <c r="I305" s="8" t="b">
        <v>0</v>
      </c>
      <c r="J305" s="2" t="inlineStr">
        <is>
          <t>https://www.sec.gov/Archives/edgar/data/1730168/000173016823000096/0001730168-23-000096-index.html</t>
        </is>
      </c>
      <c r="K305" s="2" t="inlineStr">
        <is>
          <t>USD</t>
        </is>
      </c>
    </row>
    <row r="306" ht="42" customHeight="1">
      <c r="A306" s="2" t="inlineStr">
        <is>
          <t>fcfe</t>
        </is>
      </c>
      <c r="B306" s="2" t="inlineStr">
        <is>
          <t>2021-10-31</t>
        </is>
      </c>
      <c r="C306" s="2" t="inlineStr">
        <is>
          <t>capex</t>
        </is>
      </c>
      <c r="D306" s="2" t="inlineStr">
        <is>
          <t>capex</t>
        </is>
      </c>
      <c r="E306" s="2" t="inlineStr">
        <is>
          <t>2021-10-31</t>
        </is>
      </c>
      <c r="F306" s="3" t="n">
        <v>443000000</v>
      </c>
      <c r="G306" s="8" t="b">
        <v>0</v>
      </c>
      <c r="H306" s="2" t="inlineStr"/>
      <c r="I306" s="8" t="b">
        <v>0</v>
      </c>
      <c r="J306" s="2" t="inlineStr">
        <is>
          <t>https://www.sec.gov/Archives/edgar/data/1730168/000173016823000096/0001730168-23-000096-index.html</t>
        </is>
      </c>
      <c r="K306" s="2" t="inlineStr">
        <is>
          <t>USD</t>
        </is>
      </c>
    </row>
    <row r="307" ht="42" customHeight="1">
      <c r="A307" s="2" t="inlineStr">
        <is>
          <t>fcfe</t>
        </is>
      </c>
      <c r="B307" s="2" t="inlineStr">
        <is>
          <t>2021-10-31</t>
        </is>
      </c>
      <c r="C307" s="2" t="inlineStr">
        <is>
          <t>change_in_owc</t>
        </is>
      </c>
      <c r="D307" s="2" t="inlineStr">
        <is>
          <t>change_in_owc</t>
        </is>
      </c>
      <c r="E307" s="2" t="inlineStr">
        <is>
          <t>2021-10-31</t>
        </is>
      </c>
      <c r="F307" s="3" t="n">
        <v>-182000000</v>
      </c>
      <c r="G307" s="8" t="b">
        <v>0</v>
      </c>
      <c r="H307" s="2" t="inlineStr"/>
      <c r="I307" s="8" t="b">
        <v>0</v>
      </c>
      <c r="J307" s="2" t="inlineStr">
        <is>
          <t>Derived or model input; see parent calculation formula and model assumptions.</t>
        </is>
      </c>
      <c r="K307" s="2" t="inlineStr">
        <is>
          <t>USD</t>
        </is>
      </c>
    </row>
    <row r="308" ht="42" customHeight="1">
      <c r="A308" s="2" t="inlineStr">
        <is>
          <t>fcfe</t>
        </is>
      </c>
      <c r="B308" s="2" t="inlineStr">
        <is>
          <t>2021-10-31</t>
        </is>
      </c>
      <c r="C308" s="2" t="inlineStr">
        <is>
          <t>debt_issued</t>
        </is>
      </c>
      <c r="D308" s="2" t="inlineStr">
        <is>
          <t>debt_issued</t>
        </is>
      </c>
      <c r="E308" s="2" t="inlineStr">
        <is>
          <t>2021-10-31</t>
        </is>
      </c>
      <c r="F308" s="3" t="n">
        <v>9904000000</v>
      </c>
      <c r="G308" s="8" t="b">
        <v>0</v>
      </c>
      <c r="H308" s="2" t="inlineStr"/>
      <c r="I308" s="8" t="b">
        <v>0</v>
      </c>
      <c r="J308" s="2" t="inlineStr">
        <is>
          <t>https://www.sec.gov/Archives/edgar/data/1730168/000173016823000096/0001730168-23-000096-index.html</t>
        </is>
      </c>
      <c r="K308" s="2" t="inlineStr">
        <is>
          <t>USD</t>
        </is>
      </c>
    </row>
    <row r="309" ht="42" customHeight="1">
      <c r="A309" s="2" t="inlineStr">
        <is>
          <t>fcfe</t>
        </is>
      </c>
      <c r="B309" s="2" t="inlineStr">
        <is>
          <t>2021-10-31</t>
        </is>
      </c>
      <c r="C309" s="2" t="inlineStr">
        <is>
          <t>debt_repaid</t>
        </is>
      </c>
      <c r="D309" s="2" t="inlineStr">
        <is>
          <t>debt_repaid</t>
        </is>
      </c>
      <c r="E309" s="2" t="inlineStr">
        <is>
          <t>2021-10-31</t>
        </is>
      </c>
      <c r="F309" s="3" t="n">
        <v>11495000000</v>
      </c>
      <c r="G309" s="8" t="b">
        <v>0</v>
      </c>
      <c r="H309" s="2" t="inlineStr"/>
      <c r="I309" s="8" t="b">
        <v>0</v>
      </c>
      <c r="J309" s="2" t="inlineStr">
        <is>
          <t>https://www.sec.gov/Archives/edgar/data/1730168/000173016823000096/0001730168-23-000096-index.html</t>
        </is>
      </c>
      <c r="K309" s="2" t="inlineStr">
        <is>
          <t>USD</t>
        </is>
      </c>
    </row>
    <row r="310" ht="42" customHeight="1">
      <c r="A310" s="2" t="inlineStr">
        <is>
          <t>owner-earnings</t>
        </is>
      </c>
      <c r="B310" s="2" t="inlineStr">
        <is>
          <t>2021-10-31</t>
        </is>
      </c>
      <c r="C310" s="2" t="inlineStr">
        <is>
          <t>net_income</t>
        </is>
      </c>
      <c r="D310" s="2" t="inlineStr">
        <is>
          <t>net_income</t>
        </is>
      </c>
      <c r="E310" s="2" t="inlineStr">
        <is>
          <t>2021-10-31</t>
        </is>
      </c>
      <c r="F310" s="3" t="n">
        <v>6736000000</v>
      </c>
      <c r="G310" s="8" t="b">
        <v>0</v>
      </c>
      <c r="H310" s="2" t="inlineStr"/>
      <c r="I310" s="8" t="b">
        <v>0</v>
      </c>
      <c r="J310" s="2" t="inlineStr">
        <is>
          <t>https://www.sec.gov/Archives/edgar/data/1730168/000173016823000096/0001730168-23-000096-index.html</t>
        </is>
      </c>
      <c r="K310" s="2" t="inlineStr">
        <is>
          <t>USD</t>
        </is>
      </c>
    </row>
    <row r="311" ht="42" customHeight="1">
      <c r="A311" s="2" t="inlineStr">
        <is>
          <t>owner-earnings</t>
        </is>
      </c>
      <c r="B311" s="2" t="inlineStr">
        <is>
          <t>2021-10-31</t>
        </is>
      </c>
      <c r="C311" s="2" t="inlineStr">
        <is>
          <t>change_in_owc</t>
        </is>
      </c>
      <c r="D311" s="2" t="inlineStr">
        <is>
          <t>change_in_owc</t>
        </is>
      </c>
      <c r="E311" s="2" t="inlineStr">
        <is>
          <t>2021-10-31</t>
        </is>
      </c>
      <c r="F311" s="3" t="n">
        <v>-182000000</v>
      </c>
      <c r="G311" s="8" t="b">
        <v>0</v>
      </c>
      <c r="H311" s="2" t="inlineStr"/>
      <c r="I311" s="8" t="b">
        <v>0</v>
      </c>
      <c r="J311" s="2" t="inlineStr">
        <is>
          <t>Derived or model input; see parent calculation formula and model assumptions.</t>
        </is>
      </c>
      <c r="K311" s="2" t="inlineStr">
        <is>
          <t>USD</t>
        </is>
      </c>
    </row>
    <row r="312" ht="42" customHeight="1">
      <c r="A312" s="2" t="inlineStr">
        <is>
          <t>earnings-quality</t>
        </is>
      </c>
      <c r="B312" s="2" t="inlineStr">
        <is>
          <t>2021-10-31</t>
        </is>
      </c>
      <c r="C312" s="2" t="inlineStr">
        <is>
          <t>ocf</t>
        </is>
      </c>
      <c r="D312" s="2" t="inlineStr">
        <is>
          <t>ocf</t>
        </is>
      </c>
      <c r="E312" s="2" t="inlineStr">
        <is>
          <t>2021-10-31</t>
        </is>
      </c>
      <c r="F312" s="3" t="n">
        <v>13764000000</v>
      </c>
      <c r="G312" s="8" t="b">
        <v>0</v>
      </c>
      <c r="H312" s="2" t="inlineStr"/>
      <c r="I312" s="8" t="b">
        <v>0</v>
      </c>
      <c r="J312" s="2" t="inlineStr">
        <is>
          <t>https://www.sec.gov/Archives/edgar/data/1730168/000173016823000096/0001730168-23-000096-index.html</t>
        </is>
      </c>
      <c r="K312" s="2" t="inlineStr">
        <is>
          <t>USD</t>
        </is>
      </c>
    </row>
    <row r="313" ht="42" customHeight="1">
      <c r="A313" s="2" t="inlineStr">
        <is>
          <t>earnings-quality</t>
        </is>
      </c>
      <c r="B313" s="2" t="inlineStr">
        <is>
          <t>2021-10-31</t>
        </is>
      </c>
      <c r="C313" s="2" t="inlineStr">
        <is>
          <t>net_income</t>
        </is>
      </c>
      <c r="D313" s="2" t="inlineStr">
        <is>
          <t>net_income</t>
        </is>
      </c>
      <c r="E313" s="2" t="inlineStr">
        <is>
          <t>2021-10-31</t>
        </is>
      </c>
      <c r="F313" s="3" t="n">
        <v>6736000000</v>
      </c>
      <c r="G313" s="8" t="b">
        <v>0</v>
      </c>
      <c r="H313" s="2" t="inlineStr"/>
      <c r="I313" s="8" t="b">
        <v>0</v>
      </c>
      <c r="J313" s="2" t="inlineStr">
        <is>
          <t>https://www.sec.gov/Archives/edgar/data/1730168/000173016823000096/0001730168-23-000096-index.html</t>
        </is>
      </c>
      <c r="K313" s="2" t="inlineStr">
        <is>
          <t>USD</t>
        </is>
      </c>
    </row>
    <row r="314" ht="42" customHeight="1">
      <c r="A314" s="2" t="inlineStr">
        <is>
          <t>ebitda</t>
        </is>
      </c>
      <c r="B314" s="2" t="inlineStr">
        <is>
          <t>2021-10-31</t>
        </is>
      </c>
      <c r="C314" s="2" t="inlineStr">
        <is>
          <t>operating_income</t>
        </is>
      </c>
      <c r="D314" s="2" t="inlineStr">
        <is>
          <t>operating_income</t>
        </is>
      </c>
      <c r="E314" s="2" t="inlineStr">
        <is>
          <t>2021-10-31</t>
        </is>
      </c>
      <c r="F314" s="3" t="n">
        <v>8519000000</v>
      </c>
      <c r="G314" s="8" t="b">
        <v>0</v>
      </c>
      <c r="H314" s="2" t="inlineStr"/>
      <c r="I314" s="8" t="b">
        <v>0</v>
      </c>
      <c r="J314" s="2" t="inlineStr">
        <is>
          <t>https://www.sec.gov/Archives/edgar/data/1730168/000173016823000096/0001730168-23-000096-index.html</t>
        </is>
      </c>
      <c r="K314" s="2" t="inlineStr">
        <is>
          <t>USD</t>
        </is>
      </c>
    </row>
    <row r="315" ht="42" customHeight="1">
      <c r="A315" s="2" t="inlineStr">
        <is>
          <t>nopat</t>
        </is>
      </c>
      <c r="B315" s="2" t="inlineStr">
        <is>
          <t>2021-10-31</t>
        </is>
      </c>
      <c r="C315" s="2" t="inlineStr">
        <is>
          <t>operating_income</t>
        </is>
      </c>
      <c r="D315" s="2" t="inlineStr">
        <is>
          <t>operating_income</t>
        </is>
      </c>
      <c r="E315" s="2" t="inlineStr">
        <is>
          <t>2021-10-31</t>
        </is>
      </c>
      <c r="F315" s="3" t="n">
        <v>8519000000</v>
      </c>
      <c r="G315" s="8" t="b">
        <v>0</v>
      </c>
      <c r="H315" s="2" t="inlineStr"/>
      <c r="I315" s="8" t="b">
        <v>0</v>
      </c>
      <c r="J315" s="2" t="inlineStr">
        <is>
          <t>https://www.sec.gov/Archives/edgar/data/1730168/000173016823000096/0001730168-23-000096-index.html</t>
        </is>
      </c>
      <c r="K315" s="2" t="inlineStr">
        <is>
          <t>USD</t>
        </is>
      </c>
    </row>
    <row r="316" ht="42" customHeight="1">
      <c r="A316" s="2" t="inlineStr">
        <is>
          <t>nopat</t>
        </is>
      </c>
      <c r="B316" s="2" t="inlineStr">
        <is>
          <t>2021-10-31</t>
        </is>
      </c>
      <c r="C316" s="2" t="inlineStr">
        <is>
          <t>tax_rate</t>
        </is>
      </c>
      <c r="D316" s="2" t="inlineStr">
        <is>
          <t>tax_rate</t>
        </is>
      </c>
      <c r="E316" s="2" t="inlineStr">
        <is>
          <t>2021-10-31</t>
        </is>
      </c>
      <c r="F316" s="3" t="n">
        <v>0.004286770140428677</v>
      </c>
      <c r="G316" s="8" t="b">
        <v>0</v>
      </c>
      <c r="H316" s="2" t="inlineStr"/>
      <c r="I316" s="8" t="b">
        <v>0</v>
      </c>
      <c r="J316" s="2" t="inlineStr">
        <is>
          <t>Derived or model input; see parent calculation formula and model assumptions.</t>
        </is>
      </c>
      <c r="K316" s="2" t="inlineStr">
        <is>
          <t>ratio (decimal)</t>
        </is>
      </c>
    </row>
    <row r="317" ht="42" customHeight="1">
      <c r="A317" s="2" t="inlineStr">
        <is>
          <t>invested-capital</t>
        </is>
      </c>
      <c r="B317" s="2" t="inlineStr">
        <is>
          <t>2021-10-31</t>
        </is>
      </c>
      <c r="C317" s="2" t="inlineStr">
        <is>
          <t>equity</t>
        </is>
      </c>
      <c r="D317" s="2" t="inlineStr">
        <is>
          <t>equity</t>
        </is>
      </c>
      <c r="E317" s="2" t="inlineStr">
        <is>
          <t>2021-10-31</t>
        </is>
      </c>
      <c r="F317" s="3" t="n">
        <v>24962000000</v>
      </c>
      <c r="G317" s="8" t="b">
        <v>0</v>
      </c>
      <c r="H317" s="2" t="inlineStr"/>
      <c r="I317" s="8" t="b">
        <v>0</v>
      </c>
      <c r="J317" s="2" t="inlineStr">
        <is>
          <t>https://www.sec.gov/Archives/edgar/data/1730168/000173016824000139/0001730168-24-000139-index.html</t>
        </is>
      </c>
      <c r="K317" s="2" t="inlineStr">
        <is>
          <t>USD</t>
        </is>
      </c>
    </row>
    <row r="318" ht="42" customHeight="1">
      <c r="A318" s="2" t="inlineStr">
        <is>
          <t>invested-capital</t>
        </is>
      </c>
      <c r="B318" s="2" t="inlineStr">
        <is>
          <t>2021-10-31</t>
        </is>
      </c>
      <c r="C318" s="2" t="inlineStr">
        <is>
          <t>debt</t>
        </is>
      </c>
      <c r="D318" s="2" t="inlineStr">
        <is>
          <t>debt</t>
        </is>
      </c>
      <c r="E318" s="2" t="inlineStr">
        <is>
          <t>2021-10-31</t>
        </is>
      </c>
      <c r="F318" s="3" t="n">
        <v>39704000000</v>
      </c>
      <c r="G318" s="8" t="b">
        <v>0</v>
      </c>
      <c r="H318" s="2" t="inlineStr"/>
      <c r="I318" s="8" t="b">
        <v>0</v>
      </c>
      <c r="J318" s="2" t="inlineStr">
        <is>
          <t>Derived or model input; see parent calculation formula and model assumptions.</t>
        </is>
      </c>
      <c r="K318" s="2" t="inlineStr">
        <is>
          <t>USD</t>
        </is>
      </c>
    </row>
    <row r="319" ht="42" customHeight="1">
      <c r="A319" s="2" t="inlineStr">
        <is>
          <t>invested-capital</t>
        </is>
      </c>
      <c r="B319" s="2" t="inlineStr">
        <is>
          <t>2021-10-31</t>
        </is>
      </c>
      <c r="C319" s="2" t="inlineStr">
        <is>
          <t>cash_sti</t>
        </is>
      </c>
      <c r="D319" s="2" t="inlineStr">
        <is>
          <t>cash_sti</t>
        </is>
      </c>
      <c r="E319" s="2" t="inlineStr">
        <is>
          <t>2021-10-31</t>
        </is>
      </c>
      <c r="F319" s="3" t="n">
        <v>12163000000</v>
      </c>
      <c r="G319" s="8" t="b">
        <v>0</v>
      </c>
      <c r="H319" s="2" t="inlineStr"/>
      <c r="I319" s="8" t="b">
        <v>0</v>
      </c>
      <c r="J319" s="2" t="inlineStr">
        <is>
          <t>https://www.sec.gov/Archives/edgar/data/1730168/000173016822000118/0001730168-22-000118-index.html</t>
        </is>
      </c>
      <c r="K319" s="2" t="inlineStr">
        <is>
          <t>USD</t>
        </is>
      </c>
    </row>
    <row r="320" ht="42" customHeight="1">
      <c r="A320" s="2" t="inlineStr">
        <is>
          <t>roic</t>
        </is>
      </c>
      <c r="B320" s="2" t="inlineStr">
        <is>
          <t>2021-10-31</t>
        </is>
      </c>
      <c r="C320" s="2" t="inlineStr">
        <is>
          <t>operating_income</t>
        </is>
      </c>
      <c r="D320" s="2" t="inlineStr">
        <is>
          <t>operating_income</t>
        </is>
      </c>
      <c r="E320" s="2" t="inlineStr">
        <is>
          <t>2021-10-31</t>
        </is>
      </c>
      <c r="F320" s="3" t="n">
        <v>8519000000</v>
      </c>
      <c r="G320" s="8" t="b">
        <v>0</v>
      </c>
      <c r="H320" s="2" t="inlineStr"/>
      <c r="I320" s="8" t="b">
        <v>0</v>
      </c>
      <c r="J320" s="2" t="inlineStr">
        <is>
          <t>https://www.sec.gov/Archives/edgar/data/1730168/000173016823000096/0001730168-23-000096-index.html</t>
        </is>
      </c>
      <c r="K320" s="2" t="inlineStr">
        <is>
          <t>USD</t>
        </is>
      </c>
    </row>
    <row r="321" ht="42" customHeight="1">
      <c r="A321" s="2" t="inlineStr">
        <is>
          <t>roic</t>
        </is>
      </c>
      <c r="B321" s="2" t="inlineStr">
        <is>
          <t>2021-10-31</t>
        </is>
      </c>
      <c r="C321" s="2" t="inlineStr">
        <is>
          <t>tax_rate</t>
        </is>
      </c>
      <c r="D321" s="2" t="inlineStr">
        <is>
          <t>tax_rate</t>
        </is>
      </c>
      <c r="E321" s="2" t="inlineStr">
        <is>
          <t>2021-10-31</t>
        </is>
      </c>
      <c r="F321" s="3" t="n">
        <v>0.004286770140428677</v>
      </c>
      <c r="G321" s="8" t="b">
        <v>0</v>
      </c>
      <c r="H321" s="2" t="inlineStr"/>
      <c r="I321" s="8" t="b">
        <v>0</v>
      </c>
      <c r="J321" s="2" t="inlineStr">
        <is>
          <t>Derived or model input; see parent calculation formula and model assumptions.</t>
        </is>
      </c>
      <c r="K321" s="2" t="inlineStr">
        <is>
          <t>ratio (decimal)</t>
        </is>
      </c>
    </row>
    <row r="322" ht="42" customHeight="1">
      <c r="A322" s="2" t="inlineStr">
        <is>
          <t>roic</t>
        </is>
      </c>
      <c r="B322" s="2" t="inlineStr">
        <is>
          <t>2021-10-31</t>
        </is>
      </c>
      <c r="C322" s="2" t="inlineStr">
        <is>
          <t>average_invested_capital</t>
        </is>
      </c>
      <c r="D322" s="2" t="inlineStr">
        <is>
          <t>average_invested_capital</t>
        </is>
      </c>
      <c r="E322" s="2" t="inlineStr">
        <is>
          <t>2021-10-31</t>
        </is>
      </c>
      <c r="F322" s="3" t="n">
        <v>54910500000</v>
      </c>
      <c r="G322" s="8" t="b">
        <v>0</v>
      </c>
      <c r="H322" s="2" t="inlineStr"/>
      <c r="I322" s="8" t="b">
        <v>0</v>
      </c>
      <c r="J322" s="2" t="inlineStr">
        <is>
          <t>Derived or model input; see parent calculation formula and model assumptions.</t>
        </is>
      </c>
      <c r="K322" s="2" t="inlineStr">
        <is>
          <t>USD</t>
        </is>
      </c>
    </row>
    <row r="323" ht="42" customHeight="1">
      <c r="A323" s="2" t="inlineStr">
        <is>
          <t>net-debt</t>
        </is>
      </c>
      <c r="B323" s="2" t="inlineStr">
        <is>
          <t>2021-10-31</t>
        </is>
      </c>
      <c r="C323" s="2" t="inlineStr">
        <is>
          <t>debt</t>
        </is>
      </c>
      <c r="D323" s="2" t="inlineStr">
        <is>
          <t>debt</t>
        </is>
      </c>
      <c r="E323" s="2" t="inlineStr">
        <is>
          <t>2021-10-31</t>
        </is>
      </c>
      <c r="F323" s="3" t="n">
        <v>39704000000</v>
      </c>
      <c r="G323" s="8" t="b">
        <v>0</v>
      </c>
      <c r="H323" s="2" t="inlineStr"/>
      <c r="I323" s="8" t="b">
        <v>0</v>
      </c>
      <c r="J323" s="2" t="inlineStr">
        <is>
          <t>Derived or model input; see parent calculation formula and model assumptions.</t>
        </is>
      </c>
      <c r="K323" s="2" t="inlineStr">
        <is>
          <t>USD</t>
        </is>
      </c>
    </row>
    <row r="324" ht="42" customHeight="1">
      <c r="A324" s="2" t="inlineStr">
        <is>
          <t>net-debt</t>
        </is>
      </c>
      <c r="B324" s="2" t="inlineStr">
        <is>
          <t>2021-10-31</t>
        </is>
      </c>
      <c r="C324" s="2" t="inlineStr">
        <is>
          <t>cash_sti</t>
        </is>
      </c>
      <c r="D324" s="2" t="inlineStr">
        <is>
          <t>cash_sti</t>
        </is>
      </c>
      <c r="E324" s="2" t="inlineStr">
        <is>
          <t>2021-10-31</t>
        </is>
      </c>
      <c r="F324" s="3" t="n">
        <v>12163000000</v>
      </c>
      <c r="G324" s="8" t="b">
        <v>0</v>
      </c>
      <c r="H324" s="2" t="inlineStr"/>
      <c r="I324" s="8" t="b">
        <v>0</v>
      </c>
      <c r="J324" s="2" t="inlineStr">
        <is>
          <t>https://www.sec.gov/Archives/edgar/data/1730168/000173016822000118/0001730168-22-000118-index.html</t>
        </is>
      </c>
      <c r="K324" s="2" t="inlineStr">
        <is>
          <t>USD</t>
        </is>
      </c>
    </row>
    <row r="325" ht="42" customHeight="1">
      <c r="A325" s="2" t="inlineStr">
        <is>
          <t>debt-ebitda</t>
        </is>
      </c>
      <c r="B325" s="2" t="inlineStr">
        <is>
          <t>2021-10-31</t>
        </is>
      </c>
      <c r="C325" s="2" t="inlineStr">
        <is>
          <t>debt</t>
        </is>
      </c>
      <c r="D325" s="2" t="inlineStr">
        <is>
          <t>debt</t>
        </is>
      </c>
      <c r="E325" s="2" t="inlineStr">
        <is>
          <t>2021-10-31</t>
        </is>
      </c>
      <c r="F325" s="3" t="n">
        <v>39704000000</v>
      </c>
      <c r="G325" s="8" t="b">
        <v>0</v>
      </c>
      <c r="H325" s="2" t="inlineStr"/>
      <c r="I325" s="8" t="b">
        <v>0</v>
      </c>
      <c r="J325" s="2" t="inlineStr">
        <is>
          <t>Derived or model input; see parent calculation formula and model assumptions.</t>
        </is>
      </c>
      <c r="K325" s="2" t="inlineStr">
        <is>
          <t>USD</t>
        </is>
      </c>
    </row>
    <row r="326" ht="42" customHeight="1">
      <c r="A326" s="2" t="inlineStr">
        <is>
          <t>interest-coverage</t>
        </is>
      </c>
      <c r="B326" s="2" t="inlineStr">
        <is>
          <t>2021-10-31</t>
        </is>
      </c>
      <c r="C326" s="2" t="inlineStr">
        <is>
          <t>operating_income</t>
        </is>
      </c>
      <c r="D326" s="2" t="inlineStr">
        <is>
          <t>operating_income</t>
        </is>
      </c>
      <c r="E326" s="2" t="inlineStr">
        <is>
          <t>2021-10-31</t>
        </is>
      </c>
      <c r="F326" s="3" t="n">
        <v>8519000000</v>
      </c>
      <c r="G326" s="8" t="b">
        <v>0</v>
      </c>
      <c r="H326" s="2" t="inlineStr"/>
      <c r="I326" s="8" t="b">
        <v>0</v>
      </c>
      <c r="J326" s="2" t="inlineStr">
        <is>
          <t>https://www.sec.gov/Archives/edgar/data/1730168/000173016823000096/0001730168-23-000096-index.html</t>
        </is>
      </c>
      <c r="K326" s="2" t="inlineStr">
        <is>
          <t>USD</t>
        </is>
      </c>
    </row>
    <row r="327" ht="42" customHeight="1">
      <c r="A327" s="2" t="inlineStr">
        <is>
          <t>interest-coverage</t>
        </is>
      </c>
      <c r="B327" s="2" t="inlineStr">
        <is>
          <t>2021-10-31</t>
        </is>
      </c>
      <c r="C327" s="2" t="inlineStr">
        <is>
          <t>interest_expense</t>
        </is>
      </c>
      <c r="D327" s="2" t="inlineStr">
        <is>
          <t>interest_expense</t>
        </is>
      </c>
      <c r="E327" s="2" t="inlineStr">
        <is>
          <t>2021-10-31</t>
        </is>
      </c>
      <c r="F327" s="3" t="n">
        <v>1885000000</v>
      </c>
      <c r="G327" s="8" t="b">
        <v>0</v>
      </c>
      <c r="H327" s="2" t="inlineStr"/>
      <c r="I327" s="8" t="b">
        <v>0</v>
      </c>
      <c r="J327" s="2" t="inlineStr">
        <is>
          <t>https://www.sec.gov/Archives/edgar/data/1730168/000173016823000096/0001730168-23-000096-index.html</t>
        </is>
      </c>
      <c r="K327" s="2" t="inlineStr">
        <is>
          <t>USD</t>
        </is>
      </c>
    </row>
    <row r="328" ht="42" customHeight="1">
      <c r="A328" s="2" t="inlineStr">
        <is>
          <t>current-ratio</t>
        </is>
      </c>
      <c r="B328" s="2" t="inlineStr">
        <is>
          <t>2021-10-31</t>
        </is>
      </c>
      <c r="C328" s="2" t="inlineStr">
        <is>
          <t>current_assets</t>
        </is>
      </c>
      <c r="D328" s="2" t="inlineStr">
        <is>
          <t>current_assets</t>
        </is>
      </c>
      <c r="E328" s="2" t="inlineStr">
        <is>
          <t>2021-10-31</t>
        </is>
      </c>
      <c r="F328" s="3" t="n">
        <v>16586000000</v>
      </c>
      <c r="G328" s="8" t="b">
        <v>0</v>
      </c>
      <c r="H328" s="2" t="inlineStr"/>
      <c r="I328" s="8" t="b">
        <v>0</v>
      </c>
      <c r="J328" s="2" t="inlineStr">
        <is>
          <t>https://www.sec.gov/Archives/edgar/data/1730168/000173016822000118/0001730168-22-000118-index.html</t>
        </is>
      </c>
      <c r="K328" s="2" t="inlineStr">
        <is>
          <t>USD</t>
        </is>
      </c>
    </row>
    <row r="329" ht="42" customHeight="1">
      <c r="A329" s="2" t="inlineStr">
        <is>
          <t>current-ratio</t>
        </is>
      </c>
      <c r="B329" s="2" t="inlineStr">
        <is>
          <t>2021-10-31</t>
        </is>
      </c>
      <c r="C329" s="2" t="inlineStr">
        <is>
          <t>current_liabilities</t>
        </is>
      </c>
      <c r="D329" s="2" t="inlineStr">
        <is>
          <t>current_liabilities</t>
        </is>
      </c>
      <c r="E329" s="2" t="inlineStr">
        <is>
          <t>2021-10-31</t>
        </is>
      </c>
      <c r="F329" s="3" t="n">
        <v>6281000000</v>
      </c>
      <c r="G329" s="8" t="b">
        <v>0</v>
      </c>
      <c r="H329" s="2" t="inlineStr"/>
      <c r="I329" s="8" t="b">
        <v>0</v>
      </c>
      <c r="J329" s="2" t="inlineStr">
        <is>
          <t>https://www.sec.gov/Archives/edgar/data/1730168/000173016822000118/0001730168-22-000118-index.html</t>
        </is>
      </c>
      <c r="K329" s="2" t="inlineStr">
        <is>
          <t>USD</t>
        </is>
      </c>
    </row>
    <row r="330" ht="42" customHeight="1">
      <c r="A330" s="2" t="inlineStr">
        <is>
          <t>tangible-book-value</t>
        </is>
      </c>
      <c r="B330" s="2" t="inlineStr">
        <is>
          <t>2021-10-31</t>
        </is>
      </c>
      <c r="C330" s="2" t="inlineStr">
        <is>
          <t>equity</t>
        </is>
      </c>
      <c r="D330" s="2" t="inlineStr">
        <is>
          <t>equity</t>
        </is>
      </c>
      <c r="E330" s="2" t="inlineStr">
        <is>
          <t>2021-10-31</t>
        </is>
      </c>
      <c r="F330" s="3" t="n">
        <v>24962000000</v>
      </c>
      <c r="G330" s="8" t="b">
        <v>0</v>
      </c>
      <c r="H330" s="2" t="inlineStr"/>
      <c r="I330" s="8" t="b">
        <v>0</v>
      </c>
      <c r="J330" s="2" t="inlineStr">
        <is>
          <t>https://www.sec.gov/Archives/edgar/data/1730168/000173016824000139/0001730168-24-000139-index.html</t>
        </is>
      </c>
      <c r="K330" s="2" t="inlineStr">
        <is>
          <t>USD</t>
        </is>
      </c>
    </row>
    <row r="331" ht="42" customHeight="1">
      <c r="A331" s="2" t="inlineStr">
        <is>
          <t>tangible-book-value</t>
        </is>
      </c>
      <c r="B331" s="2" t="inlineStr">
        <is>
          <t>2021-10-31</t>
        </is>
      </c>
      <c r="C331" s="2" t="inlineStr">
        <is>
          <t>preferred</t>
        </is>
      </c>
      <c r="D331" s="2" t="inlineStr">
        <is>
          <t>preferred</t>
        </is>
      </c>
      <c r="E331" s="2" t="inlineStr">
        <is>
          <t>2021-10-31</t>
        </is>
      </c>
      <c r="F331" s="3" t="n">
        <v>0</v>
      </c>
      <c r="G331" s="8" t="b">
        <v>0</v>
      </c>
      <c r="H331" s="2" t="inlineStr"/>
      <c r="I331" s="8" t="b">
        <v>0</v>
      </c>
      <c r="J331" s="2" t="inlineStr">
        <is>
          <t>https://www.sec.gov/Archives/edgar/data/1730168/000173016822000118/0001730168-22-000118-index.html</t>
        </is>
      </c>
      <c r="K331" s="2" t="inlineStr">
        <is>
          <t>USD</t>
        </is>
      </c>
    </row>
    <row r="332" ht="42" customHeight="1">
      <c r="A332" s="2" t="inlineStr">
        <is>
          <t>tangible-book-value</t>
        </is>
      </c>
      <c r="B332" s="2" t="inlineStr">
        <is>
          <t>2021-10-31</t>
        </is>
      </c>
      <c r="C332" s="2" t="inlineStr">
        <is>
          <t>goodwill</t>
        </is>
      </c>
      <c r="D332" s="2" t="inlineStr">
        <is>
          <t>goodwill</t>
        </is>
      </c>
      <c r="E332" s="2" t="inlineStr">
        <is>
          <t>2021-10-31</t>
        </is>
      </c>
      <c r="F332" s="3" t="n">
        <v>43450000000</v>
      </c>
      <c r="G332" s="8" t="b">
        <v>0</v>
      </c>
      <c r="H332" s="2" t="inlineStr"/>
      <c r="I332" s="8" t="b">
        <v>0</v>
      </c>
      <c r="J332" s="2" t="inlineStr">
        <is>
          <t>https://www.sec.gov/Archives/edgar/data/1730168/000173016823000096/0001730168-23-000096-index.html</t>
        </is>
      </c>
      <c r="K332" s="2" t="inlineStr">
        <is>
          <t>USD</t>
        </is>
      </c>
    </row>
    <row r="333" ht="42" customHeight="1">
      <c r="A333" s="2" t="inlineStr">
        <is>
          <t>tangible-book-value</t>
        </is>
      </c>
      <c r="B333" s="2" t="inlineStr">
        <is>
          <t>2021-10-31</t>
        </is>
      </c>
      <c r="C333" s="2" t="inlineStr">
        <is>
          <t>intangibles</t>
        </is>
      </c>
      <c r="D333" s="2" t="inlineStr">
        <is>
          <t>intangibles</t>
        </is>
      </c>
      <c r="E333" s="2" t="inlineStr">
        <is>
          <t>2021-10-31</t>
        </is>
      </c>
      <c r="F333" s="3" t="n">
        <v>11374000000</v>
      </c>
      <c r="G333" s="8" t="b">
        <v>0</v>
      </c>
      <c r="H333" s="2" t="inlineStr"/>
      <c r="I333" s="8" t="b">
        <v>0</v>
      </c>
      <c r="J333" s="2" t="inlineStr">
        <is>
          <t>https://www.sec.gov/Archives/edgar/data/1730168/000173016822000118/0001730168-22-000118-index.html</t>
        </is>
      </c>
      <c r="K333" s="2" t="inlineStr">
        <is>
          <t>USD</t>
        </is>
      </c>
    </row>
    <row r="334" ht="42" customHeight="1">
      <c r="A334" s="2" t="inlineStr">
        <is>
          <t>ncav</t>
        </is>
      </c>
      <c r="B334" s="2" t="inlineStr">
        <is>
          <t>2021-10-31</t>
        </is>
      </c>
      <c r="C334" s="2" t="inlineStr">
        <is>
          <t>current_assets</t>
        </is>
      </c>
      <c r="D334" s="2" t="inlineStr">
        <is>
          <t>current_assets</t>
        </is>
      </c>
      <c r="E334" s="2" t="inlineStr">
        <is>
          <t>2021-10-31</t>
        </is>
      </c>
      <c r="F334" s="3" t="n">
        <v>16586000000</v>
      </c>
      <c r="G334" s="8" t="b">
        <v>0</v>
      </c>
      <c r="H334" s="2" t="inlineStr"/>
      <c r="I334" s="8" t="b">
        <v>0</v>
      </c>
      <c r="J334" s="2" t="inlineStr">
        <is>
          <t>https://www.sec.gov/Archives/edgar/data/1730168/000173016822000118/0001730168-22-000118-index.html</t>
        </is>
      </c>
      <c r="K334" s="2" t="inlineStr">
        <is>
          <t>USD</t>
        </is>
      </c>
    </row>
    <row r="335" ht="42" customHeight="1">
      <c r="A335" s="2" t="inlineStr">
        <is>
          <t>ncav</t>
        </is>
      </c>
      <c r="B335" s="2" t="inlineStr">
        <is>
          <t>2021-10-31</t>
        </is>
      </c>
      <c r="C335" s="2" t="inlineStr">
        <is>
          <t>total_liabilities</t>
        </is>
      </c>
      <c r="D335" s="2" t="inlineStr">
        <is>
          <t>total_liabilities</t>
        </is>
      </c>
      <c r="E335" s="2" t="inlineStr">
        <is>
          <t>2021-10-31</t>
        </is>
      </c>
      <c r="F335" s="3" t="n">
        <v>50581000000</v>
      </c>
      <c r="G335" s="8" t="b">
        <v>0</v>
      </c>
      <c r="H335" s="2" t="inlineStr"/>
      <c r="I335" s="8" t="b">
        <v>0</v>
      </c>
      <c r="J335" s="2" t="inlineStr">
        <is>
          <t>https://www.sec.gov/Archives/edgar/data/1730168/000173016822000118/0001730168-22-000118-index.html</t>
        </is>
      </c>
      <c r="K335" s="2" t="inlineStr">
        <is>
          <t>USD</t>
        </is>
      </c>
    </row>
    <row r="336" ht="42" customHeight="1">
      <c r="A336" s="2" t="inlineStr">
        <is>
          <t>ncav</t>
        </is>
      </c>
      <c r="B336" s="2" t="inlineStr">
        <is>
          <t>2021-10-31</t>
        </is>
      </c>
      <c r="C336" s="2" t="inlineStr">
        <is>
          <t>preferred</t>
        </is>
      </c>
      <c r="D336" s="2" t="inlineStr">
        <is>
          <t>preferred</t>
        </is>
      </c>
      <c r="E336" s="2" t="inlineStr">
        <is>
          <t>2021-10-31</t>
        </is>
      </c>
      <c r="F336" s="3" t="n">
        <v>0</v>
      </c>
      <c r="G336" s="8" t="b">
        <v>0</v>
      </c>
      <c r="H336" s="2" t="inlineStr"/>
      <c r="I336" s="8" t="b">
        <v>0</v>
      </c>
      <c r="J336" s="2" t="inlineStr">
        <is>
          <t>https://www.sec.gov/Archives/edgar/data/1730168/000173016822000118/0001730168-22-000118-index.html</t>
        </is>
      </c>
      <c r="K336" s="2" t="inlineStr">
        <is>
          <t>USD</t>
        </is>
      </c>
    </row>
    <row r="337" ht="42" customHeight="1">
      <c r="A337" s="2" t="inlineStr">
        <is>
          <t>dilution</t>
        </is>
      </c>
      <c r="B337" s="2" t="inlineStr">
        <is>
          <t>2021-10-31</t>
        </is>
      </c>
      <c r="C337" s="2" t="inlineStr">
        <is>
          <t>diluted_avg_shares</t>
        </is>
      </c>
      <c r="D337" s="2" t="inlineStr">
        <is>
          <t>diluted_avg_shares</t>
        </is>
      </c>
      <c r="E337" s="2" t="inlineStr">
        <is>
          <t>2021-10-31</t>
        </is>
      </c>
      <c r="F337" s="3" t="n">
        <v>4290000000</v>
      </c>
      <c r="G337" s="8" t="b">
        <v>0</v>
      </c>
      <c r="H337" s="2" t="inlineStr"/>
      <c r="I337" s="8" t="b">
        <v>0</v>
      </c>
      <c r="J337" s="2" t="inlineStr">
        <is>
          <t>https://www.sec.gov/Archives/edgar/data/1730168/000173016823000096/0001730168-23-000096-index.html</t>
        </is>
      </c>
      <c r="K337" s="2" t="inlineStr">
        <is>
          <t>shares</t>
        </is>
      </c>
    </row>
    <row r="338" ht="42" customHeight="1">
      <c r="A338" s="2" t="inlineStr">
        <is>
          <t>dilution</t>
        </is>
      </c>
      <c r="B338" s="2" t="inlineStr">
        <is>
          <t>2021-10-31</t>
        </is>
      </c>
      <c r="C338" s="2" t="inlineStr">
        <is>
          <t>previous_shares</t>
        </is>
      </c>
      <c r="D338" s="2" t="inlineStr">
        <is>
          <t>diluted_avg_shares</t>
        </is>
      </c>
      <c r="E338" s="2" t="inlineStr">
        <is>
          <t>2020-11-01</t>
        </is>
      </c>
      <c r="F338" s="3" t="n">
        <v>4210000000</v>
      </c>
      <c r="G338" s="8" t="b">
        <v>0</v>
      </c>
      <c r="H338" s="2" t="inlineStr"/>
      <c r="I338" s="8" t="b">
        <v>0</v>
      </c>
      <c r="J338" s="2" t="inlineStr">
        <is>
          <t>https://www.sec.gov/Archives/edgar/data/1730168/000173016822000118/0001730168-22-000118-index.html</t>
        </is>
      </c>
      <c r="K338" s="2" t="inlineStr">
        <is>
          <t>shares</t>
        </is>
      </c>
    </row>
    <row r="339" ht="42" customHeight="1">
      <c r="A339" s="2" t="inlineStr">
        <is>
          <t>sbc-to-revenue</t>
        </is>
      </c>
      <c r="B339" s="2" t="inlineStr">
        <is>
          <t>2021-10-31</t>
        </is>
      </c>
      <c r="C339" s="2" t="inlineStr">
        <is>
          <t>sbc</t>
        </is>
      </c>
      <c r="D339" s="2" t="inlineStr">
        <is>
          <t>sbc</t>
        </is>
      </c>
      <c r="E339" s="2" t="inlineStr">
        <is>
          <t>2021-10-31</t>
        </is>
      </c>
      <c r="F339" s="3" t="n">
        <v>1704000000</v>
      </c>
      <c r="G339" s="8" t="b">
        <v>0</v>
      </c>
      <c r="H339" s="2" t="inlineStr"/>
      <c r="I339" s="8" t="b">
        <v>0</v>
      </c>
      <c r="J339" s="2" t="inlineStr">
        <is>
          <t>https://www.sec.gov/Archives/edgar/data/1730168/000173016823000096/0001730168-23-000096-index.html</t>
        </is>
      </c>
      <c r="K339" s="2" t="inlineStr">
        <is>
          <t>USD</t>
        </is>
      </c>
    </row>
    <row r="340" ht="42" customHeight="1">
      <c r="A340" s="2" t="inlineStr">
        <is>
          <t>sbc-to-revenue</t>
        </is>
      </c>
      <c r="B340" s="2" t="inlineStr">
        <is>
          <t>2021-10-31</t>
        </is>
      </c>
      <c r="C340" s="2" t="inlineStr">
        <is>
          <t>revenue</t>
        </is>
      </c>
      <c r="D340" s="2" t="inlineStr">
        <is>
          <t>revenue</t>
        </is>
      </c>
      <c r="E340" s="2" t="inlineStr">
        <is>
          <t>2021-10-31</t>
        </is>
      </c>
      <c r="F340" s="3" t="n">
        <v>27450000000</v>
      </c>
      <c r="G340" s="8" t="b">
        <v>0</v>
      </c>
      <c r="H340" s="2" t="inlineStr"/>
      <c r="I340" s="8" t="b">
        <v>0</v>
      </c>
      <c r="J340" s="2" t="inlineStr">
        <is>
          <t>https://www.sec.gov/Archives/edgar/data/1730168/000173016823000096/0001730168-23-000096-index.html</t>
        </is>
      </c>
      <c r="K340" s="2" t="inlineStr">
        <is>
          <t>USD</t>
        </is>
      </c>
    </row>
    <row r="341" ht="42" customHeight="1">
      <c r="A341" s="2" t="inlineStr">
        <is>
          <t>eps</t>
        </is>
      </c>
      <c r="B341" s="2" t="inlineStr">
        <is>
          <t>2021-10-31</t>
        </is>
      </c>
      <c r="C341" s="2" t="inlineStr">
        <is>
          <t>eps_diluted</t>
        </is>
      </c>
      <c r="D341" s="2" t="inlineStr">
        <is>
          <t>eps_diluted</t>
        </is>
      </c>
      <c r="E341" s="2" t="inlineStr">
        <is>
          <t>2021-10-31</t>
        </is>
      </c>
      <c r="F341" s="3" t="n">
        <v>1.5</v>
      </c>
      <c r="G341" s="8" t="b">
        <v>0</v>
      </c>
      <c r="H341" s="2" t="inlineStr"/>
      <c r="I341" s="8" t="b">
        <v>0</v>
      </c>
      <c r="J341" s="2" t="inlineStr">
        <is>
          <t>https://www.sec.gov/Archives/edgar/data/1730168/000173016823000096/0001730168-23-000096-index.html</t>
        </is>
      </c>
      <c r="K341" s="2" t="inlineStr">
        <is>
          <t>USD per share</t>
        </is>
      </c>
    </row>
    <row r="342" ht="42" customHeight="1">
      <c r="A342" s="2" t="inlineStr">
        <is>
          <t>debt-due-3y</t>
        </is>
      </c>
      <c r="B342" s="2" t="inlineStr">
        <is>
          <t>2021-10-31</t>
        </is>
      </c>
      <c r="C342" s="2" t="inlineStr">
        <is>
          <t>maturity_y1</t>
        </is>
      </c>
      <c r="D342" s="2" t="inlineStr">
        <is>
          <t>maturity_y1</t>
        </is>
      </c>
      <c r="E342" s="2" t="inlineStr">
        <is>
          <t>2021-10-31</t>
        </is>
      </c>
      <c r="F342" s="3" t="n">
        <v>264000000</v>
      </c>
      <c r="G342" s="8" t="b">
        <v>0</v>
      </c>
      <c r="H342" s="2" t="inlineStr"/>
      <c r="I342" s="8" t="b">
        <v>0</v>
      </c>
      <c r="J342" s="2" t="inlineStr">
        <is>
          <t>https://www.sec.gov/Archives/edgar/data/1730168/000173016821000153/0001730168-21-000153-index.html</t>
        </is>
      </c>
      <c r="K342" s="2" t="inlineStr">
        <is>
          <t>USD</t>
        </is>
      </c>
    </row>
    <row r="343" ht="42" customHeight="1">
      <c r="A343" s="2" t="inlineStr">
        <is>
          <t>debt-due-3y</t>
        </is>
      </c>
      <c r="B343" s="2" t="inlineStr">
        <is>
          <t>2021-10-31</t>
        </is>
      </c>
      <c r="C343" s="2" t="inlineStr">
        <is>
          <t>maturity_y2</t>
        </is>
      </c>
      <c r="D343" s="2" t="inlineStr">
        <is>
          <t>maturity_y2</t>
        </is>
      </c>
      <c r="E343" s="2" t="inlineStr">
        <is>
          <t>2021-10-31</t>
        </is>
      </c>
      <c r="F343" s="3" t="n">
        <v>403000000</v>
      </c>
      <c r="G343" s="8" t="b">
        <v>0</v>
      </c>
      <c r="H343" s="2" t="inlineStr"/>
      <c r="I343" s="8" t="b">
        <v>0</v>
      </c>
      <c r="J343" s="2" t="inlineStr">
        <is>
          <t>https://www.sec.gov/Archives/edgar/data/1730168/000173016821000153/0001730168-21-000153-index.html</t>
        </is>
      </c>
      <c r="K343" s="2" t="inlineStr">
        <is>
          <t>USD</t>
        </is>
      </c>
    </row>
    <row r="344" ht="42" customHeight="1">
      <c r="A344" s="2" t="inlineStr">
        <is>
          <t>debt-due-3y</t>
        </is>
      </c>
      <c r="B344" s="2" t="inlineStr">
        <is>
          <t>2021-10-31</t>
        </is>
      </c>
      <c r="C344" s="2" t="inlineStr">
        <is>
          <t>maturity_y3</t>
        </is>
      </c>
      <c r="D344" s="2" t="inlineStr">
        <is>
          <t>maturity_y3</t>
        </is>
      </c>
      <c r="E344" s="2" t="inlineStr">
        <is>
          <t>2021-10-31</t>
        </is>
      </c>
      <c r="F344" s="3" t="n">
        <v>1563000000</v>
      </c>
      <c r="G344" s="8" t="b">
        <v>0</v>
      </c>
      <c r="H344" s="2" t="inlineStr"/>
      <c r="I344" s="8" t="b">
        <v>0</v>
      </c>
      <c r="J344" s="2" t="inlineStr">
        <is>
          <t>https://www.sec.gov/Archives/edgar/data/1730168/000173016821000153/0001730168-21-000153-index.html</t>
        </is>
      </c>
      <c r="K344" s="2" t="inlineStr">
        <is>
          <t>USD</t>
        </is>
      </c>
    </row>
    <row r="345" ht="42" customHeight="1">
      <c r="A345" s="2" t="inlineStr">
        <is>
          <t>revenue-growth</t>
        </is>
      </c>
      <c r="B345" s="2" t="inlineStr">
        <is>
          <t>2022-10-30</t>
        </is>
      </c>
      <c r="C345" s="2" t="inlineStr">
        <is>
          <t>revenue</t>
        </is>
      </c>
      <c r="D345" s="2" t="inlineStr">
        <is>
          <t>revenue</t>
        </is>
      </c>
      <c r="E345" s="2" t="inlineStr">
        <is>
          <t>2022-10-30</t>
        </is>
      </c>
      <c r="F345" s="3" t="n">
        <v>33203000000</v>
      </c>
      <c r="G345" s="8" t="b">
        <v>0</v>
      </c>
      <c r="H345" s="2" t="inlineStr"/>
      <c r="I345" s="8" t="b">
        <v>0</v>
      </c>
      <c r="J345" s="2" t="inlineStr">
        <is>
          <t>https://www.sec.gov/Archives/edgar/data/1730168/000173016824000139/0001730168-24-000139-index.html</t>
        </is>
      </c>
      <c r="K345" s="2" t="inlineStr">
        <is>
          <t>USD</t>
        </is>
      </c>
    </row>
    <row r="346" ht="42" customHeight="1">
      <c r="A346" s="2" t="inlineStr">
        <is>
          <t>revenue-growth</t>
        </is>
      </c>
      <c r="B346" s="2" t="inlineStr">
        <is>
          <t>2022-10-30</t>
        </is>
      </c>
      <c r="C346" s="2" t="inlineStr">
        <is>
          <t>previous_revenue</t>
        </is>
      </c>
      <c r="D346" s="2" t="inlineStr">
        <is>
          <t>revenue</t>
        </is>
      </c>
      <c r="E346" s="2" t="inlineStr">
        <is>
          <t>2021-10-31</t>
        </is>
      </c>
      <c r="F346" s="3" t="n">
        <v>27450000000</v>
      </c>
      <c r="G346" s="8" t="b">
        <v>0</v>
      </c>
      <c r="H346" s="2" t="inlineStr"/>
      <c r="I346" s="8" t="b">
        <v>0</v>
      </c>
      <c r="J346" s="2" t="inlineStr">
        <is>
          <t>https://www.sec.gov/Archives/edgar/data/1730168/000173016823000096/0001730168-23-000096-index.html</t>
        </is>
      </c>
      <c r="K346" s="2" t="inlineStr">
        <is>
          <t>USD</t>
        </is>
      </c>
    </row>
    <row r="347" ht="42" customHeight="1">
      <c r="A347" s="2" t="inlineStr">
        <is>
          <t>gross-margin</t>
        </is>
      </c>
      <c r="B347" s="2" t="inlineStr">
        <is>
          <t>2022-10-30</t>
        </is>
      </c>
      <c r="C347" s="2" t="inlineStr">
        <is>
          <t>gross_profit</t>
        </is>
      </c>
      <c r="D347" s="2" t="inlineStr">
        <is>
          <t>gross_profit</t>
        </is>
      </c>
      <c r="E347" s="2" t="inlineStr">
        <is>
          <t>2022-10-30</t>
        </is>
      </c>
      <c r="F347" s="3" t="n">
        <v>22095000000</v>
      </c>
      <c r="G347" s="8" t="b">
        <v>0</v>
      </c>
      <c r="H347" s="2" t="inlineStr"/>
      <c r="I347" s="8" t="b">
        <v>0</v>
      </c>
      <c r="J347" s="2" t="inlineStr">
        <is>
          <t>https://www.sec.gov/Archives/edgar/data/1730168/000173016824000139/0001730168-24-000139-index.html</t>
        </is>
      </c>
      <c r="K347" s="2" t="inlineStr">
        <is>
          <t>USD</t>
        </is>
      </c>
    </row>
    <row r="348" ht="42" customHeight="1">
      <c r="A348" s="2" t="inlineStr">
        <is>
          <t>gross-margin</t>
        </is>
      </c>
      <c r="B348" s="2" t="inlineStr">
        <is>
          <t>2022-10-30</t>
        </is>
      </c>
      <c r="C348" s="2" t="inlineStr">
        <is>
          <t>revenue</t>
        </is>
      </c>
      <c r="D348" s="2" t="inlineStr">
        <is>
          <t>revenue</t>
        </is>
      </c>
      <c r="E348" s="2" t="inlineStr">
        <is>
          <t>2022-10-30</t>
        </is>
      </c>
      <c r="F348" s="3" t="n">
        <v>33203000000</v>
      </c>
      <c r="G348" s="8" t="b">
        <v>0</v>
      </c>
      <c r="H348" s="2" t="inlineStr"/>
      <c r="I348" s="8" t="b">
        <v>0</v>
      </c>
      <c r="J348" s="2" t="inlineStr">
        <is>
          <t>https://www.sec.gov/Archives/edgar/data/1730168/000173016824000139/0001730168-24-000139-index.html</t>
        </is>
      </c>
      <c r="K348" s="2" t="inlineStr">
        <is>
          <t>USD</t>
        </is>
      </c>
    </row>
    <row r="349" ht="42" customHeight="1">
      <c r="A349" s="2" t="inlineStr">
        <is>
          <t>operating-margin</t>
        </is>
      </c>
      <c r="B349" s="2" t="inlineStr">
        <is>
          <t>2022-10-30</t>
        </is>
      </c>
      <c r="C349" s="2" t="inlineStr">
        <is>
          <t>operating_income</t>
        </is>
      </c>
      <c r="D349" s="2" t="inlineStr">
        <is>
          <t>operating_income</t>
        </is>
      </c>
      <c r="E349" s="2" t="inlineStr">
        <is>
          <t>2022-10-30</t>
        </is>
      </c>
      <c r="F349" s="3" t="n">
        <v>14225000000</v>
      </c>
      <c r="G349" s="8" t="b">
        <v>0</v>
      </c>
      <c r="H349" s="2" t="inlineStr"/>
      <c r="I349" s="8" t="b">
        <v>0</v>
      </c>
      <c r="J349" s="2" t="inlineStr">
        <is>
          <t>https://www.sec.gov/Archives/edgar/data/1730168/000173016824000139/0001730168-24-000139-index.html</t>
        </is>
      </c>
      <c r="K349" s="2" t="inlineStr">
        <is>
          <t>USD</t>
        </is>
      </c>
    </row>
    <row r="350" ht="42" customHeight="1">
      <c r="A350" s="2" t="inlineStr">
        <is>
          <t>operating-margin</t>
        </is>
      </c>
      <c r="B350" s="2" t="inlineStr">
        <is>
          <t>2022-10-30</t>
        </is>
      </c>
      <c r="C350" s="2" t="inlineStr">
        <is>
          <t>revenue</t>
        </is>
      </c>
      <c r="D350" s="2" t="inlineStr">
        <is>
          <t>revenue</t>
        </is>
      </c>
      <c r="E350" s="2" t="inlineStr">
        <is>
          <t>2022-10-30</t>
        </is>
      </c>
      <c r="F350" s="3" t="n">
        <v>33203000000</v>
      </c>
      <c r="G350" s="8" t="b">
        <v>0</v>
      </c>
      <c r="H350" s="2" t="inlineStr"/>
      <c r="I350" s="8" t="b">
        <v>0</v>
      </c>
      <c r="J350" s="2" t="inlineStr">
        <is>
          <t>https://www.sec.gov/Archives/edgar/data/1730168/000173016824000139/0001730168-24-000139-index.html</t>
        </is>
      </c>
      <c r="K350" s="2" t="inlineStr">
        <is>
          <t>USD</t>
        </is>
      </c>
    </row>
    <row r="351" ht="42" customHeight="1">
      <c r="A351" s="2" t="inlineStr">
        <is>
          <t>net-margin</t>
        </is>
      </c>
      <c r="B351" s="2" t="inlineStr">
        <is>
          <t>2022-10-30</t>
        </is>
      </c>
      <c r="C351" s="2" t="inlineStr">
        <is>
          <t>net_income</t>
        </is>
      </c>
      <c r="D351" s="2" t="inlineStr">
        <is>
          <t>net_income</t>
        </is>
      </c>
      <c r="E351" s="2" t="inlineStr">
        <is>
          <t>2022-10-30</t>
        </is>
      </c>
      <c r="F351" s="3" t="n">
        <v>11495000000</v>
      </c>
      <c r="G351" s="8" t="b">
        <v>0</v>
      </c>
      <c r="H351" s="2" t="inlineStr"/>
      <c r="I351" s="8" t="b">
        <v>0</v>
      </c>
      <c r="J351" s="2" t="inlineStr">
        <is>
          <t>https://www.sec.gov/Archives/edgar/data/1730168/000173016824000139/0001730168-24-000139-index.html</t>
        </is>
      </c>
      <c r="K351" s="2" t="inlineStr">
        <is>
          <t>USD</t>
        </is>
      </c>
    </row>
    <row r="352" ht="42" customHeight="1">
      <c r="A352" s="2" t="inlineStr">
        <is>
          <t>net-margin</t>
        </is>
      </c>
      <c r="B352" s="2" t="inlineStr">
        <is>
          <t>2022-10-30</t>
        </is>
      </c>
      <c r="C352" s="2" t="inlineStr">
        <is>
          <t>revenue</t>
        </is>
      </c>
      <c r="D352" s="2" t="inlineStr">
        <is>
          <t>revenue</t>
        </is>
      </c>
      <c r="E352" s="2" t="inlineStr">
        <is>
          <t>2022-10-30</t>
        </is>
      </c>
      <c r="F352" s="3" t="n">
        <v>33203000000</v>
      </c>
      <c r="G352" s="8" t="b">
        <v>0</v>
      </c>
      <c r="H352" s="2" t="inlineStr"/>
      <c r="I352" s="8" t="b">
        <v>0</v>
      </c>
      <c r="J352" s="2" t="inlineStr">
        <is>
          <t>https://www.sec.gov/Archives/edgar/data/1730168/000173016824000139/0001730168-24-000139-index.html</t>
        </is>
      </c>
      <c r="K352" s="2" t="inlineStr">
        <is>
          <t>USD</t>
        </is>
      </c>
    </row>
    <row r="353" ht="42" customHeight="1">
      <c r="A353" s="2" t="inlineStr">
        <is>
          <t>fcf</t>
        </is>
      </c>
      <c r="B353" s="2" t="inlineStr">
        <is>
          <t>2022-10-30</t>
        </is>
      </c>
      <c r="C353" s="2" t="inlineStr">
        <is>
          <t>ocf</t>
        </is>
      </c>
      <c r="D353" s="2" t="inlineStr">
        <is>
          <t>ocf</t>
        </is>
      </c>
      <c r="E353" s="2" t="inlineStr">
        <is>
          <t>2022-10-30</t>
        </is>
      </c>
      <c r="F353" s="3" t="n">
        <v>16736000000</v>
      </c>
      <c r="G353" s="8" t="b">
        <v>0</v>
      </c>
      <c r="H353" s="2" t="inlineStr"/>
      <c r="I353" s="8" t="b">
        <v>0</v>
      </c>
      <c r="J353" s="2" t="inlineStr">
        <is>
          <t>https://www.sec.gov/Archives/edgar/data/1730168/000173016824000139/0001730168-24-000139-index.html</t>
        </is>
      </c>
      <c r="K353" s="2" t="inlineStr">
        <is>
          <t>USD</t>
        </is>
      </c>
    </row>
    <row r="354" ht="42" customHeight="1">
      <c r="A354" s="2" t="inlineStr">
        <is>
          <t>fcf</t>
        </is>
      </c>
      <c r="B354" s="2" t="inlineStr">
        <is>
          <t>2022-10-30</t>
        </is>
      </c>
      <c r="C354" s="2" t="inlineStr">
        <is>
          <t>capex</t>
        </is>
      </c>
      <c r="D354" s="2" t="inlineStr">
        <is>
          <t>capex</t>
        </is>
      </c>
      <c r="E354" s="2" t="inlineStr">
        <is>
          <t>2022-10-30</t>
        </is>
      </c>
      <c r="F354" s="3" t="n">
        <v>424000000</v>
      </c>
      <c r="G354" s="8" t="b">
        <v>0</v>
      </c>
      <c r="H354" s="2" t="inlineStr"/>
      <c r="I354" s="8" t="b">
        <v>0</v>
      </c>
      <c r="J354" s="2" t="inlineStr">
        <is>
          <t>https://www.sec.gov/Archives/edgar/data/1730168/000173016824000139/0001730168-24-000139-index.html</t>
        </is>
      </c>
      <c r="K354" s="2" t="inlineStr">
        <is>
          <t>USD</t>
        </is>
      </c>
    </row>
    <row r="355" ht="42" customHeight="1">
      <c r="A355" s="2" t="inlineStr">
        <is>
          <t>fcf-margin</t>
        </is>
      </c>
      <c r="B355" s="2" t="inlineStr">
        <is>
          <t>2022-10-30</t>
        </is>
      </c>
      <c r="C355" s="2" t="inlineStr">
        <is>
          <t>ocf</t>
        </is>
      </c>
      <c r="D355" s="2" t="inlineStr">
        <is>
          <t>ocf</t>
        </is>
      </c>
      <c r="E355" s="2" t="inlineStr">
        <is>
          <t>2022-10-30</t>
        </is>
      </c>
      <c r="F355" s="3" t="n">
        <v>16736000000</v>
      </c>
      <c r="G355" s="8" t="b">
        <v>0</v>
      </c>
      <c r="H355" s="2" t="inlineStr"/>
      <c r="I355" s="8" t="b">
        <v>0</v>
      </c>
      <c r="J355" s="2" t="inlineStr">
        <is>
          <t>https://www.sec.gov/Archives/edgar/data/1730168/000173016824000139/0001730168-24-000139-index.html</t>
        </is>
      </c>
      <c r="K355" s="2" t="inlineStr">
        <is>
          <t>USD</t>
        </is>
      </c>
    </row>
    <row r="356" ht="42" customHeight="1">
      <c r="A356" s="2" t="inlineStr">
        <is>
          <t>fcf-margin</t>
        </is>
      </c>
      <c r="B356" s="2" t="inlineStr">
        <is>
          <t>2022-10-30</t>
        </is>
      </c>
      <c r="C356" s="2" t="inlineStr">
        <is>
          <t>capex</t>
        </is>
      </c>
      <c r="D356" s="2" t="inlineStr">
        <is>
          <t>capex</t>
        </is>
      </c>
      <c r="E356" s="2" t="inlineStr">
        <is>
          <t>2022-10-30</t>
        </is>
      </c>
      <c r="F356" s="3" t="n">
        <v>424000000</v>
      </c>
      <c r="G356" s="8" t="b">
        <v>0</v>
      </c>
      <c r="H356" s="2" t="inlineStr"/>
      <c r="I356" s="8" t="b">
        <v>0</v>
      </c>
      <c r="J356" s="2" t="inlineStr">
        <is>
          <t>https://www.sec.gov/Archives/edgar/data/1730168/000173016824000139/0001730168-24-000139-index.html</t>
        </is>
      </c>
      <c r="K356" s="2" t="inlineStr">
        <is>
          <t>USD</t>
        </is>
      </c>
    </row>
    <row r="357" ht="42" customHeight="1">
      <c r="A357" s="2" t="inlineStr">
        <is>
          <t>fcf-margin</t>
        </is>
      </c>
      <c r="B357" s="2" t="inlineStr">
        <is>
          <t>2022-10-30</t>
        </is>
      </c>
      <c r="C357" s="2" t="inlineStr">
        <is>
          <t>revenue</t>
        </is>
      </c>
      <c r="D357" s="2" t="inlineStr">
        <is>
          <t>revenue</t>
        </is>
      </c>
      <c r="E357" s="2" t="inlineStr">
        <is>
          <t>2022-10-30</t>
        </is>
      </c>
      <c r="F357" s="3" t="n">
        <v>33203000000</v>
      </c>
      <c r="G357" s="8" t="b">
        <v>0</v>
      </c>
      <c r="H357" s="2" t="inlineStr"/>
      <c r="I357" s="8" t="b">
        <v>0</v>
      </c>
      <c r="J357" s="2" t="inlineStr">
        <is>
          <t>https://www.sec.gov/Archives/edgar/data/1730168/000173016824000139/0001730168-24-000139-index.html</t>
        </is>
      </c>
      <c r="K357" s="2" t="inlineStr">
        <is>
          <t>USD</t>
        </is>
      </c>
    </row>
    <row r="358" ht="42" customHeight="1">
      <c r="A358" s="2" t="inlineStr">
        <is>
          <t>fcff</t>
        </is>
      </c>
      <c r="B358" s="2" t="inlineStr">
        <is>
          <t>2022-10-30</t>
        </is>
      </c>
      <c r="C358" s="2" t="inlineStr">
        <is>
          <t>ocf</t>
        </is>
      </c>
      <c r="D358" s="2" t="inlineStr">
        <is>
          <t>ocf</t>
        </is>
      </c>
      <c r="E358" s="2" t="inlineStr">
        <is>
          <t>2022-10-30</t>
        </is>
      </c>
      <c r="F358" s="3" t="n">
        <v>16736000000</v>
      </c>
      <c r="G358" s="8" t="b">
        <v>0</v>
      </c>
      <c r="H358" s="2" t="inlineStr"/>
      <c r="I358" s="8" t="b">
        <v>0</v>
      </c>
      <c r="J358" s="2" t="inlineStr">
        <is>
          <t>https://www.sec.gov/Archives/edgar/data/1730168/000173016824000139/0001730168-24-000139-index.html</t>
        </is>
      </c>
      <c r="K358" s="2" t="inlineStr">
        <is>
          <t>USD</t>
        </is>
      </c>
    </row>
    <row r="359" ht="42" customHeight="1">
      <c r="A359" s="2" t="inlineStr">
        <is>
          <t>fcff</t>
        </is>
      </c>
      <c r="B359" s="2" t="inlineStr">
        <is>
          <t>2022-10-30</t>
        </is>
      </c>
      <c r="C359" s="2" t="inlineStr">
        <is>
          <t>capex</t>
        </is>
      </c>
      <c r="D359" s="2" t="inlineStr">
        <is>
          <t>capex</t>
        </is>
      </c>
      <c r="E359" s="2" t="inlineStr">
        <is>
          <t>2022-10-30</t>
        </is>
      </c>
      <c r="F359" s="3" t="n">
        <v>424000000</v>
      </c>
      <c r="G359" s="8" t="b">
        <v>0</v>
      </c>
      <c r="H359" s="2" t="inlineStr"/>
      <c r="I359" s="8" t="b">
        <v>0</v>
      </c>
      <c r="J359" s="2" t="inlineStr">
        <is>
          <t>https://www.sec.gov/Archives/edgar/data/1730168/000173016824000139/0001730168-24-000139-index.html</t>
        </is>
      </c>
      <c r="K359" s="2" t="inlineStr">
        <is>
          <t>USD</t>
        </is>
      </c>
    </row>
    <row r="360" ht="42" customHeight="1">
      <c r="A360" s="2" t="inlineStr">
        <is>
          <t>fcff</t>
        </is>
      </c>
      <c r="B360" s="2" t="inlineStr">
        <is>
          <t>2022-10-30</t>
        </is>
      </c>
      <c r="C360" s="2" t="inlineStr">
        <is>
          <t>interest_expense</t>
        </is>
      </c>
      <c r="D360" s="2" t="inlineStr">
        <is>
          <t>interest_expense</t>
        </is>
      </c>
      <c r="E360" s="2" t="inlineStr">
        <is>
          <t>2022-10-30</t>
        </is>
      </c>
      <c r="F360" s="3" t="n">
        <v>1737000000</v>
      </c>
      <c r="G360" s="8" t="b">
        <v>0</v>
      </c>
      <c r="H360" s="2" t="inlineStr"/>
      <c r="I360" s="8" t="b">
        <v>0</v>
      </c>
      <c r="J360" s="2" t="inlineStr">
        <is>
          <t>https://www.sec.gov/Archives/edgar/data/1730168/000173016824000139/0001730168-24-000139-index.html</t>
        </is>
      </c>
      <c r="K360" s="2" t="inlineStr">
        <is>
          <t>USD</t>
        </is>
      </c>
    </row>
    <row r="361" ht="42" customHeight="1">
      <c r="A361" s="2" t="inlineStr">
        <is>
          <t>fcff</t>
        </is>
      </c>
      <c r="B361" s="2" t="inlineStr">
        <is>
          <t>2022-10-30</t>
        </is>
      </c>
      <c r="C361" s="2" t="inlineStr">
        <is>
          <t>tax_rate</t>
        </is>
      </c>
      <c r="D361" s="2" t="inlineStr">
        <is>
          <t>tax_rate</t>
        </is>
      </c>
      <c r="E361" s="2" t="inlineStr">
        <is>
          <t>2022-10-30</t>
        </is>
      </c>
      <c r="F361" s="3" t="n">
        <v>0.07551873894161171</v>
      </c>
      <c r="G361" s="8" t="b">
        <v>0</v>
      </c>
      <c r="H361" s="2" t="inlineStr"/>
      <c r="I361" s="8" t="b">
        <v>0</v>
      </c>
      <c r="J361" s="2" t="inlineStr">
        <is>
          <t>Derived or model input; see parent calculation formula and model assumptions.</t>
        </is>
      </c>
      <c r="K361" s="2" t="inlineStr">
        <is>
          <t>ratio (decimal)</t>
        </is>
      </c>
    </row>
    <row r="362" ht="42" customHeight="1">
      <c r="A362" s="2" t="inlineStr">
        <is>
          <t>fcff</t>
        </is>
      </c>
      <c r="B362" s="2" t="inlineStr">
        <is>
          <t>2022-10-30</t>
        </is>
      </c>
      <c r="C362" s="2" t="inlineStr">
        <is>
          <t>sbc</t>
        </is>
      </c>
      <c r="D362" s="2" t="inlineStr">
        <is>
          <t>sbc</t>
        </is>
      </c>
      <c r="E362" s="2" t="inlineStr">
        <is>
          <t>2022-10-30</t>
        </is>
      </c>
      <c r="F362" s="3" t="n">
        <v>1533000000</v>
      </c>
      <c r="G362" s="8" t="b">
        <v>0</v>
      </c>
      <c r="H362" s="2" t="inlineStr"/>
      <c r="I362" s="8" t="b">
        <v>0</v>
      </c>
      <c r="J362" s="2" t="inlineStr">
        <is>
          <t>https://www.sec.gov/Archives/edgar/data/1730168/000173016824000139/0001730168-24-000139-index.html</t>
        </is>
      </c>
      <c r="K362" s="2" t="inlineStr">
        <is>
          <t>USD</t>
        </is>
      </c>
    </row>
    <row r="363" ht="42" customHeight="1">
      <c r="A363" s="2" t="inlineStr">
        <is>
          <t>fcfe</t>
        </is>
      </c>
      <c r="B363" s="2" t="inlineStr">
        <is>
          <t>2022-10-30</t>
        </is>
      </c>
      <c r="C363" s="2" t="inlineStr">
        <is>
          <t>net_income</t>
        </is>
      </c>
      <c r="D363" s="2" t="inlineStr">
        <is>
          <t>net_income</t>
        </is>
      </c>
      <c r="E363" s="2" t="inlineStr">
        <is>
          <t>2022-10-30</t>
        </is>
      </c>
      <c r="F363" s="3" t="n">
        <v>11495000000</v>
      </c>
      <c r="G363" s="8" t="b">
        <v>0</v>
      </c>
      <c r="H363" s="2" t="inlineStr"/>
      <c r="I363" s="8" t="b">
        <v>0</v>
      </c>
      <c r="J363" s="2" t="inlineStr">
        <is>
          <t>https://www.sec.gov/Archives/edgar/data/1730168/000173016824000139/0001730168-24-000139-index.html</t>
        </is>
      </c>
      <c r="K363" s="2" t="inlineStr">
        <is>
          <t>USD</t>
        </is>
      </c>
    </row>
    <row r="364" ht="42" customHeight="1">
      <c r="A364" s="2" t="inlineStr">
        <is>
          <t>fcfe</t>
        </is>
      </c>
      <c r="B364" s="2" t="inlineStr">
        <is>
          <t>2022-10-30</t>
        </is>
      </c>
      <c r="C364" s="2" t="inlineStr">
        <is>
          <t>capex</t>
        </is>
      </c>
      <c r="D364" s="2" t="inlineStr">
        <is>
          <t>capex</t>
        </is>
      </c>
      <c r="E364" s="2" t="inlineStr">
        <is>
          <t>2022-10-30</t>
        </is>
      </c>
      <c r="F364" s="3" t="n">
        <v>424000000</v>
      </c>
      <c r="G364" s="8" t="b">
        <v>0</v>
      </c>
      <c r="H364" s="2" t="inlineStr"/>
      <c r="I364" s="8" t="b">
        <v>0</v>
      </c>
      <c r="J364" s="2" t="inlineStr">
        <is>
          <t>https://www.sec.gov/Archives/edgar/data/1730168/000173016824000139/0001730168-24-000139-index.html</t>
        </is>
      </c>
      <c r="K364" s="2" t="inlineStr">
        <is>
          <t>USD</t>
        </is>
      </c>
    </row>
    <row r="365" ht="42" customHeight="1">
      <c r="A365" s="2" t="inlineStr">
        <is>
          <t>fcfe</t>
        </is>
      </c>
      <c r="B365" s="2" t="inlineStr">
        <is>
          <t>2022-10-30</t>
        </is>
      </c>
      <c r="C365" s="2" t="inlineStr">
        <is>
          <t>change_in_owc</t>
        </is>
      </c>
      <c r="D365" s="2" t="inlineStr">
        <is>
          <t>change_in_owc</t>
        </is>
      </c>
      <c r="E365" s="2" t="inlineStr">
        <is>
          <t>2022-10-30</t>
        </is>
      </c>
      <c r="F365" s="3" t="n">
        <v>1603000000</v>
      </c>
      <c r="G365" s="8" t="b">
        <v>0</v>
      </c>
      <c r="H365" s="2" t="inlineStr"/>
      <c r="I365" s="8" t="b">
        <v>0</v>
      </c>
      <c r="J365" s="2" t="inlineStr">
        <is>
          <t>Derived or model input; see parent calculation formula and model assumptions.</t>
        </is>
      </c>
      <c r="K365" s="2" t="inlineStr">
        <is>
          <t>USD</t>
        </is>
      </c>
    </row>
    <row r="366" ht="42" customHeight="1">
      <c r="A366" s="2" t="inlineStr">
        <is>
          <t>fcfe</t>
        </is>
      </c>
      <c r="B366" s="2" t="inlineStr">
        <is>
          <t>2022-10-30</t>
        </is>
      </c>
      <c r="C366" s="2" t="inlineStr">
        <is>
          <t>debt_issued</t>
        </is>
      </c>
      <c r="D366" s="2" t="inlineStr">
        <is>
          <t>debt_issued</t>
        </is>
      </c>
      <c r="E366" s="2" t="inlineStr">
        <is>
          <t>2022-10-30</t>
        </is>
      </c>
      <c r="F366" s="3" t="n">
        <v>1935000000</v>
      </c>
      <c r="G366" s="8" t="b">
        <v>0</v>
      </c>
      <c r="H366" s="2" t="inlineStr"/>
      <c r="I366" s="8" t="b">
        <v>0</v>
      </c>
      <c r="J366" s="2" t="inlineStr">
        <is>
          <t>https://www.sec.gov/Archives/edgar/data/1730168/000173016824000139/0001730168-24-000139-index.html</t>
        </is>
      </c>
      <c r="K366" s="2" t="inlineStr">
        <is>
          <t>USD</t>
        </is>
      </c>
    </row>
    <row r="367" ht="42" customHeight="1">
      <c r="A367" s="2" t="inlineStr">
        <is>
          <t>fcfe</t>
        </is>
      </c>
      <c r="B367" s="2" t="inlineStr">
        <is>
          <t>2022-10-30</t>
        </is>
      </c>
      <c r="C367" s="2" t="inlineStr">
        <is>
          <t>debt_repaid</t>
        </is>
      </c>
      <c r="D367" s="2" t="inlineStr">
        <is>
          <t>debt_repaid</t>
        </is>
      </c>
      <c r="E367" s="2" t="inlineStr">
        <is>
          <t>2022-10-30</t>
        </is>
      </c>
      <c r="F367" s="3" t="n">
        <v>2361000000</v>
      </c>
      <c r="G367" s="8" t="b">
        <v>0</v>
      </c>
      <c r="H367" s="2" t="inlineStr"/>
      <c r="I367" s="8" t="b">
        <v>0</v>
      </c>
      <c r="J367" s="2" t="inlineStr">
        <is>
          <t>https://www.sec.gov/Archives/edgar/data/1730168/000173016824000139/0001730168-24-000139-index.html</t>
        </is>
      </c>
      <c r="K367" s="2" t="inlineStr">
        <is>
          <t>USD</t>
        </is>
      </c>
    </row>
    <row r="368" ht="42" customHeight="1">
      <c r="A368" s="2" t="inlineStr">
        <is>
          <t>owner-earnings</t>
        </is>
      </c>
      <c r="B368" s="2" t="inlineStr">
        <is>
          <t>2022-10-30</t>
        </is>
      </c>
      <c r="C368" s="2" t="inlineStr">
        <is>
          <t>net_income</t>
        </is>
      </c>
      <c r="D368" s="2" t="inlineStr">
        <is>
          <t>net_income</t>
        </is>
      </c>
      <c r="E368" s="2" t="inlineStr">
        <is>
          <t>2022-10-30</t>
        </is>
      </c>
      <c r="F368" s="3" t="n">
        <v>11495000000</v>
      </c>
      <c r="G368" s="8" t="b">
        <v>0</v>
      </c>
      <c r="H368" s="2" t="inlineStr"/>
      <c r="I368" s="8" t="b">
        <v>0</v>
      </c>
      <c r="J368" s="2" t="inlineStr">
        <is>
          <t>https://www.sec.gov/Archives/edgar/data/1730168/000173016824000139/0001730168-24-000139-index.html</t>
        </is>
      </c>
      <c r="K368" s="2" t="inlineStr">
        <is>
          <t>USD</t>
        </is>
      </c>
    </row>
    <row r="369" ht="42" customHeight="1">
      <c r="A369" s="2" t="inlineStr">
        <is>
          <t>owner-earnings</t>
        </is>
      </c>
      <c r="B369" s="2" t="inlineStr">
        <is>
          <t>2022-10-30</t>
        </is>
      </c>
      <c r="C369" s="2" t="inlineStr">
        <is>
          <t>change_in_owc</t>
        </is>
      </c>
      <c r="D369" s="2" t="inlineStr">
        <is>
          <t>change_in_owc</t>
        </is>
      </c>
      <c r="E369" s="2" t="inlineStr">
        <is>
          <t>2022-10-30</t>
        </is>
      </c>
      <c r="F369" s="3" t="n">
        <v>1603000000</v>
      </c>
      <c r="G369" s="8" t="b">
        <v>0</v>
      </c>
      <c r="H369" s="2" t="inlineStr"/>
      <c r="I369" s="8" t="b">
        <v>0</v>
      </c>
      <c r="J369" s="2" t="inlineStr">
        <is>
          <t>Derived or model input; see parent calculation formula and model assumptions.</t>
        </is>
      </c>
      <c r="K369" s="2" t="inlineStr">
        <is>
          <t>USD</t>
        </is>
      </c>
    </row>
    <row r="370" ht="42" customHeight="1">
      <c r="A370" s="2" t="inlineStr">
        <is>
          <t>earnings-quality</t>
        </is>
      </c>
      <c r="B370" s="2" t="inlineStr">
        <is>
          <t>2022-10-30</t>
        </is>
      </c>
      <c r="C370" s="2" t="inlineStr">
        <is>
          <t>ocf</t>
        </is>
      </c>
      <c r="D370" s="2" t="inlineStr">
        <is>
          <t>ocf</t>
        </is>
      </c>
      <c r="E370" s="2" t="inlineStr">
        <is>
          <t>2022-10-30</t>
        </is>
      </c>
      <c r="F370" s="3" t="n">
        <v>16736000000</v>
      </c>
      <c r="G370" s="8" t="b">
        <v>0</v>
      </c>
      <c r="H370" s="2" t="inlineStr"/>
      <c r="I370" s="8" t="b">
        <v>0</v>
      </c>
      <c r="J370" s="2" t="inlineStr">
        <is>
          <t>https://www.sec.gov/Archives/edgar/data/1730168/000173016824000139/0001730168-24-000139-index.html</t>
        </is>
      </c>
      <c r="K370" s="2" t="inlineStr">
        <is>
          <t>USD</t>
        </is>
      </c>
    </row>
    <row r="371" ht="42" customHeight="1">
      <c r="A371" s="2" t="inlineStr">
        <is>
          <t>earnings-quality</t>
        </is>
      </c>
      <c r="B371" s="2" t="inlineStr">
        <is>
          <t>2022-10-30</t>
        </is>
      </c>
      <c r="C371" s="2" t="inlineStr">
        <is>
          <t>net_income</t>
        </is>
      </c>
      <c r="D371" s="2" t="inlineStr">
        <is>
          <t>net_income</t>
        </is>
      </c>
      <c r="E371" s="2" t="inlineStr">
        <is>
          <t>2022-10-30</t>
        </is>
      </c>
      <c r="F371" s="3" t="n">
        <v>11495000000</v>
      </c>
      <c r="G371" s="8" t="b">
        <v>0</v>
      </c>
      <c r="H371" s="2" t="inlineStr"/>
      <c r="I371" s="8" t="b">
        <v>0</v>
      </c>
      <c r="J371" s="2" t="inlineStr">
        <is>
          <t>https://www.sec.gov/Archives/edgar/data/1730168/000173016824000139/0001730168-24-000139-index.html</t>
        </is>
      </c>
      <c r="K371" s="2" t="inlineStr">
        <is>
          <t>USD</t>
        </is>
      </c>
    </row>
    <row r="372" ht="42" customHeight="1">
      <c r="A372" s="2" t="inlineStr">
        <is>
          <t>ebitda</t>
        </is>
      </c>
      <c r="B372" s="2" t="inlineStr">
        <is>
          <t>2022-10-30</t>
        </is>
      </c>
      <c r="C372" s="2" t="inlineStr">
        <is>
          <t>operating_income</t>
        </is>
      </c>
      <c r="D372" s="2" t="inlineStr">
        <is>
          <t>operating_income</t>
        </is>
      </c>
      <c r="E372" s="2" t="inlineStr">
        <is>
          <t>2022-10-30</t>
        </is>
      </c>
      <c r="F372" s="3" t="n">
        <v>14225000000</v>
      </c>
      <c r="G372" s="8" t="b">
        <v>0</v>
      </c>
      <c r="H372" s="2" t="inlineStr"/>
      <c r="I372" s="8" t="b">
        <v>0</v>
      </c>
      <c r="J372" s="2" t="inlineStr">
        <is>
          <t>https://www.sec.gov/Archives/edgar/data/1730168/000173016824000139/0001730168-24-000139-index.html</t>
        </is>
      </c>
      <c r="K372" s="2" t="inlineStr">
        <is>
          <t>USD</t>
        </is>
      </c>
    </row>
    <row r="373" ht="42" customHeight="1">
      <c r="A373" s="2" t="inlineStr">
        <is>
          <t>nopat</t>
        </is>
      </c>
      <c r="B373" s="2" t="inlineStr">
        <is>
          <t>2022-10-30</t>
        </is>
      </c>
      <c r="C373" s="2" t="inlineStr">
        <is>
          <t>operating_income</t>
        </is>
      </c>
      <c r="D373" s="2" t="inlineStr">
        <is>
          <t>operating_income</t>
        </is>
      </c>
      <c r="E373" s="2" t="inlineStr">
        <is>
          <t>2022-10-30</t>
        </is>
      </c>
      <c r="F373" s="3" t="n">
        <v>14225000000</v>
      </c>
      <c r="G373" s="8" t="b">
        <v>0</v>
      </c>
      <c r="H373" s="2" t="inlineStr"/>
      <c r="I373" s="8" t="b">
        <v>0</v>
      </c>
      <c r="J373" s="2" t="inlineStr">
        <is>
          <t>https://www.sec.gov/Archives/edgar/data/1730168/000173016824000139/0001730168-24-000139-index.html</t>
        </is>
      </c>
      <c r="K373" s="2" t="inlineStr">
        <is>
          <t>USD</t>
        </is>
      </c>
    </row>
    <row r="374" ht="42" customHeight="1">
      <c r="A374" s="2" t="inlineStr">
        <is>
          <t>nopat</t>
        </is>
      </c>
      <c r="B374" s="2" t="inlineStr">
        <is>
          <t>2022-10-30</t>
        </is>
      </c>
      <c r="C374" s="2" t="inlineStr">
        <is>
          <t>tax_rate</t>
        </is>
      </c>
      <c r="D374" s="2" t="inlineStr">
        <is>
          <t>tax_rate</t>
        </is>
      </c>
      <c r="E374" s="2" t="inlineStr">
        <is>
          <t>2022-10-30</t>
        </is>
      </c>
      <c r="F374" s="3" t="n">
        <v>0.07551873894161171</v>
      </c>
      <c r="G374" s="8" t="b">
        <v>0</v>
      </c>
      <c r="H374" s="2" t="inlineStr"/>
      <c r="I374" s="8" t="b">
        <v>0</v>
      </c>
      <c r="J374" s="2" t="inlineStr">
        <is>
          <t>Derived or model input; see parent calculation formula and model assumptions.</t>
        </is>
      </c>
      <c r="K374" s="2" t="inlineStr">
        <is>
          <t>ratio (decimal)</t>
        </is>
      </c>
    </row>
    <row r="375" ht="42" customHeight="1">
      <c r="A375" s="2" t="inlineStr">
        <is>
          <t>invested-capital</t>
        </is>
      </c>
      <c r="B375" s="2" t="inlineStr">
        <is>
          <t>2022-10-30</t>
        </is>
      </c>
      <c r="C375" s="2" t="inlineStr">
        <is>
          <t>equity</t>
        </is>
      </c>
      <c r="D375" s="2" t="inlineStr">
        <is>
          <t>equity</t>
        </is>
      </c>
      <c r="E375" s="2" t="inlineStr">
        <is>
          <t>2022-10-30</t>
        </is>
      </c>
      <c r="F375" s="3" t="n">
        <v>22709000000</v>
      </c>
      <c r="G375" s="8" t="b">
        <v>0</v>
      </c>
      <c r="H375" s="2" t="inlineStr"/>
      <c r="I375" s="8" t="b">
        <v>0</v>
      </c>
      <c r="J375" s="2" t="inlineStr">
        <is>
          <t>https://www.sec.gov/Archives/edgar/data/1730168/000173016825000121/0001730168-25-000121-index.html</t>
        </is>
      </c>
      <c r="K375" s="2" t="inlineStr">
        <is>
          <t>USD</t>
        </is>
      </c>
    </row>
    <row r="376" ht="42" customHeight="1">
      <c r="A376" s="2" t="inlineStr">
        <is>
          <t>invested-capital</t>
        </is>
      </c>
      <c r="B376" s="2" t="inlineStr">
        <is>
          <t>2022-10-30</t>
        </is>
      </c>
      <c r="C376" s="2" t="inlineStr">
        <is>
          <t>debt</t>
        </is>
      </c>
      <c r="D376" s="2" t="inlineStr">
        <is>
          <t>debt</t>
        </is>
      </c>
      <c r="E376" s="2" t="inlineStr">
        <is>
          <t>2022-10-30</t>
        </is>
      </c>
      <c r="F376" s="3" t="n">
        <v>39478000000</v>
      </c>
      <c r="G376" s="8" t="b">
        <v>0</v>
      </c>
      <c r="H376" s="2" t="inlineStr"/>
      <c r="I376" s="8" t="b">
        <v>0</v>
      </c>
      <c r="J376" s="2" t="inlineStr">
        <is>
          <t>Derived or model input; see parent calculation formula and model assumptions.</t>
        </is>
      </c>
      <c r="K376" s="2" t="inlineStr">
        <is>
          <t>USD</t>
        </is>
      </c>
    </row>
    <row r="377" ht="42" customHeight="1">
      <c r="A377" s="2" t="inlineStr">
        <is>
          <t>invested-capital</t>
        </is>
      </c>
      <c r="B377" s="2" t="inlineStr">
        <is>
          <t>2022-10-30</t>
        </is>
      </c>
      <c r="C377" s="2" t="inlineStr">
        <is>
          <t>cash_sti</t>
        </is>
      </c>
      <c r="D377" s="2" t="inlineStr">
        <is>
          <t>cash_sti</t>
        </is>
      </c>
      <c r="E377" s="2" t="inlineStr">
        <is>
          <t>2022-10-30</t>
        </is>
      </c>
      <c r="F377" s="3" t="n">
        <v>12416000000</v>
      </c>
      <c r="G377" s="8" t="b">
        <v>0</v>
      </c>
      <c r="H377" s="2" t="inlineStr"/>
      <c r="I377" s="8" t="b">
        <v>0</v>
      </c>
      <c r="J377" s="2" t="inlineStr">
        <is>
          <t>https://www.sec.gov/Archives/edgar/data/1730168/000173016823000096/0001730168-23-000096-index.html</t>
        </is>
      </c>
      <c r="K377" s="2" t="inlineStr">
        <is>
          <t>USD</t>
        </is>
      </c>
    </row>
    <row r="378" ht="42" customHeight="1">
      <c r="A378" s="2" t="inlineStr">
        <is>
          <t>roic</t>
        </is>
      </c>
      <c r="B378" s="2" t="inlineStr">
        <is>
          <t>2022-10-30</t>
        </is>
      </c>
      <c r="C378" s="2" t="inlineStr">
        <is>
          <t>operating_income</t>
        </is>
      </c>
      <c r="D378" s="2" t="inlineStr">
        <is>
          <t>operating_income</t>
        </is>
      </c>
      <c r="E378" s="2" t="inlineStr">
        <is>
          <t>2022-10-30</t>
        </is>
      </c>
      <c r="F378" s="3" t="n">
        <v>14225000000</v>
      </c>
      <c r="G378" s="8" t="b">
        <v>0</v>
      </c>
      <c r="H378" s="2" t="inlineStr"/>
      <c r="I378" s="8" t="b">
        <v>0</v>
      </c>
      <c r="J378" s="2" t="inlineStr">
        <is>
          <t>https://www.sec.gov/Archives/edgar/data/1730168/000173016824000139/0001730168-24-000139-index.html</t>
        </is>
      </c>
      <c r="K378" s="2" t="inlineStr">
        <is>
          <t>USD</t>
        </is>
      </c>
    </row>
    <row r="379" ht="42" customHeight="1">
      <c r="A379" s="2" t="inlineStr">
        <is>
          <t>roic</t>
        </is>
      </c>
      <c r="B379" s="2" t="inlineStr">
        <is>
          <t>2022-10-30</t>
        </is>
      </c>
      <c r="C379" s="2" t="inlineStr">
        <is>
          <t>tax_rate</t>
        </is>
      </c>
      <c r="D379" s="2" t="inlineStr">
        <is>
          <t>tax_rate</t>
        </is>
      </c>
      <c r="E379" s="2" t="inlineStr">
        <is>
          <t>2022-10-30</t>
        </is>
      </c>
      <c r="F379" s="3" t="n">
        <v>0.07551873894161171</v>
      </c>
      <c r="G379" s="8" t="b">
        <v>0</v>
      </c>
      <c r="H379" s="2" t="inlineStr"/>
      <c r="I379" s="8" t="b">
        <v>0</v>
      </c>
      <c r="J379" s="2" t="inlineStr">
        <is>
          <t>Derived or model input; see parent calculation formula and model assumptions.</t>
        </is>
      </c>
      <c r="K379" s="2" t="inlineStr">
        <is>
          <t>ratio (decimal)</t>
        </is>
      </c>
    </row>
    <row r="380" ht="42" customHeight="1">
      <c r="A380" s="2" t="inlineStr">
        <is>
          <t>roic</t>
        </is>
      </c>
      <c r="B380" s="2" t="inlineStr">
        <is>
          <t>2022-10-30</t>
        </is>
      </c>
      <c r="C380" s="2" t="inlineStr">
        <is>
          <t>average_invested_capital</t>
        </is>
      </c>
      <c r="D380" s="2" t="inlineStr">
        <is>
          <t>average_invested_capital</t>
        </is>
      </c>
      <c r="E380" s="2" t="inlineStr">
        <is>
          <t>2022-10-30</t>
        </is>
      </c>
      <c r="F380" s="3" t="n">
        <v>51137000000</v>
      </c>
      <c r="G380" s="8" t="b">
        <v>0</v>
      </c>
      <c r="H380" s="2" t="inlineStr"/>
      <c r="I380" s="8" t="b">
        <v>0</v>
      </c>
      <c r="J380" s="2" t="inlineStr">
        <is>
          <t>Derived or model input; see parent calculation formula and model assumptions.</t>
        </is>
      </c>
      <c r="K380" s="2" t="inlineStr">
        <is>
          <t>USD</t>
        </is>
      </c>
    </row>
    <row r="381" ht="42" customHeight="1">
      <c r="A381" s="2" t="inlineStr">
        <is>
          <t>net-debt</t>
        </is>
      </c>
      <c r="B381" s="2" t="inlineStr">
        <is>
          <t>2022-10-30</t>
        </is>
      </c>
      <c r="C381" s="2" t="inlineStr">
        <is>
          <t>debt</t>
        </is>
      </c>
      <c r="D381" s="2" t="inlineStr">
        <is>
          <t>debt</t>
        </is>
      </c>
      <c r="E381" s="2" t="inlineStr">
        <is>
          <t>2022-10-30</t>
        </is>
      </c>
      <c r="F381" s="3" t="n">
        <v>39478000000</v>
      </c>
      <c r="G381" s="8" t="b">
        <v>0</v>
      </c>
      <c r="H381" s="2" t="inlineStr"/>
      <c r="I381" s="8" t="b">
        <v>0</v>
      </c>
      <c r="J381" s="2" t="inlineStr">
        <is>
          <t>Derived or model input; see parent calculation formula and model assumptions.</t>
        </is>
      </c>
      <c r="K381" s="2" t="inlineStr">
        <is>
          <t>USD</t>
        </is>
      </c>
    </row>
    <row r="382" ht="42" customHeight="1">
      <c r="A382" s="2" t="inlineStr">
        <is>
          <t>net-debt</t>
        </is>
      </c>
      <c r="B382" s="2" t="inlineStr">
        <is>
          <t>2022-10-30</t>
        </is>
      </c>
      <c r="C382" s="2" t="inlineStr">
        <is>
          <t>cash_sti</t>
        </is>
      </c>
      <c r="D382" s="2" t="inlineStr">
        <is>
          <t>cash_sti</t>
        </is>
      </c>
      <c r="E382" s="2" t="inlineStr">
        <is>
          <t>2022-10-30</t>
        </is>
      </c>
      <c r="F382" s="3" t="n">
        <v>12416000000</v>
      </c>
      <c r="G382" s="8" t="b">
        <v>0</v>
      </c>
      <c r="H382" s="2" t="inlineStr"/>
      <c r="I382" s="8" t="b">
        <v>0</v>
      </c>
      <c r="J382" s="2" t="inlineStr">
        <is>
          <t>https://www.sec.gov/Archives/edgar/data/1730168/000173016823000096/0001730168-23-000096-index.html</t>
        </is>
      </c>
      <c r="K382" s="2" t="inlineStr">
        <is>
          <t>USD</t>
        </is>
      </c>
    </row>
    <row r="383" ht="42" customHeight="1">
      <c r="A383" s="2" t="inlineStr">
        <is>
          <t>debt-ebitda</t>
        </is>
      </c>
      <c r="B383" s="2" t="inlineStr">
        <is>
          <t>2022-10-30</t>
        </is>
      </c>
      <c r="C383" s="2" t="inlineStr">
        <is>
          <t>debt</t>
        </is>
      </c>
      <c r="D383" s="2" t="inlineStr">
        <is>
          <t>debt</t>
        </is>
      </c>
      <c r="E383" s="2" t="inlineStr">
        <is>
          <t>2022-10-30</t>
        </is>
      </c>
      <c r="F383" s="3" t="n">
        <v>39478000000</v>
      </c>
      <c r="G383" s="8" t="b">
        <v>0</v>
      </c>
      <c r="H383" s="2" t="inlineStr"/>
      <c r="I383" s="8" t="b">
        <v>0</v>
      </c>
      <c r="J383" s="2" t="inlineStr">
        <is>
          <t>Derived or model input; see parent calculation formula and model assumptions.</t>
        </is>
      </c>
      <c r="K383" s="2" t="inlineStr">
        <is>
          <t>USD</t>
        </is>
      </c>
    </row>
    <row r="384" ht="42" customHeight="1">
      <c r="A384" s="2" t="inlineStr">
        <is>
          <t>interest-coverage</t>
        </is>
      </c>
      <c r="B384" s="2" t="inlineStr">
        <is>
          <t>2022-10-30</t>
        </is>
      </c>
      <c r="C384" s="2" t="inlineStr">
        <is>
          <t>operating_income</t>
        </is>
      </c>
      <c r="D384" s="2" t="inlineStr">
        <is>
          <t>operating_income</t>
        </is>
      </c>
      <c r="E384" s="2" t="inlineStr">
        <is>
          <t>2022-10-30</t>
        </is>
      </c>
      <c r="F384" s="3" t="n">
        <v>14225000000</v>
      </c>
      <c r="G384" s="8" t="b">
        <v>0</v>
      </c>
      <c r="H384" s="2" t="inlineStr"/>
      <c r="I384" s="8" t="b">
        <v>0</v>
      </c>
      <c r="J384" s="2" t="inlineStr">
        <is>
          <t>https://www.sec.gov/Archives/edgar/data/1730168/000173016824000139/0001730168-24-000139-index.html</t>
        </is>
      </c>
      <c r="K384" s="2" t="inlineStr">
        <is>
          <t>USD</t>
        </is>
      </c>
    </row>
    <row r="385" ht="42" customHeight="1">
      <c r="A385" s="2" t="inlineStr">
        <is>
          <t>interest-coverage</t>
        </is>
      </c>
      <c r="B385" s="2" t="inlineStr">
        <is>
          <t>2022-10-30</t>
        </is>
      </c>
      <c r="C385" s="2" t="inlineStr">
        <is>
          <t>interest_expense</t>
        </is>
      </c>
      <c r="D385" s="2" t="inlineStr">
        <is>
          <t>interest_expense</t>
        </is>
      </c>
      <c r="E385" s="2" t="inlineStr">
        <is>
          <t>2022-10-30</t>
        </is>
      </c>
      <c r="F385" s="3" t="n">
        <v>1737000000</v>
      </c>
      <c r="G385" s="8" t="b">
        <v>0</v>
      </c>
      <c r="H385" s="2" t="inlineStr"/>
      <c r="I385" s="8" t="b">
        <v>0</v>
      </c>
      <c r="J385" s="2" t="inlineStr">
        <is>
          <t>https://www.sec.gov/Archives/edgar/data/1730168/000173016824000139/0001730168-24-000139-index.html</t>
        </is>
      </c>
      <c r="K385" s="2" t="inlineStr">
        <is>
          <t>USD</t>
        </is>
      </c>
    </row>
    <row r="386" ht="42" customHeight="1">
      <c r="A386" s="2" t="inlineStr">
        <is>
          <t>current-ratio</t>
        </is>
      </c>
      <c r="B386" s="2" t="inlineStr">
        <is>
          <t>2022-10-30</t>
        </is>
      </c>
      <c r="C386" s="2" t="inlineStr">
        <is>
          <t>current_assets</t>
        </is>
      </c>
      <c r="D386" s="2" t="inlineStr">
        <is>
          <t>current_assets</t>
        </is>
      </c>
      <c r="E386" s="2" t="inlineStr">
        <is>
          <t>2022-10-30</t>
        </is>
      </c>
      <c r="F386" s="3" t="n">
        <v>18504000000</v>
      </c>
      <c r="G386" s="8" t="b">
        <v>0</v>
      </c>
      <c r="H386" s="2" t="inlineStr"/>
      <c r="I386" s="8" t="b">
        <v>0</v>
      </c>
      <c r="J386" s="2" t="inlineStr">
        <is>
          <t>https://www.sec.gov/Archives/edgar/data/1730168/000173016823000096/0001730168-23-000096-index.html</t>
        </is>
      </c>
      <c r="K386" s="2" t="inlineStr">
        <is>
          <t>USD</t>
        </is>
      </c>
    </row>
    <row r="387" ht="42" customHeight="1">
      <c r="A387" s="2" t="inlineStr">
        <is>
          <t>current-ratio</t>
        </is>
      </c>
      <c r="B387" s="2" t="inlineStr">
        <is>
          <t>2022-10-30</t>
        </is>
      </c>
      <c r="C387" s="2" t="inlineStr">
        <is>
          <t>current_liabilities</t>
        </is>
      </c>
      <c r="D387" s="2" t="inlineStr">
        <is>
          <t>current_liabilities</t>
        </is>
      </c>
      <c r="E387" s="2" t="inlineStr">
        <is>
          <t>2022-10-30</t>
        </is>
      </c>
      <c r="F387" s="3" t="n">
        <v>7052000000</v>
      </c>
      <c r="G387" s="8" t="b">
        <v>0</v>
      </c>
      <c r="H387" s="2" t="inlineStr"/>
      <c r="I387" s="8" t="b">
        <v>0</v>
      </c>
      <c r="J387" s="2" t="inlineStr">
        <is>
          <t>https://www.sec.gov/Archives/edgar/data/1730168/000173016823000096/0001730168-23-000096-index.html</t>
        </is>
      </c>
      <c r="K387" s="2" t="inlineStr">
        <is>
          <t>USD</t>
        </is>
      </c>
    </row>
    <row r="388" ht="42" customHeight="1">
      <c r="A388" s="2" t="inlineStr">
        <is>
          <t>tangible-book-value</t>
        </is>
      </c>
      <c r="B388" s="2" t="inlineStr">
        <is>
          <t>2022-10-30</t>
        </is>
      </c>
      <c r="C388" s="2" t="inlineStr">
        <is>
          <t>equity</t>
        </is>
      </c>
      <c r="D388" s="2" t="inlineStr">
        <is>
          <t>equity</t>
        </is>
      </c>
      <c r="E388" s="2" t="inlineStr">
        <is>
          <t>2022-10-30</t>
        </is>
      </c>
      <c r="F388" s="3" t="n">
        <v>22709000000</v>
      </c>
      <c r="G388" s="8" t="b">
        <v>0</v>
      </c>
      <c r="H388" s="2" t="inlineStr"/>
      <c r="I388" s="8" t="b">
        <v>0</v>
      </c>
      <c r="J388" s="2" t="inlineStr">
        <is>
          <t>https://www.sec.gov/Archives/edgar/data/1730168/000173016825000121/0001730168-25-000121-index.html</t>
        </is>
      </c>
      <c r="K388" s="2" t="inlineStr">
        <is>
          <t>USD</t>
        </is>
      </c>
    </row>
    <row r="389" ht="42" customHeight="1">
      <c r="A389" s="2" t="inlineStr">
        <is>
          <t>tangible-book-value</t>
        </is>
      </c>
      <c r="B389" s="2" t="inlineStr">
        <is>
          <t>2022-10-30</t>
        </is>
      </c>
      <c r="C389" s="2" t="inlineStr">
        <is>
          <t>preferred</t>
        </is>
      </c>
      <c r="D389" s="2" t="inlineStr">
        <is>
          <t>preferred</t>
        </is>
      </c>
      <c r="E389" s="2" t="inlineStr">
        <is>
          <t>2022-10-30</t>
        </is>
      </c>
      <c r="F389" s="3" t="n">
        <v>0</v>
      </c>
      <c r="G389" s="8" t="b">
        <v>0</v>
      </c>
      <c r="H389" s="2" t="inlineStr"/>
      <c r="I389" s="8" t="b">
        <v>0</v>
      </c>
      <c r="J389" s="2" t="inlineStr">
        <is>
          <t>https://www.sec.gov/Archives/edgar/data/1730168/000173016823000096/0001730168-23-000096-index.html</t>
        </is>
      </c>
      <c r="K389" s="2" t="inlineStr">
        <is>
          <t>USD</t>
        </is>
      </c>
    </row>
    <row r="390" ht="42" customHeight="1">
      <c r="A390" s="2" t="inlineStr">
        <is>
          <t>tangible-book-value</t>
        </is>
      </c>
      <c r="B390" s="2" t="inlineStr">
        <is>
          <t>2022-10-30</t>
        </is>
      </c>
      <c r="C390" s="2" t="inlineStr">
        <is>
          <t>goodwill</t>
        </is>
      </c>
      <c r="D390" s="2" t="inlineStr">
        <is>
          <t>goodwill</t>
        </is>
      </c>
      <c r="E390" s="2" t="inlineStr">
        <is>
          <t>2022-10-30</t>
        </is>
      </c>
      <c r="F390" s="3" t="n">
        <v>43614000000</v>
      </c>
      <c r="G390" s="8" t="b">
        <v>0</v>
      </c>
      <c r="H390" s="2" t="inlineStr"/>
      <c r="I390" s="8" t="b">
        <v>0</v>
      </c>
      <c r="J390" s="2" t="inlineStr">
        <is>
          <t>https://www.sec.gov/Archives/edgar/data/1730168/000173016824000139/0001730168-24-000139-index.html</t>
        </is>
      </c>
      <c r="K390" s="2" t="inlineStr">
        <is>
          <t>USD</t>
        </is>
      </c>
    </row>
    <row r="391" ht="42" customHeight="1">
      <c r="A391" s="2" t="inlineStr">
        <is>
          <t>tangible-book-value</t>
        </is>
      </c>
      <c r="B391" s="2" t="inlineStr">
        <is>
          <t>2022-10-30</t>
        </is>
      </c>
      <c r="C391" s="2" t="inlineStr">
        <is>
          <t>intangibles</t>
        </is>
      </c>
      <c r="D391" s="2" t="inlineStr">
        <is>
          <t>intangibles</t>
        </is>
      </c>
      <c r="E391" s="2" t="inlineStr">
        <is>
          <t>2022-10-30</t>
        </is>
      </c>
      <c r="F391" s="3" t="n">
        <v>7111000000</v>
      </c>
      <c r="G391" s="8" t="b">
        <v>0</v>
      </c>
      <c r="H391" s="2" t="inlineStr"/>
      <c r="I391" s="8" t="b">
        <v>0</v>
      </c>
      <c r="J391" s="2" t="inlineStr">
        <is>
          <t>https://www.sec.gov/Archives/edgar/data/1730168/000173016823000096/0001730168-23-000096-index.html</t>
        </is>
      </c>
      <c r="K391" s="2" t="inlineStr">
        <is>
          <t>USD</t>
        </is>
      </c>
    </row>
    <row r="392" ht="42" customHeight="1">
      <c r="A392" s="2" t="inlineStr">
        <is>
          <t>ncav</t>
        </is>
      </c>
      <c r="B392" s="2" t="inlineStr">
        <is>
          <t>2022-10-30</t>
        </is>
      </c>
      <c r="C392" s="2" t="inlineStr">
        <is>
          <t>current_assets</t>
        </is>
      </c>
      <c r="D392" s="2" t="inlineStr">
        <is>
          <t>current_assets</t>
        </is>
      </c>
      <c r="E392" s="2" t="inlineStr">
        <is>
          <t>2022-10-30</t>
        </is>
      </c>
      <c r="F392" s="3" t="n">
        <v>18504000000</v>
      </c>
      <c r="G392" s="8" t="b">
        <v>0</v>
      </c>
      <c r="H392" s="2" t="inlineStr"/>
      <c r="I392" s="8" t="b">
        <v>0</v>
      </c>
      <c r="J392" s="2" t="inlineStr">
        <is>
          <t>https://www.sec.gov/Archives/edgar/data/1730168/000173016823000096/0001730168-23-000096-index.html</t>
        </is>
      </c>
      <c r="K392" s="2" t="inlineStr">
        <is>
          <t>USD</t>
        </is>
      </c>
    </row>
    <row r="393" ht="42" customHeight="1">
      <c r="A393" s="2" t="inlineStr">
        <is>
          <t>ncav</t>
        </is>
      </c>
      <c r="B393" s="2" t="inlineStr">
        <is>
          <t>2022-10-30</t>
        </is>
      </c>
      <c r="C393" s="2" t="inlineStr">
        <is>
          <t>total_liabilities</t>
        </is>
      </c>
      <c r="D393" s="2" t="inlineStr">
        <is>
          <t>total_liabilities</t>
        </is>
      </c>
      <c r="E393" s="2" t="inlineStr">
        <is>
          <t>2022-10-30</t>
        </is>
      </c>
      <c r="F393" s="3" t="n">
        <v>50540000000</v>
      </c>
      <c r="G393" s="8" t="b">
        <v>0</v>
      </c>
      <c r="H393" s="2" t="inlineStr"/>
      <c r="I393" s="8" t="b">
        <v>0</v>
      </c>
      <c r="J393" s="2" t="inlineStr">
        <is>
          <t>https://www.sec.gov/Archives/edgar/data/1730168/000173016823000096/0001730168-23-000096-index.html</t>
        </is>
      </c>
      <c r="K393" s="2" t="inlineStr">
        <is>
          <t>USD</t>
        </is>
      </c>
    </row>
    <row r="394" ht="42" customHeight="1">
      <c r="A394" s="2" t="inlineStr">
        <is>
          <t>ncav</t>
        </is>
      </c>
      <c r="B394" s="2" t="inlineStr">
        <is>
          <t>2022-10-30</t>
        </is>
      </c>
      <c r="C394" s="2" t="inlineStr">
        <is>
          <t>preferred</t>
        </is>
      </c>
      <c r="D394" s="2" t="inlineStr">
        <is>
          <t>preferred</t>
        </is>
      </c>
      <c r="E394" s="2" t="inlineStr">
        <is>
          <t>2022-10-30</t>
        </is>
      </c>
      <c r="F394" s="3" t="n">
        <v>0</v>
      </c>
      <c r="G394" s="8" t="b">
        <v>0</v>
      </c>
      <c r="H394" s="2" t="inlineStr"/>
      <c r="I394" s="8" t="b">
        <v>0</v>
      </c>
      <c r="J394" s="2" t="inlineStr">
        <is>
          <t>https://www.sec.gov/Archives/edgar/data/1730168/000173016823000096/0001730168-23-000096-index.html</t>
        </is>
      </c>
      <c r="K394" s="2" t="inlineStr">
        <is>
          <t>USD</t>
        </is>
      </c>
    </row>
    <row r="395" ht="42" customHeight="1">
      <c r="A395" s="2" t="inlineStr">
        <is>
          <t>dilution</t>
        </is>
      </c>
      <c r="B395" s="2" t="inlineStr">
        <is>
          <t>2022-10-30</t>
        </is>
      </c>
      <c r="C395" s="2" t="inlineStr">
        <is>
          <t>diluted_avg_shares</t>
        </is>
      </c>
      <c r="D395" s="2" t="inlineStr">
        <is>
          <t>diluted_avg_shares</t>
        </is>
      </c>
      <c r="E395" s="2" t="inlineStr">
        <is>
          <t>2022-10-30</t>
        </is>
      </c>
      <c r="F395" s="3" t="n">
        <v>4232000000</v>
      </c>
      <c r="G395" s="8" t="b">
        <v>0</v>
      </c>
      <c r="H395" s="2" t="inlineStr"/>
      <c r="I395" s="8" t="b">
        <v>0</v>
      </c>
      <c r="J395" s="2" t="inlineStr">
        <is>
          <t>https://www.sec.gov/Archives/edgar/data/1730168/000173016824000139/0001730168-24-000139-index.html</t>
        </is>
      </c>
      <c r="K395" s="2" t="inlineStr">
        <is>
          <t>shares</t>
        </is>
      </c>
    </row>
    <row r="396" ht="42" customHeight="1">
      <c r="A396" s="2" t="inlineStr">
        <is>
          <t>dilution</t>
        </is>
      </c>
      <c r="B396" s="2" t="inlineStr">
        <is>
          <t>2022-10-30</t>
        </is>
      </c>
      <c r="C396" s="2" t="inlineStr">
        <is>
          <t>previous_shares</t>
        </is>
      </c>
      <c r="D396" s="2" t="inlineStr">
        <is>
          <t>diluted_avg_shares</t>
        </is>
      </c>
      <c r="E396" s="2" t="inlineStr">
        <is>
          <t>2021-10-31</t>
        </is>
      </c>
      <c r="F396" s="3" t="n">
        <v>4290000000</v>
      </c>
      <c r="G396" s="8" t="b">
        <v>0</v>
      </c>
      <c r="H396" s="2" t="inlineStr"/>
      <c r="I396" s="8" t="b">
        <v>0</v>
      </c>
      <c r="J396" s="2" t="inlineStr">
        <is>
          <t>https://www.sec.gov/Archives/edgar/data/1730168/000173016823000096/0001730168-23-000096-index.html</t>
        </is>
      </c>
      <c r="K396" s="2" t="inlineStr">
        <is>
          <t>shares</t>
        </is>
      </c>
    </row>
    <row r="397" ht="42" customHeight="1">
      <c r="A397" s="2" t="inlineStr">
        <is>
          <t>sbc-to-revenue</t>
        </is>
      </c>
      <c r="B397" s="2" t="inlineStr">
        <is>
          <t>2022-10-30</t>
        </is>
      </c>
      <c r="C397" s="2" t="inlineStr">
        <is>
          <t>sbc</t>
        </is>
      </c>
      <c r="D397" s="2" t="inlineStr">
        <is>
          <t>sbc</t>
        </is>
      </c>
      <c r="E397" s="2" t="inlineStr">
        <is>
          <t>2022-10-30</t>
        </is>
      </c>
      <c r="F397" s="3" t="n">
        <v>1533000000</v>
      </c>
      <c r="G397" s="8" t="b">
        <v>0</v>
      </c>
      <c r="H397" s="2" t="inlineStr"/>
      <c r="I397" s="8" t="b">
        <v>0</v>
      </c>
      <c r="J397" s="2" t="inlineStr">
        <is>
          <t>https://www.sec.gov/Archives/edgar/data/1730168/000173016824000139/0001730168-24-000139-index.html</t>
        </is>
      </c>
      <c r="K397" s="2" t="inlineStr">
        <is>
          <t>USD</t>
        </is>
      </c>
    </row>
    <row r="398" ht="42" customHeight="1">
      <c r="A398" s="2" t="inlineStr">
        <is>
          <t>sbc-to-revenue</t>
        </is>
      </c>
      <c r="B398" s="2" t="inlineStr">
        <is>
          <t>2022-10-30</t>
        </is>
      </c>
      <c r="C398" s="2" t="inlineStr">
        <is>
          <t>revenue</t>
        </is>
      </c>
      <c r="D398" s="2" t="inlineStr">
        <is>
          <t>revenue</t>
        </is>
      </c>
      <c r="E398" s="2" t="inlineStr">
        <is>
          <t>2022-10-30</t>
        </is>
      </c>
      <c r="F398" s="3" t="n">
        <v>33203000000</v>
      </c>
      <c r="G398" s="8" t="b">
        <v>0</v>
      </c>
      <c r="H398" s="2" t="inlineStr"/>
      <c r="I398" s="8" t="b">
        <v>0</v>
      </c>
      <c r="J398" s="2" t="inlineStr">
        <is>
          <t>https://www.sec.gov/Archives/edgar/data/1730168/000173016824000139/0001730168-24-000139-index.html</t>
        </is>
      </c>
      <c r="K398" s="2" t="inlineStr">
        <is>
          <t>USD</t>
        </is>
      </c>
    </row>
    <row r="399" ht="42" customHeight="1">
      <c r="A399" s="2" t="inlineStr">
        <is>
          <t>eps</t>
        </is>
      </c>
      <c r="B399" s="2" t="inlineStr">
        <is>
          <t>2022-10-30</t>
        </is>
      </c>
      <c r="C399" s="2" t="inlineStr">
        <is>
          <t>eps_diluted</t>
        </is>
      </c>
      <c r="D399" s="2" t="inlineStr">
        <is>
          <t>eps_diluted</t>
        </is>
      </c>
      <c r="E399" s="2" t="inlineStr">
        <is>
          <t>2022-10-30</t>
        </is>
      </c>
      <c r="F399" s="3" t="n">
        <v>2.65</v>
      </c>
      <c r="G399" s="8" t="b">
        <v>0</v>
      </c>
      <c r="H399" s="2" t="inlineStr"/>
      <c r="I399" s="8" t="b">
        <v>0</v>
      </c>
      <c r="J399" s="2" t="inlineStr">
        <is>
          <t>https://www.sec.gov/Archives/edgar/data/1730168/000173016824000139/0001730168-24-000139-index.html</t>
        </is>
      </c>
      <c r="K399" s="2" t="inlineStr">
        <is>
          <t>USD per share</t>
        </is>
      </c>
    </row>
    <row r="400" ht="42" customHeight="1">
      <c r="A400" s="2" t="inlineStr">
        <is>
          <t>debt-due-3y</t>
        </is>
      </c>
      <c r="B400" s="2" t="inlineStr">
        <is>
          <t>2022-10-30</t>
        </is>
      </c>
      <c r="C400" s="2" t="inlineStr">
        <is>
          <t>maturity_y1</t>
        </is>
      </c>
      <c r="D400" s="2" t="inlineStr">
        <is>
          <t>maturity_y1</t>
        </is>
      </c>
      <c r="E400" s="2" t="inlineStr">
        <is>
          <t>2022-10-30</t>
        </is>
      </c>
      <c r="F400" s="3" t="n">
        <v>403000000</v>
      </c>
      <c r="G400" s="8" t="b">
        <v>0</v>
      </c>
      <c r="H400" s="2" t="inlineStr"/>
      <c r="I400" s="8" t="b">
        <v>0</v>
      </c>
      <c r="J400" s="2" t="inlineStr">
        <is>
          <t>https://www.sec.gov/Archives/edgar/data/1730168/000173016822000118/0001730168-22-000118-index.html</t>
        </is>
      </c>
      <c r="K400" s="2" t="inlineStr">
        <is>
          <t>USD</t>
        </is>
      </c>
    </row>
    <row r="401" ht="42" customHeight="1">
      <c r="A401" s="2" t="inlineStr">
        <is>
          <t>debt-due-3y</t>
        </is>
      </c>
      <c r="B401" s="2" t="inlineStr">
        <is>
          <t>2022-10-30</t>
        </is>
      </c>
      <c r="C401" s="2" t="inlineStr">
        <is>
          <t>maturity_y2</t>
        </is>
      </c>
      <c r="D401" s="2" t="inlineStr">
        <is>
          <t>maturity_y2</t>
        </is>
      </c>
      <c r="E401" s="2" t="inlineStr">
        <is>
          <t>2022-10-30</t>
        </is>
      </c>
      <c r="F401" s="3" t="n">
        <v>1563000000</v>
      </c>
      <c r="G401" s="8" t="b">
        <v>0</v>
      </c>
      <c r="H401" s="2" t="inlineStr"/>
      <c r="I401" s="8" t="b">
        <v>0</v>
      </c>
      <c r="J401" s="2" t="inlineStr">
        <is>
          <t>https://www.sec.gov/Archives/edgar/data/1730168/000173016822000118/0001730168-22-000118-index.html</t>
        </is>
      </c>
      <c r="K401" s="2" t="inlineStr">
        <is>
          <t>USD</t>
        </is>
      </c>
    </row>
    <row r="402" ht="42" customHeight="1">
      <c r="A402" s="2" t="inlineStr">
        <is>
          <t>debt-due-3y</t>
        </is>
      </c>
      <c r="B402" s="2" t="inlineStr">
        <is>
          <t>2022-10-30</t>
        </is>
      </c>
      <c r="C402" s="2" t="inlineStr">
        <is>
          <t>maturity_y3</t>
        </is>
      </c>
      <c r="D402" s="2" t="inlineStr">
        <is>
          <t>maturity_y3</t>
        </is>
      </c>
      <c r="E402" s="2" t="inlineStr">
        <is>
          <t>2022-10-30</t>
        </is>
      </c>
      <c r="F402" s="3" t="n">
        <v>495000000</v>
      </c>
      <c r="G402" s="8" t="b">
        <v>0</v>
      </c>
      <c r="H402" s="2" t="inlineStr"/>
      <c r="I402" s="8" t="b">
        <v>0</v>
      </c>
      <c r="J402" s="2" t="inlineStr">
        <is>
          <t>https://www.sec.gov/Archives/edgar/data/1730168/000173016822000118/0001730168-22-000118-index.html</t>
        </is>
      </c>
      <c r="K402" s="2" t="inlineStr">
        <is>
          <t>USD</t>
        </is>
      </c>
    </row>
    <row r="403" ht="42" customHeight="1">
      <c r="A403" s="2" t="inlineStr">
        <is>
          <t>revenue-growth</t>
        </is>
      </c>
      <c r="B403" s="2" t="inlineStr">
        <is>
          <t>2023-10-29</t>
        </is>
      </c>
      <c r="C403" s="2" t="inlineStr">
        <is>
          <t>revenue</t>
        </is>
      </c>
      <c r="D403" s="2" t="inlineStr">
        <is>
          <t>revenue</t>
        </is>
      </c>
      <c r="E403" s="2" t="inlineStr">
        <is>
          <t>2023-10-29</t>
        </is>
      </c>
      <c r="F403" s="3" t="n">
        <v>35819000000</v>
      </c>
      <c r="G403" s="8" t="b">
        <v>0</v>
      </c>
      <c r="H403" s="2" t="inlineStr"/>
      <c r="I403" s="8" t="b">
        <v>0</v>
      </c>
      <c r="J403" s="2" t="inlineStr">
        <is>
          <t>https://www.sec.gov/Archives/edgar/data/1730168/000173016825000121/0001730168-25-000121-index.html</t>
        </is>
      </c>
      <c r="K403" s="2" t="inlineStr">
        <is>
          <t>USD</t>
        </is>
      </c>
    </row>
    <row r="404" ht="42" customHeight="1">
      <c r="A404" s="2" t="inlineStr">
        <is>
          <t>revenue-growth</t>
        </is>
      </c>
      <c r="B404" s="2" t="inlineStr">
        <is>
          <t>2023-10-29</t>
        </is>
      </c>
      <c r="C404" s="2" t="inlineStr">
        <is>
          <t>previous_revenue</t>
        </is>
      </c>
      <c r="D404" s="2" t="inlineStr">
        <is>
          <t>revenue</t>
        </is>
      </c>
      <c r="E404" s="2" t="inlineStr">
        <is>
          <t>2022-10-30</t>
        </is>
      </c>
      <c r="F404" s="3" t="n">
        <v>33203000000</v>
      </c>
      <c r="G404" s="8" t="b">
        <v>0</v>
      </c>
      <c r="H404" s="2" t="inlineStr"/>
      <c r="I404" s="8" t="b">
        <v>0</v>
      </c>
      <c r="J404" s="2" t="inlineStr">
        <is>
          <t>https://www.sec.gov/Archives/edgar/data/1730168/000173016824000139/0001730168-24-000139-index.html</t>
        </is>
      </c>
      <c r="K404" s="2" t="inlineStr">
        <is>
          <t>USD</t>
        </is>
      </c>
    </row>
    <row r="405" ht="42" customHeight="1">
      <c r="A405" s="2" t="inlineStr">
        <is>
          <t>gross-margin</t>
        </is>
      </c>
      <c r="B405" s="2" t="inlineStr">
        <is>
          <t>2023-10-29</t>
        </is>
      </c>
      <c r="C405" s="2" t="inlineStr">
        <is>
          <t>gross_profit</t>
        </is>
      </c>
      <c r="D405" s="2" t="inlineStr">
        <is>
          <t>gross_profit</t>
        </is>
      </c>
      <c r="E405" s="2" t="inlineStr">
        <is>
          <t>2023-10-29</t>
        </is>
      </c>
      <c r="F405" s="3" t="n">
        <v>24690000000</v>
      </c>
      <c r="G405" s="8" t="b">
        <v>0</v>
      </c>
      <c r="H405" s="2" t="inlineStr"/>
      <c r="I405" s="8" t="b">
        <v>0</v>
      </c>
      <c r="J405" s="2" t="inlineStr">
        <is>
          <t>https://www.sec.gov/Archives/edgar/data/1730168/000173016825000121/0001730168-25-000121-index.html</t>
        </is>
      </c>
      <c r="K405" s="2" t="inlineStr">
        <is>
          <t>USD</t>
        </is>
      </c>
    </row>
    <row r="406" ht="42" customHeight="1">
      <c r="A406" s="2" t="inlineStr">
        <is>
          <t>gross-margin</t>
        </is>
      </c>
      <c r="B406" s="2" t="inlineStr">
        <is>
          <t>2023-10-29</t>
        </is>
      </c>
      <c r="C406" s="2" t="inlineStr">
        <is>
          <t>revenue</t>
        </is>
      </c>
      <c r="D406" s="2" t="inlineStr">
        <is>
          <t>revenue</t>
        </is>
      </c>
      <c r="E406" s="2" t="inlineStr">
        <is>
          <t>2023-10-29</t>
        </is>
      </c>
      <c r="F406" s="3" t="n">
        <v>35819000000</v>
      </c>
      <c r="G406" s="8" t="b">
        <v>0</v>
      </c>
      <c r="H406" s="2" t="inlineStr"/>
      <c r="I406" s="8" t="b">
        <v>0</v>
      </c>
      <c r="J406" s="2" t="inlineStr">
        <is>
          <t>https://www.sec.gov/Archives/edgar/data/1730168/000173016825000121/0001730168-25-000121-index.html</t>
        </is>
      </c>
      <c r="K406" s="2" t="inlineStr">
        <is>
          <t>USD</t>
        </is>
      </c>
    </row>
    <row r="407" ht="42" customHeight="1">
      <c r="A407" s="2" t="inlineStr">
        <is>
          <t>operating-margin</t>
        </is>
      </c>
      <c r="B407" s="2" t="inlineStr">
        <is>
          <t>2023-10-29</t>
        </is>
      </c>
      <c r="C407" s="2" t="inlineStr">
        <is>
          <t>operating_income</t>
        </is>
      </c>
      <c r="D407" s="2" t="inlineStr">
        <is>
          <t>operating_income</t>
        </is>
      </c>
      <c r="E407" s="2" t="inlineStr">
        <is>
          <t>2023-10-29</t>
        </is>
      </c>
      <c r="F407" s="3" t="n">
        <v>16207000000</v>
      </c>
      <c r="G407" s="8" t="b">
        <v>0</v>
      </c>
      <c r="H407" s="2" t="inlineStr"/>
      <c r="I407" s="8" t="b">
        <v>0</v>
      </c>
      <c r="J407" s="2" t="inlineStr">
        <is>
          <t>https://www.sec.gov/Archives/edgar/data/1730168/000173016825000121/0001730168-25-000121-index.html</t>
        </is>
      </c>
      <c r="K407" s="2" t="inlineStr">
        <is>
          <t>USD</t>
        </is>
      </c>
    </row>
    <row r="408" ht="42" customHeight="1">
      <c r="A408" s="2" t="inlineStr">
        <is>
          <t>operating-margin</t>
        </is>
      </c>
      <c r="B408" s="2" t="inlineStr">
        <is>
          <t>2023-10-29</t>
        </is>
      </c>
      <c r="C408" s="2" t="inlineStr">
        <is>
          <t>revenue</t>
        </is>
      </c>
      <c r="D408" s="2" t="inlineStr">
        <is>
          <t>revenue</t>
        </is>
      </c>
      <c r="E408" s="2" t="inlineStr">
        <is>
          <t>2023-10-29</t>
        </is>
      </c>
      <c r="F408" s="3" t="n">
        <v>35819000000</v>
      </c>
      <c r="G408" s="8" t="b">
        <v>0</v>
      </c>
      <c r="H408" s="2" t="inlineStr"/>
      <c r="I408" s="8" t="b">
        <v>0</v>
      </c>
      <c r="J408" s="2" t="inlineStr">
        <is>
          <t>https://www.sec.gov/Archives/edgar/data/1730168/000173016825000121/0001730168-25-000121-index.html</t>
        </is>
      </c>
      <c r="K408" s="2" t="inlineStr">
        <is>
          <t>USD</t>
        </is>
      </c>
    </row>
    <row r="409" ht="42" customHeight="1">
      <c r="A409" s="2" t="inlineStr">
        <is>
          <t>net-margin</t>
        </is>
      </c>
      <c r="B409" s="2" t="inlineStr">
        <is>
          <t>2023-10-29</t>
        </is>
      </c>
      <c r="C409" s="2" t="inlineStr">
        <is>
          <t>net_income</t>
        </is>
      </c>
      <c r="D409" s="2" t="inlineStr">
        <is>
          <t>net_income</t>
        </is>
      </c>
      <c r="E409" s="2" t="inlineStr">
        <is>
          <t>2023-10-29</t>
        </is>
      </c>
      <c r="F409" s="3" t="n">
        <v>14082000000</v>
      </c>
      <c r="G409" s="8" t="b">
        <v>0</v>
      </c>
      <c r="H409" s="2" t="inlineStr"/>
      <c r="I409" s="8" t="b">
        <v>0</v>
      </c>
      <c r="J409" s="2" t="inlineStr">
        <is>
          <t>https://www.sec.gov/Archives/edgar/data/1730168/000173016824000139/0001730168-24-000139-index.html</t>
        </is>
      </c>
      <c r="K409" s="2" t="inlineStr">
        <is>
          <t>USD</t>
        </is>
      </c>
    </row>
    <row r="410" ht="42" customHeight="1">
      <c r="A410" s="2" t="inlineStr">
        <is>
          <t>net-margin</t>
        </is>
      </c>
      <c r="B410" s="2" t="inlineStr">
        <is>
          <t>2023-10-29</t>
        </is>
      </c>
      <c r="C410" s="2" t="inlineStr">
        <is>
          <t>revenue</t>
        </is>
      </c>
      <c r="D410" s="2" t="inlineStr">
        <is>
          <t>revenue</t>
        </is>
      </c>
      <c r="E410" s="2" t="inlineStr">
        <is>
          <t>2023-10-29</t>
        </is>
      </c>
      <c r="F410" s="3" t="n">
        <v>35819000000</v>
      </c>
      <c r="G410" s="8" t="b">
        <v>0</v>
      </c>
      <c r="H410" s="2" t="inlineStr"/>
      <c r="I410" s="8" t="b">
        <v>0</v>
      </c>
      <c r="J410" s="2" t="inlineStr">
        <is>
          <t>https://www.sec.gov/Archives/edgar/data/1730168/000173016825000121/0001730168-25-000121-index.html</t>
        </is>
      </c>
      <c r="K410" s="2" t="inlineStr">
        <is>
          <t>USD</t>
        </is>
      </c>
    </row>
    <row r="411" ht="42" customHeight="1">
      <c r="A411" s="2" t="inlineStr">
        <is>
          <t>fcf</t>
        </is>
      </c>
      <c r="B411" s="2" t="inlineStr">
        <is>
          <t>2023-10-29</t>
        </is>
      </c>
      <c r="C411" s="2" t="inlineStr">
        <is>
          <t>ocf</t>
        </is>
      </c>
      <c r="D411" s="2" t="inlineStr">
        <is>
          <t>ocf</t>
        </is>
      </c>
      <c r="E411" s="2" t="inlineStr">
        <is>
          <t>2023-10-29</t>
        </is>
      </c>
      <c r="F411" s="3" t="n">
        <v>18085000000</v>
      </c>
      <c r="G411" s="8" t="b">
        <v>0</v>
      </c>
      <c r="H411" s="2" t="inlineStr"/>
      <c r="I411" s="8" t="b">
        <v>0</v>
      </c>
      <c r="J411" s="2" t="inlineStr">
        <is>
          <t>https://www.sec.gov/Archives/edgar/data/1730168/000173016825000121/0001730168-25-000121-index.html</t>
        </is>
      </c>
      <c r="K411" s="2" t="inlineStr">
        <is>
          <t>USD</t>
        </is>
      </c>
    </row>
    <row r="412" ht="42" customHeight="1">
      <c r="A412" s="2" t="inlineStr">
        <is>
          <t>fcf</t>
        </is>
      </c>
      <c r="B412" s="2" t="inlineStr">
        <is>
          <t>2023-10-29</t>
        </is>
      </c>
      <c r="C412" s="2" t="inlineStr">
        <is>
          <t>capex</t>
        </is>
      </c>
      <c r="D412" s="2" t="inlineStr">
        <is>
          <t>capex</t>
        </is>
      </c>
      <c r="E412" s="2" t="inlineStr">
        <is>
          <t>2023-10-29</t>
        </is>
      </c>
      <c r="F412" s="3" t="n">
        <v>452000000</v>
      </c>
      <c r="G412" s="8" t="b">
        <v>0</v>
      </c>
      <c r="H412" s="2" t="inlineStr"/>
      <c r="I412" s="8" t="b">
        <v>0</v>
      </c>
      <c r="J412" s="2" t="inlineStr">
        <is>
          <t>https://www.sec.gov/Archives/edgar/data/1730168/000173016825000121/0001730168-25-000121-index.html</t>
        </is>
      </c>
      <c r="K412" s="2" t="inlineStr">
        <is>
          <t>USD</t>
        </is>
      </c>
    </row>
    <row r="413" ht="42" customHeight="1">
      <c r="A413" s="2" t="inlineStr">
        <is>
          <t>fcf-margin</t>
        </is>
      </c>
      <c r="B413" s="2" t="inlineStr">
        <is>
          <t>2023-10-29</t>
        </is>
      </c>
      <c r="C413" s="2" t="inlineStr">
        <is>
          <t>ocf</t>
        </is>
      </c>
      <c r="D413" s="2" t="inlineStr">
        <is>
          <t>ocf</t>
        </is>
      </c>
      <c r="E413" s="2" t="inlineStr">
        <is>
          <t>2023-10-29</t>
        </is>
      </c>
      <c r="F413" s="3" t="n">
        <v>18085000000</v>
      </c>
      <c r="G413" s="8" t="b">
        <v>0</v>
      </c>
      <c r="H413" s="2" t="inlineStr"/>
      <c r="I413" s="8" t="b">
        <v>0</v>
      </c>
      <c r="J413" s="2" t="inlineStr">
        <is>
          <t>https://www.sec.gov/Archives/edgar/data/1730168/000173016825000121/0001730168-25-000121-index.html</t>
        </is>
      </c>
      <c r="K413" s="2" t="inlineStr">
        <is>
          <t>USD</t>
        </is>
      </c>
    </row>
    <row r="414" ht="42" customHeight="1">
      <c r="A414" s="2" t="inlineStr">
        <is>
          <t>fcf-margin</t>
        </is>
      </c>
      <c r="B414" s="2" t="inlineStr">
        <is>
          <t>2023-10-29</t>
        </is>
      </c>
      <c r="C414" s="2" t="inlineStr">
        <is>
          <t>capex</t>
        </is>
      </c>
      <c r="D414" s="2" t="inlineStr">
        <is>
          <t>capex</t>
        </is>
      </c>
      <c r="E414" s="2" t="inlineStr">
        <is>
          <t>2023-10-29</t>
        </is>
      </c>
      <c r="F414" s="3" t="n">
        <v>452000000</v>
      </c>
      <c r="G414" s="8" t="b">
        <v>0</v>
      </c>
      <c r="H414" s="2" t="inlineStr"/>
      <c r="I414" s="8" t="b">
        <v>0</v>
      </c>
      <c r="J414" s="2" t="inlineStr">
        <is>
          <t>https://www.sec.gov/Archives/edgar/data/1730168/000173016825000121/0001730168-25-000121-index.html</t>
        </is>
      </c>
      <c r="K414" s="2" t="inlineStr">
        <is>
          <t>USD</t>
        </is>
      </c>
    </row>
    <row r="415" ht="42" customHeight="1">
      <c r="A415" s="2" t="inlineStr">
        <is>
          <t>fcf-margin</t>
        </is>
      </c>
      <c r="B415" s="2" t="inlineStr">
        <is>
          <t>2023-10-29</t>
        </is>
      </c>
      <c r="C415" s="2" t="inlineStr">
        <is>
          <t>revenue</t>
        </is>
      </c>
      <c r="D415" s="2" t="inlineStr">
        <is>
          <t>revenue</t>
        </is>
      </c>
      <c r="E415" s="2" t="inlineStr">
        <is>
          <t>2023-10-29</t>
        </is>
      </c>
      <c r="F415" s="3" t="n">
        <v>35819000000</v>
      </c>
      <c r="G415" s="8" t="b">
        <v>0</v>
      </c>
      <c r="H415" s="2" t="inlineStr"/>
      <c r="I415" s="8" t="b">
        <v>0</v>
      </c>
      <c r="J415" s="2" t="inlineStr">
        <is>
          <t>https://www.sec.gov/Archives/edgar/data/1730168/000173016825000121/0001730168-25-000121-index.html</t>
        </is>
      </c>
      <c r="K415" s="2" t="inlineStr">
        <is>
          <t>USD</t>
        </is>
      </c>
    </row>
    <row r="416" ht="42" customHeight="1">
      <c r="A416" s="2" t="inlineStr">
        <is>
          <t>fcff</t>
        </is>
      </c>
      <c r="B416" s="2" t="inlineStr">
        <is>
          <t>2023-10-29</t>
        </is>
      </c>
      <c r="C416" s="2" t="inlineStr">
        <is>
          <t>ocf</t>
        </is>
      </c>
      <c r="D416" s="2" t="inlineStr">
        <is>
          <t>ocf</t>
        </is>
      </c>
      <c r="E416" s="2" t="inlineStr">
        <is>
          <t>2023-10-29</t>
        </is>
      </c>
      <c r="F416" s="3" t="n">
        <v>18085000000</v>
      </c>
      <c r="G416" s="8" t="b">
        <v>0</v>
      </c>
      <c r="H416" s="2" t="inlineStr"/>
      <c r="I416" s="8" t="b">
        <v>0</v>
      </c>
      <c r="J416" s="2" t="inlineStr">
        <is>
          <t>https://www.sec.gov/Archives/edgar/data/1730168/000173016825000121/0001730168-25-000121-index.html</t>
        </is>
      </c>
      <c r="K416" s="2" t="inlineStr">
        <is>
          <t>USD</t>
        </is>
      </c>
    </row>
    <row r="417" ht="42" customHeight="1">
      <c r="A417" s="2" t="inlineStr">
        <is>
          <t>fcff</t>
        </is>
      </c>
      <c r="B417" s="2" t="inlineStr">
        <is>
          <t>2023-10-29</t>
        </is>
      </c>
      <c r="C417" s="2" t="inlineStr">
        <is>
          <t>capex</t>
        </is>
      </c>
      <c r="D417" s="2" t="inlineStr">
        <is>
          <t>capex</t>
        </is>
      </c>
      <c r="E417" s="2" t="inlineStr">
        <is>
          <t>2023-10-29</t>
        </is>
      </c>
      <c r="F417" s="3" t="n">
        <v>452000000</v>
      </c>
      <c r="G417" s="8" t="b">
        <v>0</v>
      </c>
      <c r="H417" s="2" t="inlineStr"/>
      <c r="I417" s="8" t="b">
        <v>0</v>
      </c>
      <c r="J417" s="2" t="inlineStr">
        <is>
          <t>https://www.sec.gov/Archives/edgar/data/1730168/000173016825000121/0001730168-25-000121-index.html</t>
        </is>
      </c>
      <c r="K417" s="2" t="inlineStr">
        <is>
          <t>USD</t>
        </is>
      </c>
    </row>
    <row r="418" ht="42" customHeight="1">
      <c r="A418" s="2" t="inlineStr">
        <is>
          <t>fcff</t>
        </is>
      </c>
      <c r="B418" s="2" t="inlineStr">
        <is>
          <t>2023-10-29</t>
        </is>
      </c>
      <c r="C418" s="2" t="inlineStr">
        <is>
          <t>interest_expense</t>
        </is>
      </c>
      <c r="D418" s="2" t="inlineStr">
        <is>
          <t>interest_expense</t>
        </is>
      </c>
      <c r="E418" s="2" t="inlineStr">
        <is>
          <t>2023-10-29</t>
        </is>
      </c>
      <c r="F418" s="3" t="n">
        <v>1622000000</v>
      </c>
      <c r="G418" s="8" t="b">
        <v>0</v>
      </c>
      <c r="H418" s="2" t="inlineStr"/>
      <c r="I418" s="8" t="b">
        <v>0</v>
      </c>
      <c r="J418" s="2" t="inlineStr">
        <is>
          <t>https://www.sec.gov/Archives/edgar/data/1730168/000173016824000139/0001730168-24-000139-index.html</t>
        </is>
      </c>
      <c r="K418" s="2" t="inlineStr">
        <is>
          <t>USD</t>
        </is>
      </c>
    </row>
    <row r="419" ht="42" customHeight="1">
      <c r="A419" s="2" t="inlineStr">
        <is>
          <t>fcff</t>
        </is>
      </c>
      <c r="B419" s="2" t="inlineStr">
        <is>
          <t>2023-10-29</t>
        </is>
      </c>
      <c r="C419" s="2" t="inlineStr">
        <is>
          <t>tax_rate</t>
        </is>
      </c>
      <c r="D419" s="2" t="inlineStr">
        <is>
          <t>tax_rate</t>
        </is>
      </c>
      <c r="E419" s="2" t="inlineStr">
        <is>
          <t>2023-10-29</t>
        </is>
      </c>
      <c r="F419" s="3" t="n">
        <v>0.06723190037755845</v>
      </c>
      <c r="G419" s="8" t="b">
        <v>0</v>
      </c>
      <c r="H419" s="2" t="inlineStr"/>
      <c r="I419" s="8" t="b">
        <v>0</v>
      </c>
      <c r="J419" s="2" t="inlineStr">
        <is>
          <t>Derived or model input; see parent calculation formula and model assumptions.</t>
        </is>
      </c>
      <c r="K419" s="2" t="inlineStr">
        <is>
          <t>ratio (decimal)</t>
        </is>
      </c>
    </row>
    <row r="420" ht="42" customHeight="1">
      <c r="A420" s="2" t="inlineStr">
        <is>
          <t>fcff</t>
        </is>
      </c>
      <c r="B420" s="2" t="inlineStr">
        <is>
          <t>2023-10-29</t>
        </is>
      </c>
      <c r="C420" s="2" t="inlineStr">
        <is>
          <t>sbc</t>
        </is>
      </c>
      <c r="D420" s="2" t="inlineStr">
        <is>
          <t>sbc</t>
        </is>
      </c>
      <c r="E420" s="2" t="inlineStr">
        <is>
          <t>2023-10-29</t>
        </is>
      </c>
      <c r="F420" s="3" t="n">
        <v>2171000000</v>
      </c>
      <c r="G420" s="8" t="b">
        <v>0</v>
      </c>
      <c r="H420" s="2" t="inlineStr"/>
      <c r="I420" s="8" t="b">
        <v>0</v>
      </c>
      <c r="J420" s="2" t="inlineStr">
        <is>
          <t>https://www.sec.gov/Archives/edgar/data/1730168/000173016825000121/0001730168-25-000121-index.html</t>
        </is>
      </c>
      <c r="K420" s="2" t="inlineStr">
        <is>
          <t>USD</t>
        </is>
      </c>
    </row>
    <row r="421" ht="42" customHeight="1">
      <c r="A421" s="2" t="inlineStr">
        <is>
          <t>fcfe</t>
        </is>
      </c>
      <c r="B421" s="2" t="inlineStr">
        <is>
          <t>2023-10-29</t>
        </is>
      </c>
      <c r="C421" s="2" t="inlineStr">
        <is>
          <t>net_income</t>
        </is>
      </c>
      <c r="D421" s="2" t="inlineStr">
        <is>
          <t>net_income</t>
        </is>
      </c>
      <c r="E421" s="2" t="inlineStr">
        <is>
          <t>2023-10-29</t>
        </is>
      </c>
      <c r="F421" s="3" t="n">
        <v>14082000000</v>
      </c>
      <c r="G421" s="8" t="b">
        <v>0</v>
      </c>
      <c r="H421" s="2" t="inlineStr"/>
      <c r="I421" s="8" t="b">
        <v>0</v>
      </c>
      <c r="J421" s="2" t="inlineStr">
        <is>
          <t>https://www.sec.gov/Archives/edgar/data/1730168/000173016824000139/0001730168-24-000139-index.html</t>
        </is>
      </c>
      <c r="K421" s="2" t="inlineStr">
        <is>
          <t>USD</t>
        </is>
      </c>
    </row>
    <row r="422" ht="42" customHeight="1">
      <c r="A422" s="2" t="inlineStr">
        <is>
          <t>fcfe</t>
        </is>
      </c>
      <c r="B422" s="2" t="inlineStr">
        <is>
          <t>2023-10-29</t>
        </is>
      </c>
      <c r="C422" s="2" t="inlineStr">
        <is>
          <t>d_and_a</t>
        </is>
      </c>
      <c r="D422" s="2" t="inlineStr">
        <is>
          <t>d_and_a</t>
        </is>
      </c>
      <c r="E422" s="2" t="inlineStr">
        <is>
          <t>2023-10-29</t>
        </is>
      </c>
      <c r="F422" s="3" t="n">
        <v>3749000000</v>
      </c>
      <c r="G422" s="8" t="b">
        <v>0</v>
      </c>
      <c r="H422" s="2" t="inlineStr"/>
      <c r="I422" s="8" t="b">
        <v>0</v>
      </c>
      <c r="J422" s="2" t="inlineStr">
        <is>
          <t>https://www.sec.gov/Archives/edgar/data/1730168/000173016825000121/0001730168-25-000121-index.html</t>
        </is>
      </c>
      <c r="K422" s="2" t="inlineStr">
        <is>
          <t>USD</t>
        </is>
      </c>
    </row>
    <row r="423" ht="42" customHeight="1">
      <c r="A423" s="2" t="inlineStr">
        <is>
          <t>fcfe</t>
        </is>
      </c>
      <c r="B423" s="2" t="inlineStr">
        <is>
          <t>2023-10-29</t>
        </is>
      </c>
      <c r="C423" s="2" t="inlineStr">
        <is>
          <t>capex</t>
        </is>
      </c>
      <c r="D423" s="2" t="inlineStr">
        <is>
          <t>capex</t>
        </is>
      </c>
      <c r="E423" s="2" t="inlineStr">
        <is>
          <t>2023-10-29</t>
        </is>
      </c>
      <c r="F423" s="3" t="n">
        <v>452000000</v>
      </c>
      <c r="G423" s="8" t="b">
        <v>0</v>
      </c>
      <c r="H423" s="2" t="inlineStr"/>
      <c r="I423" s="8" t="b">
        <v>0</v>
      </c>
      <c r="J423" s="2" t="inlineStr">
        <is>
          <t>https://www.sec.gov/Archives/edgar/data/1730168/000173016825000121/0001730168-25-000121-index.html</t>
        </is>
      </c>
      <c r="K423" s="2" t="inlineStr">
        <is>
          <t>USD</t>
        </is>
      </c>
    </row>
    <row r="424" ht="42" customHeight="1">
      <c r="A424" s="2" t="inlineStr">
        <is>
          <t>fcfe</t>
        </is>
      </c>
      <c r="B424" s="2" t="inlineStr">
        <is>
          <t>2023-10-29</t>
        </is>
      </c>
      <c r="C424" s="2" t="inlineStr">
        <is>
          <t>change_in_owc</t>
        </is>
      </c>
      <c r="D424" s="2" t="inlineStr">
        <is>
          <t>change_in_owc</t>
        </is>
      </c>
      <c r="E424" s="2" t="inlineStr">
        <is>
          <t>2023-10-29</t>
        </is>
      </c>
      <c r="F424" s="3" t="n">
        <v>-43000000</v>
      </c>
      <c r="G424" s="8" t="b">
        <v>0</v>
      </c>
      <c r="H424" s="2" t="inlineStr"/>
      <c r="I424" s="8" t="b">
        <v>0</v>
      </c>
      <c r="J424" s="2" t="inlineStr">
        <is>
          <t>Derived or model input; see parent calculation formula and model assumptions.</t>
        </is>
      </c>
      <c r="K424" s="2" t="inlineStr">
        <is>
          <t>USD</t>
        </is>
      </c>
    </row>
    <row r="425" ht="42" customHeight="1">
      <c r="A425" s="2" t="inlineStr">
        <is>
          <t>fcfe</t>
        </is>
      </c>
      <c r="B425" s="2" t="inlineStr">
        <is>
          <t>2023-10-29</t>
        </is>
      </c>
      <c r="C425" s="2" t="inlineStr">
        <is>
          <t>debt_issued</t>
        </is>
      </c>
      <c r="D425" s="2" t="inlineStr">
        <is>
          <t>debt_issued</t>
        </is>
      </c>
      <c r="E425" s="2" t="inlineStr">
        <is>
          <t>2023-10-29</t>
        </is>
      </c>
      <c r="F425" s="3" t="n">
        <v>0</v>
      </c>
      <c r="G425" s="8" t="b">
        <v>0</v>
      </c>
      <c r="H425" s="2" t="inlineStr"/>
      <c r="I425" s="8" t="b">
        <v>0</v>
      </c>
      <c r="J425" s="2" t="inlineStr">
        <is>
          <t>https://www.sec.gov/Archives/edgar/data/1730168/000173016825000121/0001730168-25-000121-index.html</t>
        </is>
      </c>
      <c r="K425" s="2" t="inlineStr">
        <is>
          <t>USD</t>
        </is>
      </c>
    </row>
    <row r="426" ht="42" customHeight="1">
      <c r="A426" s="2" t="inlineStr">
        <is>
          <t>fcfe</t>
        </is>
      </c>
      <c r="B426" s="2" t="inlineStr">
        <is>
          <t>2023-10-29</t>
        </is>
      </c>
      <c r="C426" s="2" t="inlineStr">
        <is>
          <t>debt_repaid</t>
        </is>
      </c>
      <c r="D426" s="2" t="inlineStr">
        <is>
          <t>debt_repaid</t>
        </is>
      </c>
      <c r="E426" s="2" t="inlineStr">
        <is>
          <t>2023-10-29</t>
        </is>
      </c>
      <c r="F426" s="3" t="n">
        <v>403000000</v>
      </c>
      <c r="G426" s="8" t="b">
        <v>0</v>
      </c>
      <c r="H426" s="2" t="inlineStr"/>
      <c r="I426" s="8" t="b">
        <v>0</v>
      </c>
      <c r="J426" s="2" t="inlineStr">
        <is>
          <t>https://www.sec.gov/Archives/edgar/data/1730168/000173016825000121/0001730168-25-000121-index.html</t>
        </is>
      </c>
      <c r="K426" s="2" t="inlineStr">
        <is>
          <t>USD</t>
        </is>
      </c>
    </row>
    <row r="427" ht="42" customHeight="1">
      <c r="A427" s="2" t="inlineStr">
        <is>
          <t>owner-earnings</t>
        </is>
      </c>
      <c r="B427" s="2" t="inlineStr">
        <is>
          <t>2023-10-29</t>
        </is>
      </c>
      <c r="C427" s="2" t="inlineStr">
        <is>
          <t>net_income</t>
        </is>
      </c>
      <c r="D427" s="2" t="inlineStr">
        <is>
          <t>net_income</t>
        </is>
      </c>
      <c r="E427" s="2" t="inlineStr">
        <is>
          <t>2023-10-29</t>
        </is>
      </c>
      <c r="F427" s="3" t="n">
        <v>14082000000</v>
      </c>
      <c r="G427" s="8" t="b">
        <v>0</v>
      </c>
      <c r="H427" s="2" t="inlineStr"/>
      <c r="I427" s="8" t="b">
        <v>0</v>
      </c>
      <c r="J427" s="2" t="inlineStr">
        <is>
          <t>https://www.sec.gov/Archives/edgar/data/1730168/000173016824000139/0001730168-24-000139-index.html</t>
        </is>
      </c>
      <c r="K427" s="2" t="inlineStr">
        <is>
          <t>USD</t>
        </is>
      </c>
    </row>
    <row r="428" ht="42" customHeight="1">
      <c r="A428" s="2" t="inlineStr">
        <is>
          <t>owner-earnings</t>
        </is>
      </c>
      <c r="B428" s="2" t="inlineStr">
        <is>
          <t>2023-10-29</t>
        </is>
      </c>
      <c r="C428" s="2" t="inlineStr">
        <is>
          <t>d_and_a</t>
        </is>
      </c>
      <c r="D428" s="2" t="inlineStr">
        <is>
          <t>d_and_a</t>
        </is>
      </c>
      <c r="E428" s="2" t="inlineStr">
        <is>
          <t>2023-10-29</t>
        </is>
      </c>
      <c r="F428" s="3" t="n">
        <v>3749000000</v>
      </c>
      <c r="G428" s="8" t="b">
        <v>0</v>
      </c>
      <c r="H428" s="2" t="inlineStr"/>
      <c r="I428" s="8" t="b">
        <v>0</v>
      </c>
      <c r="J428" s="2" t="inlineStr">
        <is>
          <t>https://www.sec.gov/Archives/edgar/data/1730168/000173016825000121/0001730168-25-000121-index.html</t>
        </is>
      </c>
      <c r="K428" s="2" t="inlineStr">
        <is>
          <t>USD</t>
        </is>
      </c>
    </row>
    <row r="429" ht="42" customHeight="1">
      <c r="A429" s="2" t="inlineStr">
        <is>
          <t>owner-earnings</t>
        </is>
      </c>
      <c r="B429" s="2" t="inlineStr">
        <is>
          <t>2023-10-29</t>
        </is>
      </c>
      <c r="C429" s="2" t="inlineStr">
        <is>
          <t>change_in_owc</t>
        </is>
      </c>
      <c r="D429" s="2" t="inlineStr">
        <is>
          <t>change_in_owc</t>
        </is>
      </c>
      <c r="E429" s="2" t="inlineStr">
        <is>
          <t>2023-10-29</t>
        </is>
      </c>
      <c r="F429" s="3" t="n">
        <v>-43000000</v>
      </c>
      <c r="G429" s="8" t="b">
        <v>0</v>
      </c>
      <c r="H429" s="2" t="inlineStr"/>
      <c r="I429" s="8" t="b">
        <v>0</v>
      </c>
      <c r="J429" s="2" t="inlineStr">
        <is>
          <t>Derived or model input; see parent calculation formula and model assumptions.</t>
        </is>
      </c>
      <c r="K429" s="2" t="inlineStr">
        <is>
          <t>USD</t>
        </is>
      </c>
    </row>
    <row r="430" ht="42" customHeight="1">
      <c r="A430" s="2" t="inlineStr">
        <is>
          <t>earnings-quality</t>
        </is>
      </c>
      <c r="B430" s="2" t="inlineStr">
        <is>
          <t>2023-10-29</t>
        </is>
      </c>
      <c r="C430" s="2" t="inlineStr">
        <is>
          <t>ocf</t>
        </is>
      </c>
      <c r="D430" s="2" t="inlineStr">
        <is>
          <t>ocf</t>
        </is>
      </c>
      <c r="E430" s="2" t="inlineStr">
        <is>
          <t>2023-10-29</t>
        </is>
      </c>
      <c r="F430" s="3" t="n">
        <v>18085000000</v>
      </c>
      <c r="G430" s="8" t="b">
        <v>0</v>
      </c>
      <c r="H430" s="2" t="inlineStr"/>
      <c r="I430" s="8" t="b">
        <v>0</v>
      </c>
      <c r="J430" s="2" t="inlineStr">
        <is>
          <t>https://www.sec.gov/Archives/edgar/data/1730168/000173016825000121/0001730168-25-000121-index.html</t>
        </is>
      </c>
      <c r="K430" s="2" t="inlineStr">
        <is>
          <t>USD</t>
        </is>
      </c>
    </row>
    <row r="431" ht="42" customHeight="1">
      <c r="A431" s="2" t="inlineStr">
        <is>
          <t>earnings-quality</t>
        </is>
      </c>
      <c r="B431" s="2" t="inlineStr">
        <is>
          <t>2023-10-29</t>
        </is>
      </c>
      <c r="C431" s="2" t="inlineStr">
        <is>
          <t>net_income</t>
        </is>
      </c>
      <c r="D431" s="2" t="inlineStr">
        <is>
          <t>net_income</t>
        </is>
      </c>
      <c r="E431" s="2" t="inlineStr">
        <is>
          <t>2023-10-29</t>
        </is>
      </c>
      <c r="F431" s="3" t="n">
        <v>14082000000</v>
      </c>
      <c r="G431" s="8" t="b">
        <v>0</v>
      </c>
      <c r="H431" s="2" t="inlineStr"/>
      <c r="I431" s="8" t="b">
        <v>0</v>
      </c>
      <c r="J431" s="2" t="inlineStr">
        <is>
          <t>https://www.sec.gov/Archives/edgar/data/1730168/000173016824000139/0001730168-24-000139-index.html</t>
        </is>
      </c>
      <c r="K431" s="2" t="inlineStr">
        <is>
          <t>USD</t>
        </is>
      </c>
    </row>
    <row r="432" ht="42" customHeight="1">
      <c r="A432" s="2" t="inlineStr">
        <is>
          <t>ebitda</t>
        </is>
      </c>
      <c r="B432" s="2" t="inlineStr">
        <is>
          <t>2023-10-29</t>
        </is>
      </c>
      <c r="C432" s="2" t="inlineStr">
        <is>
          <t>operating_income</t>
        </is>
      </c>
      <c r="D432" s="2" t="inlineStr">
        <is>
          <t>operating_income</t>
        </is>
      </c>
      <c r="E432" s="2" t="inlineStr">
        <is>
          <t>2023-10-29</t>
        </is>
      </c>
      <c r="F432" s="3" t="n">
        <v>16207000000</v>
      </c>
      <c r="G432" s="8" t="b">
        <v>0</v>
      </c>
      <c r="H432" s="2" t="inlineStr"/>
      <c r="I432" s="8" t="b">
        <v>0</v>
      </c>
      <c r="J432" s="2" t="inlineStr">
        <is>
          <t>https://www.sec.gov/Archives/edgar/data/1730168/000173016825000121/0001730168-25-000121-index.html</t>
        </is>
      </c>
      <c r="K432" s="2" t="inlineStr">
        <is>
          <t>USD</t>
        </is>
      </c>
    </row>
    <row r="433" ht="42" customHeight="1">
      <c r="A433" s="2" t="inlineStr">
        <is>
          <t>ebitda</t>
        </is>
      </c>
      <c r="B433" s="2" t="inlineStr">
        <is>
          <t>2023-10-29</t>
        </is>
      </c>
      <c r="C433" s="2" t="inlineStr">
        <is>
          <t>d_and_a</t>
        </is>
      </c>
      <c r="D433" s="2" t="inlineStr">
        <is>
          <t>d_and_a</t>
        </is>
      </c>
      <c r="E433" s="2" t="inlineStr">
        <is>
          <t>2023-10-29</t>
        </is>
      </c>
      <c r="F433" s="3" t="n">
        <v>3749000000</v>
      </c>
      <c r="G433" s="8" t="b">
        <v>0</v>
      </c>
      <c r="H433" s="2" t="inlineStr"/>
      <c r="I433" s="8" t="b">
        <v>0</v>
      </c>
      <c r="J433" s="2" t="inlineStr">
        <is>
          <t>https://www.sec.gov/Archives/edgar/data/1730168/000173016825000121/0001730168-25-000121-index.html</t>
        </is>
      </c>
      <c r="K433" s="2" t="inlineStr">
        <is>
          <t>USD</t>
        </is>
      </c>
    </row>
    <row r="434" ht="42" customHeight="1">
      <c r="A434" s="2" t="inlineStr">
        <is>
          <t>nopat</t>
        </is>
      </c>
      <c r="B434" s="2" t="inlineStr">
        <is>
          <t>2023-10-29</t>
        </is>
      </c>
      <c r="C434" s="2" t="inlineStr">
        <is>
          <t>operating_income</t>
        </is>
      </c>
      <c r="D434" s="2" t="inlineStr">
        <is>
          <t>operating_income</t>
        </is>
      </c>
      <c r="E434" s="2" t="inlineStr">
        <is>
          <t>2023-10-29</t>
        </is>
      </c>
      <c r="F434" s="3" t="n">
        <v>16207000000</v>
      </c>
      <c r="G434" s="8" t="b">
        <v>0</v>
      </c>
      <c r="H434" s="2" t="inlineStr"/>
      <c r="I434" s="8" t="b">
        <v>0</v>
      </c>
      <c r="J434" s="2" t="inlineStr">
        <is>
          <t>https://www.sec.gov/Archives/edgar/data/1730168/000173016825000121/0001730168-25-000121-index.html</t>
        </is>
      </c>
      <c r="K434" s="2" t="inlineStr">
        <is>
          <t>USD</t>
        </is>
      </c>
    </row>
    <row r="435" ht="42" customHeight="1">
      <c r="A435" s="2" t="inlineStr">
        <is>
          <t>nopat</t>
        </is>
      </c>
      <c r="B435" s="2" t="inlineStr">
        <is>
          <t>2023-10-29</t>
        </is>
      </c>
      <c r="C435" s="2" t="inlineStr">
        <is>
          <t>tax_rate</t>
        </is>
      </c>
      <c r="D435" s="2" t="inlineStr">
        <is>
          <t>tax_rate</t>
        </is>
      </c>
      <c r="E435" s="2" t="inlineStr">
        <is>
          <t>2023-10-29</t>
        </is>
      </c>
      <c r="F435" s="3" t="n">
        <v>0.06723190037755845</v>
      </c>
      <c r="G435" s="8" t="b">
        <v>0</v>
      </c>
      <c r="H435" s="2" t="inlineStr"/>
      <c r="I435" s="8" t="b">
        <v>0</v>
      </c>
      <c r="J435" s="2" t="inlineStr">
        <is>
          <t>Derived or model input; see parent calculation formula and model assumptions.</t>
        </is>
      </c>
      <c r="K435" s="2" t="inlineStr">
        <is>
          <t>ratio (decimal)</t>
        </is>
      </c>
    </row>
    <row r="436" ht="42" customHeight="1">
      <c r="A436" s="2" t="inlineStr">
        <is>
          <t>invested-capital</t>
        </is>
      </c>
      <c r="B436" s="2" t="inlineStr">
        <is>
          <t>2023-10-29</t>
        </is>
      </c>
      <c r="C436" s="2" t="inlineStr">
        <is>
          <t>equity</t>
        </is>
      </c>
      <c r="D436" s="2" t="inlineStr">
        <is>
          <t>equity</t>
        </is>
      </c>
      <c r="E436" s="2" t="inlineStr">
        <is>
          <t>2023-10-29</t>
        </is>
      </c>
      <c r="F436" s="3" t="n">
        <v>23988000000</v>
      </c>
      <c r="G436" s="8" t="b">
        <v>0</v>
      </c>
      <c r="H436" s="2" t="inlineStr"/>
      <c r="I436" s="8" t="b">
        <v>0</v>
      </c>
      <c r="J436" s="2" t="inlineStr">
        <is>
          <t>https://www.sec.gov/Archives/edgar/data/1730168/000173016825000121/0001730168-25-000121-index.html</t>
        </is>
      </c>
      <c r="K436" s="2" t="inlineStr">
        <is>
          <t>USD</t>
        </is>
      </c>
    </row>
    <row r="437" ht="42" customHeight="1">
      <c r="A437" s="2" t="inlineStr">
        <is>
          <t>invested-capital</t>
        </is>
      </c>
      <c r="B437" s="2" t="inlineStr">
        <is>
          <t>2023-10-29</t>
        </is>
      </c>
      <c r="C437" s="2" t="inlineStr">
        <is>
          <t>debt</t>
        </is>
      </c>
      <c r="D437" s="2" t="inlineStr">
        <is>
          <t>debt</t>
        </is>
      </c>
      <c r="E437" s="2" t="inlineStr">
        <is>
          <t>2023-10-29</t>
        </is>
      </c>
      <c r="F437" s="3" t="n">
        <v>39184000000</v>
      </c>
      <c r="G437" s="8" t="b">
        <v>0</v>
      </c>
      <c r="H437" s="2" t="inlineStr"/>
      <c r="I437" s="8" t="b">
        <v>0</v>
      </c>
      <c r="J437" s="2" t="inlineStr">
        <is>
          <t>Derived or model input; see parent calculation formula and model assumptions.</t>
        </is>
      </c>
      <c r="K437" s="2" t="inlineStr">
        <is>
          <t>USD</t>
        </is>
      </c>
    </row>
    <row r="438" ht="42" customHeight="1">
      <c r="A438" s="2" t="inlineStr">
        <is>
          <t>invested-capital</t>
        </is>
      </c>
      <c r="B438" s="2" t="inlineStr">
        <is>
          <t>2023-10-29</t>
        </is>
      </c>
      <c r="C438" s="2" t="inlineStr">
        <is>
          <t>cash_sti</t>
        </is>
      </c>
      <c r="D438" s="2" t="inlineStr">
        <is>
          <t>cash_sti</t>
        </is>
      </c>
      <c r="E438" s="2" t="inlineStr">
        <is>
          <t>2023-10-29</t>
        </is>
      </c>
      <c r="F438" s="3" t="n">
        <v>14189000000</v>
      </c>
      <c r="G438" s="8" t="b">
        <v>0</v>
      </c>
      <c r="H438" s="2" t="inlineStr"/>
      <c r="I438" s="8" t="b">
        <v>0</v>
      </c>
      <c r="J438" s="2" t="inlineStr">
        <is>
          <t>https://www.sec.gov/Archives/edgar/data/1730168/000173016824000139/0001730168-24-000139-index.html</t>
        </is>
      </c>
      <c r="K438" s="2" t="inlineStr">
        <is>
          <t>USD</t>
        </is>
      </c>
    </row>
    <row r="439" ht="42" customHeight="1">
      <c r="A439" s="2" t="inlineStr">
        <is>
          <t>roic</t>
        </is>
      </c>
      <c r="B439" s="2" t="inlineStr">
        <is>
          <t>2023-10-29</t>
        </is>
      </c>
      <c r="C439" s="2" t="inlineStr">
        <is>
          <t>operating_income</t>
        </is>
      </c>
      <c r="D439" s="2" t="inlineStr">
        <is>
          <t>operating_income</t>
        </is>
      </c>
      <c r="E439" s="2" t="inlineStr">
        <is>
          <t>2023-10-29</t>
        </is>
      </c>
      <c r="F439" s="3" t="n">
        <v>16207000000</v>
      </c>
      <c r="G439" s="8" t="b">
        <v>0</v>
      </c>
      <c r="H439" s="2" t="inlineStr"/>
      <c r="I439" s="8" t="b">
        <v>0</v>
      </c>
      <c r="J439" s="2" t="inlineStr">
        <is>
          <t>https://www.sec.gov/Archives/edgar/data/1730168/000173016825000121/0001730168-25-000121-index.html</t>
        </is>
      </c>
      <c r="K439" s="2" t="inlineStr">
        <is>
          <t>USD</t>
        </is>
      </c>
    </row>
    <row r="440" ht="42" customHeight="1">
      <c r="A440" s="2" t="inlineStr">
        <is>
          <t>roic</t>
        </is>
      </c>
      <c r="B440" s="2" t="inlineStr">
        <is>
          <t>2023-10-29</t>
        </is>
      </c>
      <c r="C440" s="2" t="inlineStr">
        <is>
          <t>tax_rate</t>
        </is>
      </c>
      <c r="D440" s="2" t="inlineStr">
        <is>
          <t>tax_rate</t>
        </is>
      </c>
      <c r="E440" s="2" t="inlineStr">
        <is>
          <t>2023-10-29</t>
        </is>
      </c>
      <c r="F440" s="3" t="n">
        <v>0.06723190037755845</v>
      </c>
      <c r="G440" s="8" t="b">
        <v>0</v>
      </c>
      <c r="H440" s="2" t="inlineStr"/>
      <c r="I440" s="8" t="b">
        <v>0</v>
      </c>
      <c r="J440" s="2" t="inlineStr">
        <is>
          <t>Derived or model input; see parent calculation formula and model assumptions.</t>
        </is>
      </c>
      <c r="K440" s="2" t="inlineStr">
        <is>
          <t>ratio (decimal)</t>
        </is>
      </c>
    </row>
    <row r="441" ht="42" customHeight="1">
      <c r="A441" s="2" t="inlineStr">
        <is>
          <t>roic</t>
        </is>
      </c>
      <c r="B441" s="2" t="inlineStr">
        <is>
          <t>2023-10-29</t>
        </is>
      </c>
      <c r="C441" s="2" t="inlineStr">
        <is>
          <t>average_invested_capital</t>
        </is>
      </c>
      <c r="D441" s="2" t="inlineStr">
        <is>
          <t>average_invested_capital</t>
        </is>
      </c>
      <c r="E441" s="2" t="inlineStr">
        <is>
          <t>2023-10-29</t>
        </is>
      </c>
      <c r="F441" s="3" t="n">
        <v>49377000000</v>
      </c>
      <c r="G441" s="8" t="b">
        <v>0</v>
      </c>
      <c r="H441" s="2" t="inlineStr"/>
      <c r="I441" s="8" t="b">
        <v>0</v>
      </c>
      <c r="J441" s="2" t="inlineStr">
        <is>
          <t>Derived or model input; see parent calculation formula and model assumptions.</t>
        </is>
      </c>
      <c r="K441" s="2" t="inlineStr">
        <is>
          <t>USD</t>
        </is>
      </c>
    </row>
    <row r="442" ht="42" customHeight="1">
      <c r="A442" s="2" t="inlineStr">
        <is>
          <t>net-debt</t>
        </is>
      </c>
      <c r="B442" s="2" t="inlineStr">
        <is>
          <t>2023-10-29</t>
        </is>
      </c>
      <c r="C442" s="2" t="inlineStr">
        <is>
          <t>debt</t>
        </is>
      </c>
      <c r="D442" s="2" t="inlineStr">
        <is>
          <t>debt</t>
        </is>
      </c>
      <c r="E442" s="2" t="inlineStr">
        <is>
          <t>2023-10-29</t>
        </is>
      </c>
      <c r="F442" s="3" t="n">
        <v>39184000000</v>
      </c>
      <c r="G442" s="8" t="b">
        <v>0</v>
      </c>
      <c r="H442" s="2" t="inlineStr"/>
      <c r="I442" s="8" t="b">
        <v>0</v>
      </c>
      <c r="J442" s="2" t="inlineStr">
        <is>
          <t>Derived or model input; see parent calculation formula and model assumptions.</t>
        </is>
      </c>
      <c r="K442" s="2" t="inlineStr">
        <is>
          <t>USD</t>
        </is>
      </c>
    </row>
    <row r="443" ht="42" customHeight="1">
      <c r="A443" s="2" t="inlineStr">
        <is>
          <t>net-debt</t>
        </is>
      </c>
      <c r="B443" s="2" t="inlineStr">
        <is>
          <t>2023-10-29</t>
        </is>
      </c>
      <c r="C443" s="2" t="inlineStr">
        <is>
          <t>cash_sti</t>
        </is>
      </c>
      <c r="D443" s="2" t="inlineStr">
        <is>
          <t>cash_sti</t>
        </is>
      </c>
      <c r="E443" s="2" t="inlineStr">
        <is>
          <t>2023-10-29</t>
        </is>
      </c>
      <c r="F443" s="3" t="n">
        <v>14189000000</v>
      </c>
      <c r="G443" s="8" t="b">
        <v>0</v>
      </c>
      <c r="H443" s="2" t="inlineStr"/>
      <c r="I443" s="8" t="b">
        <v>0</v>
      </c>
      <c r="J443" s="2" t="inlineStr">
        <is>
          <t>https://www.sec.gov/Archives/edgar/data/1730168/000173016824000139/0001730168-24-000139-index.html</t>
        </is>
      </c>
      <c r="K443" s="2" t="inlineStr">
        <is>
          <t>USD</t>
        </is>
      </c>
    </row>
    <row r="444" ht="42" customHeight="1">
      <c r="A444" s="2" t="inlineStr">
        <is>
          <t>debt-ebitda</t>
        </is>
      </c>
      <c r="B444" s="2" t="inlineStr">
        <is>
          <t>2023-10-29</t>
        </is>
      </c>
      <c r="C444" s="2" t="inlineStr">
        <is>
          <t>debt</t>
        </is>
      </c>
      <c r="D444" s="2" t="inlineStr">
        <is>
          <t>debt</t>
        </is>
      </c>
      <c r="E444" s="2" t="inlineStr">
        <is>
          <t>2023-10-29</t>
        </is>
      </c>
      <c r="F444" s="3" t="n">
        <v>39184000000</v>
      </c>
      <c r="G444" s="8" t="b">
        <v>0</v>
      </c>
      <c r="H444" s="2" t="inlineStr"/>
      <c r="I444" s="8" t="b">
        <v>0</v>
      </c>
      <c r="J444" s="2" t="inlineStr">
        <is>
          <t>Derived or model input; see parent calculation formula and model assumptions.</t>
        </is>
      </c>
      <c r="K444" s="2" t="inlineStr">
        <is>
          <t>USD</t>
        </is>
      </c>
    </row>
    <row r="445" ht="42" customHeight="1">
      <c r="A445" s="2" t="inlineStr">
        <is>
          <t>debt-ebitda</t>
        </is>
      </c>
      <c r="B445" s="2" t="inlineStr">
        <is>
          <t>2023-10-29</t>
        </is>
      </c>
      <c r="C445" s="2" t="inlineStr">
        <is>
          <t>ebitda</t>
        </is>
      </c>
      <c r="D445" s="2" t="inlineStr">
        <is>
          <t>ebitda</t>
        </is>
      </c>
      <c r="E445" s="2" t="inlineStr">
        <is>
          <t>2023-10-29</t>
        </is>
      </c>
      <c r="F445" s="3" t="n">
        <v>19956000000</v>
      </c>
      <c r="G445" s="8" t="b">
        <v>0</v>
      </c>
      <c r="H445" s="2" t="inlineStr"/>
      <c r="I445" s="8" t="b">
        <v>0</v>
      </c>
      <c r="J445" s="2" t="inlineStr">
        <is>
          <t>Derived: ebitda @ 2023-10-29; see Calculations and Calc inputs.</t>
        </is>
      </c>
      <c r="K445" s="2" t="inlineStr">
        <is>
          <t>USD</t>
        </is>
      </c>
    </row>
    <row r="446" ht="42" customHeight="1">
      <c r="A446" s="2" t="inlineStr">
        <is>
          <t>interest-coverage</t>
        </is>
      </c>
      <c r="B446" s="2" t="inlineStr">
        <is>
          <t>2023-10-29</t>
        </is>
      </c>
      <c r="C446" s="2" t="inlineStr">
        <is>
          <t>operating_income</t>
        </is>
      </c>
      <c r="D446" s="2" t="inlineStr">
        <is>
          <t>operating_income</t>
        </is>
      </c>
      <c r="E446" s="2" t="inlineStr">
        <is>
          <t>2023-10-29</t>
        </is>
      </c>
      <c r="F446" s="3" t="n">
        <v>16207000000</v>
      </c>
      <c r="G446" s="8" t="b">
        <v>0</v>
      </c>
      <c r="H446" s="2" t="inlineStr"/>
      <c r="I446" s="8" t="b">
        <v>0</v>
      </c>
      <c r="J446" s="2" t="inlineStr">
        <is>
          <t>https://www.sec.gov/Archives/edgar/data/1730168/000173016825000121/0001730168-25-000121-index.html</t>
        </is>
      </c>
      <c r="K446" s="2" t="inlineStr">
        <is>
          <t>USD</t>
        </is>
      </c>
    </row>
    <row r="447" ht="42" customHeight="1">
      <c r="A447" s="2" t="inlineStr">
        <is>
          <t>interest-coverage</t>
        </is>
      </c>
      <c r="B447" s="2" t="inlineStr">
        <is>
          <t>2023-10-29</t>
        </is>
      </c>
      <c r="C447" s="2" t="inlineStr">
        <is>
          <t>interest_expense</t>
        </is>
      </c>
      <c r="D447" s="2" t="inlineStr">
        <is>
          <t>interest_expense</t>
        </is>
      </c>
      <c r="E447" s="2" t="inlineStr">
        <is>
          <t>2023-10-29</t>
        </is>
      </c>
      <c r="F447" s="3" t="n">
        <v>1622000000</v>
      </c>
      <c r="G447" s="8" t="b">
        <v>0</v>
      </c>
      <c r="H447" s="2" t="inlineStr"/>
      <c r="I447" s="8" t="b">
        <v>0</v>
      </c>
      <c r="J447" s="2" t="inlineStr">
        <is>
          <t>https://www.sec.gov/Archives/edgar/data/1730168/000173016824000139/0001730168-24-000139-index.html</t>
        </is>
      </c>
      <c r="K447" s="2" t="inlineStr">
        <is>
          <t>USD</t>
        </is>
      </c>
    </row>
    <row r="448" ht="42" customHeight="1">
      <c r="A448" s="2" t="inlineStr">
        <is>
          <t>current-ratio</t>
        </is>
      </c>
      <c r="B448" s="2" t="inlineStr">
        <is>
          <t>2023-10-29</t>
        </is>
      </c>
      <c r="C448" s="2" t="inlineStr">
        <is>
          <t>current_assets</t>
        </is>
      </c>
      <c r="D448" s="2" t="inlineStr">
        <is>
          <t>current_assets</t>
        </is>
      </c>
      <c r="E448" s="2" t="inlineStr">
        <is>
          <t>2023-10-29</t>
        </is>
      </c>
      <c r="F448" s="3" t="n">
        <v>20847000000</v>
      </c>
      <c r="G448" s="8" t="b">
        <v>0</v>
      </c>
      <c r="H448" s="2" t="inlineStr"/>
      <c r="I448" s="8" t="b">
        <v>0</v>
      </c>
      <c r="J448" s="2" t="inlineStr">
        <is>
          <t>https://www.sec.gov/Archives/edgar/data/1730168/000173016824000139/0001730168-24-000139-index.html</t>
        </is>
      </c>
      <c r="K448" s="2" t="inlineStr">
        <is>
          <t>USD</t>
        </is>
      </c>
    </row>
    <row r="449" ht="42" customHeight="1">
      <c r="A449" s="2" t="inlineStr">
        <is>
          <t>current-ratio</t>
        </is>
      </c>
      <c r="B449" s="2" t="inlineStr">
        <is>
          <t>2023-10-29</t>
        </is>
      </c>
      <c r="C449" s="2" t="inlineStr">
        <is>
          <t>current_liabilities</t>
        </is>
      </c>
      <c r="D449" s="2" t="inlineStr">
        <is>
          <t>current_liabilities</t>
        </is>
      </c>
      <c r="E449" s="2" t="inlineStr">
        <is>
          <t>2023-10-29</t>
        </is>
      </c>
      <c r="F449" s="3" t="n">
        <v>7405000000</v>
      </c>
      <c r="G449" s="8" t="b">
        <v>0</v>
      </c>
      <c r="H449" s="2" t="inlineStr"/>
      <c r="I449" s="8" t="b">
        <v>0</v>
      </c>
      <c r="J449" s="2" t="inlineStr">
        <is>
          <t>https://www.sec.gov/Archives/edgar/data/1730168/000173016824000139/0001730168-24-000139-index.html</t>
        </is>
      </c>
      <c r="K449" s="2" t="inlineStr">
        <is>
          <t>USD</t>
        </is>
      </c>
    </row>
    <row r="450" ht="42" customHeight="1">
      <c r="A450" s="2" t="inlineStr">
        <is>
          <t>tangible-book-value</t>
        </is>
      </c>
      <c r="B450" s="2" t="inlineStr">
        <is>
          <t>2023-10-29</t>
        </is>
      </c>
      <c r="C450" s="2" t="inlineStr">
        <is>
          <t>equity</t>
        </is>
      </c>
      <c r="D450" s="2" t="inlineStr">
        <is>
          <t>equity</t>
        </is>
      </c>
      <c r="E450" s="2" t="inlineStr">
        <is>
          <t>2023-10-29</t>
        </is>
      </c>
      <c r="F450" s="3" t="n">
        <v>23988000000</v>
      </c>
      <c r="G450" s="8" t="b">
        <v>0</v>
      </c>
      <c r="H450" s="2" t="inlineStr"/>
      <c r="I450" s="8" t="b">
        <v>0</v>
      </c>
      <c r="J450" s="2" t="inlineStr">
        <is>
          <t>https://www.sec.gov/Archives/edgar/data/1730168/000173016825000121/0001730168-25-000121-index.html</t>
        </is>
      </c>
      <c r="K450" s="2" t="inlineStr">
        <is>
          <t>USD</t>
        </is>
      </c>
    </row>
    <row r="451" ht="42" customHeight="1">
      <c r="A451" s="2" t="inlineStr">
        <is>
          <t>tangible-book-value</t>
        </is>
      </c>
      <c r="B451" s="2" t="inlineStr">
        <is>
          <t>2023-10-29</t>
        </is>
      </c>
      <c r="C451" s="2" t="inlineStr">
        <is>
          <t>preferred</t>
        </is>
      </c>
      <c r="D451" s="2" t="inlineStr">
        <is>
          <t>preferred</t>
        </is>
      </c>
      <c r="E451" s="2" t="inlineStr">
        <is>
          <t>2023-10-29</t>
        </is>
      </c>
      <c r="F451" s="3" t="n">
        <v>0</v>
      </c>
      <c r="G451" s="8" t="b">
        <v>0</v>
      </c>
      <c r="H451" s="2" t="inlineStr"/>
      <c r="I451" s="8" t="b">
        <v>0</v>
      </c>
      <c r="J451" s="2" t="inlineStr">
        <is>
          <t>https://www.sec.gov/Archives/edgar/data/1730168/000173016824000139/0001730168-24-000139-index.html</t>
        </is>
      </c>
      <c r="K451" s="2" t="inlineStr">
        <is>
          <t>USD</t>
        </is>
      </c>
    </row>
    <row r="452" ht="42" customHeight="1">
      <c r="A452" s="2" t="inlineStr">
        <is>
          <t>tangible-book-value</t>
        </is>
      </c>
      <c r="B452" s="2" t="inlineStr">
        <is>
          <t>2023-10-29</t>
        </is>
      </c>
      <c r="C452" s="2" t="inlineStr">
        <is>
          <t>goodwill</t>
        </is>
      </c>
      <c r="D452" s="2" t="inlineStr">
        <is>
          <t>goodwill</t>
        </is>
      </c>
      <c r="E452" s="2" t="inlineStr">
        <is>
          <t>2023-10-29</t>
        </is>
      </c>
      <c r="F452" s="3" t="n">
        <v>43653000000</v>
      </c>
      <c r="G452" s="8" t="b">
        <v>0</v>
      </c>
      <c r="H452" s="2" t="inlineStr"/>
      <c r="I452" s="8" t="b">
        <v>0</v>
      </c>
      <c r="J452" s="2" t="inlineStr">
        <is>
          <t>https://www.sec.gov/Archives/edgar/data/1730168/000173016825000121/0001730168-25-000121-index.html</t>
        </is>
      </c>
      <c r="K452" s="2" t="inlineStr">
        <is>
          <t>USD</t>
        </is>
      </c>
    </row>
    <row r="453" ht="42" customHeight="1">
      <c r="A453" s="2" t="inlineStr">
        <is>
          <t>tangible-book-value</t>
        </is>
      </c>
      <c r="B453" s="2" t="inlineStr">
        <is>
          <t>2023-10-29</t>
        </is>
      </c>
      <c r="C453" s="2" t="inlineStr">
        <is>
          <t>intangibles</t>
        </is>
      </c>
      <c r="D453" s="2" t="inlineStr">
        <is>
          <t>intangibles</t>
        </is>
      </c>
      <c r="E453" s="2" t="inlineStr">
        <is>
          <t>2023-10-29</t>
        </is>
      </c>
      <c r="F453" s="3" t="n">
        <v>3867000000</v>
      </c>
      <c r="G453" s="8" t="b">
        <v>0</v>
      </c>
      <c r="H453" s="2" t="inlineStr"/>
      <c r="I453" s="8" t="b">
        <v>0</v>
      </c>
      <c r="J453" s="2" t="inlineStr">
        <is>
          <t>https://www.sec.gov/Archives/edgar/data/1730168/000173016824000139/0001730168-24-000139-index.html</t>
        </is>
      </c>
      <c r="K453" s="2" t="inlineStr">
        <is>
          <t>USD</t>
        </is>
      </c>
    </row>
    <row r="454" ht="42" customHeight="1">
      <c r="A454" s="2" t="inlineStr">
        <is>
          <t>ncav</t>
        </is>
      </c>
      <c r="B454" s="2" t="inlineStr">
        <is>
          <t>2023-10-29</t>
        </is>
      </c>
      <c r="C454" s="2" t="inlineStr">
        <is>
          <t>current_assets</t>
        </is>
      </c>
      <c r="D454" s="2" t="inlineStr">
        <is>
          <t>current_assets</t>
        </is>
      </c>
      <c r="E454" s="2" t="inlineStr">
        <is>
          <t>2023-10-29</t>
        </is>
      </c>
      <c r="F454" s="3" t="n">
        <v>20847000000</v>
      </c>
      <c r="G454" s="8" t="b">
        <v>0</v>
      </c>
      <c r="H454" s="2" t="inlineStr"/>
      <c r="I454" s="8" t="b">
        <v>0</v>
      </c>
      <c r="J454" s="2" t="inlineStr">
        <is>
          <t>https://www.sec.gov/Archives/edgar/data/1730168/000173016824000139/0001730168-24-000139-index.html</t>
        </is>
      </c>
      <c r="K454" s="2" t="inlineStr">
        <is>
          <t>USD</t>
        </is>
      </c>
    </row>
    <row r="455" ht="42" customHeight="1">
      <c r="A455" s="2" t="inlineStr">
        <is>
          <t>ncav</t>
        </is>
      </c>
      <c r="B455" s="2" t="inlineStr">
        <is>
          <t>2023-10-29</t>
        </is>
      </c>
      <c r="C455" s="2" t="inlineStr">
        <is>
          <t>total_liabilities</t>
        </is>
      </c>
      <c r="D455" s="2" t="inlineStr">
        <is>
          <t>total_liabilities</t>
        </is>
      </c>
      <c r="E455" s="2" t="inlineStr">
        <is>
          <t>2023-10-29</t>
        </is>
      </c>
      <c r="F455" s="3" t="n">
        <v>48873000000</v>
      </c>
      <c r="G455" s="8" t="b">
        <v>0</v>
      </c>
      <c r="H455" s="2" t="inlineStr"/>
      <c r="I455" s="8" t="b">
        <v>0</v>
      </c>
      <c r="J455" s="2" t="inlineStr">
        <is>
          <t>https://www.sec.gov/Archives/edgar/data/1730168/000173016824000139/0001730168-24-000139-index.html</t>
        </is>
      </c>
      <c r="K455" s="2" t="inlineStr">
        <is>
          <t>USD</t>
        </is>
      </c>
    </row>
    <row r="456" ht="42" customHeight="1">
      <c r="A456" s="2" t="inlineStr">
        <is>
          <t>ncav</t>
        </is>
      </c>
      <c r="B456" s="2" t="inlineStr">
        <is>
          <t>2023-10-29</t>
        </is>
      </c>
      <c r="C456" s="2" t="inlineStr">
        <is>
          <t>preferred</t>
        </is>
      </c>
      <c r="D456" s="2" t="inlineStr">
        <is>
          <t>preferred</t>
        </is>
      </c>
      <c r="E456" s="2" t="inlineStr">
        <is>
          <t>2023-10-29</t>
        </is>
      </c>
      <c r="F456" s="3" t="n">
        <v>0</v>
      </c>
      <c r="G456" s="8" t="b">
        <v>0</v>
      </c>
      <c r="H456" s="2" t="inlineStr"/>
      <c r="I456" s="8" t="b">
        <v>0</v>
      </c>
      <c r="J456" s="2" t="inlineStr">
        <is>
          <t>https://www.sec.gov/Archives/edgar/data/1730168/000173016824000139/0001730168-24-000139-index.html</t>
        </is>
      </c>
      <c r="K456" s="2" t="inlineStr">
        <is>
          <t>USD</t>
        </is>
      </c>
    </row>
    <row r="457" ht="42" customHeight="1">
      <c r="A457" s="2" t="inlineStr">
        <is>
          <t>dilution</t>
        </is>
      </c>
      <c r="B457" s="2" t="inlineStr">
        <is>
          <t>2023-10-29</t>
        </is>
      </c>
      <c r="C457" s="2" t="inlineStr">
        <is>
          <t>diluted_avg_shares</t>
        </is>
      </c>
      <c r="D457" s="2" t="inlineStr">
        <is>
          <t>diluted_avg_shares</t>
        </is>
      </c>
      <c r="E457" s="2" t="inlineStr">
        <is>
          <t>2023-10-29</t>
        </is>
      </c>
      <c r="F457" s="3" t="n">
        <v>4272000000</v>
      </c>
      <c r="G457" s="8" t="b">
        <v>0</v>
      </c>
      <c r="H457" s="2" t="inlineStr"/>
      <c r="I457" s="8" t="b">
        <v>0</v>
      </c>
      <c r="J457" s="2" t="inlineStr">
        <is>
          <t>https://www.sec.gov/Archives/edgar/data/1730168/000173016825000121/0001730168-25-000121-index.html</t>
        </is>
      </c>
      <c r="K457" s="2" t="inlineStr">
        <is>
          <t>shares</t>
        </is>
      </c>
    </row>
    <row r="458" ht="42" customHeight="1">
      <c r="A458" s="2" t="inlineStr">
        <is>
          <t>dilution</t>
        </is>
      </c>
      <c r="B458" s="2" t="inlineStr">
        <is>
          <t>2023-10-29</t>
        </is>
      </c>
      <c r="C458" s="2" t="inlineStr">
        <is>
          <t>previous_shares</t>
        </is>
      </c>
      <c r="D458" s="2" t="inlineStr">
        <is>
          <t>diluted_avg_shares</t>
        </is>
      </c>
      <c r="E458" s="2" t="inlineStr">
        <is>
          <t>2022-10-30</t>
        </is>
      </c>
      <c r="F458" s="3" t="n">
        <v>4232000000</v>
      </c>
      <c r="G458" s="8" t="b">
        <v>0</v>
      </c>
      <c r="H458" s="2" t="inlineStr"/>
      <c r="I458" s="8" t="b">
        <v>0</v>
      </c>
      <c r="J458" s="2" t="inlineStr">
        <is>
          <t>https://www.sec.gov/Archives/edgar/data/1730168/000173016824000139/0001730168-24-000139-index.html</t>
        </is>
      </c>
      <c r="K458" s="2" t="inlineStr">
        <is>
          <t>shares</t>
        </is>
      </c>
    </row>
    <row r="459" ht="42" customHeight="1">
      <c r="A459" s="2" t="inlineStr">
        <is>
          <t>sbc-to-revenue</t>
        </is>
      </c>
      <c r="B459" s="2" t="inlineStr">
        <is>
          <t>2023-10-29</t>
        </is>
      </c>
      <c r="C459" s="2" t="inlineStr">
        <is>
          <t>sbc</t>
        </is>
      </c>
      <c r="D459" s="2" t="inlineStr">
        <is>
          <t>sbc</t>
        </is>
      </c>
      <c r="E459" s="2" t="inlineStr">
        <is>
          <t>2023-10-29</t>
        </is>
      </c>
      <c r="F459" s="3" t="n">
        <v>2171000000</v>
      </c>
      <c r="G459" s="8" t="b">
        <v>0</v>
      </c>
      <c r="H459" s="2" t="inlineStr"/>
      <c r="I459" s="8" t="b">
        <v>0</v>
      </c>
      <c r="J459" s="2" t="inlineStr">
        <is>
          <t>https://www.sec.gov/Archives/edgar/data/1730168/000173016825000121/0001730168-25-000121-index.html</t>
        </is>
      </c>
      <c r="K459" s="2" t="inlineStr">
        <is>
          <t>USD</t>
        </is>
      </c>
    </row>
    <row r="460" ht="42" customHeight="1">
      <c r="A460" s="2" t="inlineStr">
        <is>
          <t>sbc-to-revenue</t>
        </is>
      </c>
      <c r="B460" s="2" t="inlineStr">
        <is>
          <t>2023-10-29</t>
        </is>
      </c>
      <c r="C460" s="2" t="inlineStr">
        <is>
          <t>revenue</t>
        </is>
      </c>
      <c r="D460" s="2" t="inlineStr">
        <is>
          <t>revenue</t>
        </is>
      </c>
      <c r="E460" s="2" t="inlineStr">
        <is>
          <t>2023-10-29</t>
        </is>
      </c>
      <c r="F460" s="3" t="n">
        <v>35819000000</v>
      </c>
      <c r="G460" s="8" t="b">
        <v>0</v>
      </c>
      <c r="H460" s="2" t="inlineStr"/>
      <c r="I460" s="8" t="b">
        <v>0</v>
      </c>
      <c r="J460" s="2" t="inlineStr">
        <is>
          <t>https://www.sec.gov/Archives/edgar/data/1730168/000173016825000121/0001730168-25-000121-index.html</t>
        </is>
      </c>
      <c r="K460" s="2" t="inlineStr">
        <is>
          <t>USD</t>
        </is>
      </c>
    </row>
    <row r="461" ht="42" customHeight="1">
      <c r="A461" s="2" t="inlineStr">
        <is>
          <t>eps</t>
        </is>
      </c>
      <c r="B461" s="2" t="inlineStr">
        <is>
          <t>2023-10-29</t>
        </is>
      </c>
      <c r="C461" s="2" t="inlineStr">
        <is>
          <t>eps_diluted</t>
        </is>
      </c>
      <c r="D461" s="2" t="inlineStr">
        <is>
          <t>eps_diluted</t>
        </is>
      </c>
      <c r="E461" s="2" t="inlineStr">
        <is>
          <t>2023-10-29</t>
        </is>
      </c>
      <c r="F461" s="3" t="n">
        <v>3.3</v>
      </c>
      <c r="G461" s="8" t="b">
        <v>0</v>
      </c>
      <c r="H461" s="2" t="inlineStr"/>
      <c r="I461" s="8" t="b">
        <v>0</v>
      </c>
      <c r="J461" s="2" t="inlineStr">
        <is>
          <t>https://www.sec.gov/Archives/edgar/data/1730168/000173016825000121/0001730168-25-000121-index.html</t>
        </is>
      </c>
      <c r="K461" s="2" t="inlineStr">
        <is>
          <t>USD per share</t>
        </is>
      </c>
    </row>
    <row r="462" ht="42" customHeight="1">
      <c r="A462" s="2" t="inlineStr">
        <is>
          <t>debt-due-3y</t>
        </is>
      </c>
      <c r="B462" s="2" t="inlineStr">
        <is>
          <t>2023-10-29</t>
        </is>
      </c>
      <c r="C462" s="2" t="inlineStr">
        <is>
          <t>maturity_y1</t>
        </is>
      </c>
      <c r="D462" s="2" t="inlineStr">
        <is>
          <t>maturity_y1</t>
        </is>
      </c>
      <c r="E462" s="2" t="inlineStr">
        <is>
          <t>2023-10-29</t>
        </is>
      </c>
      <c r="F462" s="3" t="n">
        <v>1563000000</v>
      </c>
      <c r="G462" s="8" t="b">
        <v>0</v>
      </c>
      <c r="H462" s="2" t="inlineStr"/>
      <c r="I462" s="8" t="b">
        <v>0</v>
      </c>
      <c r="J462" s="2" t="inlineStr">
        <is>
          <t>https://www.sec.gov/Archives/edgar/data/1730168/000173016823000096/0001730168-23-000096-index.html</t>
        </is>
      </c>
      <c r="K462" s="2" t="inlineStr">
        <is>
          <t>USD</t>
        </is>
      </c>
    </row>
    <row r="463" ht="42" customHeight="1">
      <c r="A463" s="2" t="inlineStr">
        <is>
          <t>debt-due-3y</t>
        </is>
      </c>
      <c r="B463" s="2" t="inlineStr">
        <is>
          <t>2023-10-29</t>
        </is>
      </c>
      <c r="C463" s="2" t="inlineStr">
        <is>
          <t>maturity_y2</t>
        </is>
      </c>
      <c r="D463" s="2" t="inlineStr">
        <is>
          <t>maturity_y2</t>
        </is>
      </c>
      <c r="E463" s="2" t="inlineStr">
        <is>
          <t>2023-10-29</t>
        </is>
      </c>
      <c r="F463" s="3" t="n">
        <v>495000000</v>
      </c>
      <c r="G463" s="8" t="b">
        <v>0</v>
      </c>
      <c r="H463" s="2" t="inlineStr"/>
      <c r="I463" s="8" t="b">
        <v>0</v>
      </c>
      <c r="J463" s="2" t="inlineStr">
        <is>
          <t>https://www.sec.gov/Archives/edgar/data/1730168/000173016823000096/0001730168-23-000096-index.html</t>
        </is>
      </c>
      <c r="K463" s="2" t="inlineStr">
        <is>
          <t>USD</t>
        </is>
      </c>
    </row>
    <row r="464" ht="42" customHeight="1">
      <c r="A464" s="2" t="inlineStr">
        <is>
          <t>debt-due-3y</t>
        </is>
      </c>
      <c r="B464" s="2" t="inlineStr">
        <is>
          <t>2023-10-29</t>
        </is>
      </c>
      <c r="C464" s="2" t="inlineStr">
        <is>
          <t>maturity_y3</t>
        </is>
      </c>
      <c r="D464" s="2" t="inlineStr">
        <is>
          <t>maturity_y3</t>
        </is>
      </c>
      <c r="E464" s="2" t="inlineStr">
        <is>
          <t>2023-10-29</t>
        </is>
      </c>
      <c r="F464" s="3" t="n">
        <v>1652000000</v>
      </c>
      <c r="G464" s="8" t="b">
        <v>0</v>
      </c>
      <c r="H464" s="2" t="inlineStr"/>
      <c r="I464" s="8" t="b">
        <v>0</v>
      </c>
      <c r="J464" s="2" t="inlineStr">
        <is>
          <t>https://www.sec.gov/Archives/edgar/data/1730168/000173016823000096/0001730168-23-000096-index.html</t>
        </is>
      </c>
      <c r="K464" s="2" t="inlineStr">
        <is>
          <t>USD</t>
        </is>
      </c>
    </row>
    <row r="465" ht="42" customHeight="1">
      <c r="A465" s="2" t="inlineStr">
        <is>
          <t>revenue-growth</t>
        </is>
      </c>
      <c r="B465" s="2" t="inlineStr">
        <is>
          <t>2024-11-03</t>
        </is>
      </c>
      <c r="C465" s="2" t="inlineStr">
        <is>
          <t>revenue</t>
        </is>
      </c>
      <c r="D465" s="2" t="inlineStr">
        <is>
          <t>revenue</t>
        </is>
      </c>
      <c r="E465" s="2" t="inlineStr">
        <is>
          <t>2024-11-03</t>
        </is>
      </c>
      <c r="F465" s="3" t="n">
        <v>50600905660.37736</v>
      </c>
      <c r="G465" s="8" t="b">
        <v>0</v>
      </c>
      <c r="H465" s="2" t="inlineStr"/>
      <c r="I465" s="8" t="b">
        <v>0</v>
      </c>
      <c r="J465" s="2" t="inlineStr">
        <is>
          <t>https://www.sec.gov/Archives/edgar/data/1730168/000173016825000121/0001730168-25-000121-index.html
Transformed calculation input: differs from the raw filing value; see formula and flags.</t>
        </is>
      </c>
      <c r="K465" s="2" t="inlineStr">
        <is>
          <t>USD</t>
        </is>
      </c>
    </row>
    <row r="466" ht="42" customHeight="1">
      <c r="A466" s="2" t="inlineStr">
        <is>
          <t>revenue-growth</t>
        </is>
      </c>
      <c r="B466" s="2" t="inlineStr">
        <is>
          <t>2024-11-03</t>
        </is>
      </c>
      <c r="C466" s="2" t="inlineStr">
        <is>
          <t>previous_revenue</t>
        </is>
      </c>
      <c r="D466" s="2" t="inlineStr">
        <is>
          <t>revenue</t>
        </is>
      </c>
      <c r="E466" s="2" t="inlineStr">
        <is>
          <t>2023-10-29</t>
        </is>
      </c>
      <c r="F466" s="3" t="n">
        <v>35819000000</v>
      </c>
      <c r="G466" s="8" t="b">
        <v>0</v>
      </c>
      <c r="H466" s="2" t="inlineStr"/>
      <c r="I466" s="8" t="b">
        <v>0</v>
      </c>
      <c r="J466" s="2" t="inlineStr">
        <is>
          <t>https://www.sec.gov/Archives/edgar/data/1730168/000173016825000121/0001730168-25-000121-index.html</t>
        </is>
      </c>
      <c r="K466" s="2" t="inlineStr">
        <is>
          <t>USD</t>
        </is>
      </c>
    </row>
    <row r="467" ht="42" customHeight="1">
      <c r="A467" s="2" t="inlineStr">
        <is>
          <t>gross-margin</t>
        </is>
      </c>
      <c r="B467" s="2" t="inlineStr">
        <is>
          <t>2024-11-03</t>
        </is>
      </c>
      <c r="C467" s="2" t="inlineStr">
        <is>
          <t>gross_profit</t>
        </is>
      </c>
      <c r="D467" s="2" t="inlineStr">
        <is>
          <t>gross_profit</t>
        </is>
      </c>
      <c r="E467" s="2" t="inlineStr">
        <is>
          <t>2024-11-03</t>
        </is>
      </c>
      <c r="F467" s="3" t="n">
        <v>32509000000</v>
      </c>
      <c r="G467" s="8" t="b">
        <v>0</v>
      </c>
      <c r="H467" s="2" t="inlineStr"/>
      <c r="I467" s="8" t="b">
        <v>0</v>
      </c>
      <c r="J467" s="2" t="inlineStr">
        <is>
          <t>https://www.sec.gov/Archives/edgar/data/1730168/000173016825000121/0001730168-25-000121-index.html</t>
        </is>
      </c>
      <c r="K467" s="2" t="inlineStr">
        <is>
          <t>USD</t>
        </is>
      </c>
    </row>
    <row r="468" ht="42" customHeight="1">
      <c r="A468" s="2" t="inlineStr">
        <is>
          <t>gross-margin</t>
        </is>
      </c>
      <c r="B468" s="2" t="inlineStr">
        <is>
          <t>2024-11-03</t>
        </is>
      </c>
      <c r="C468" s="2" t="inlineStr">
        <is>
          <t>revenue</t>
        </is>
      </c>
      <c r="D468" s="2" t="inlineStr">
        <is>
          <t>revenue</t>
        </is>
      </c>
      <c r="E468" s="2" t="inlineStr">
        <is>
          <t>2024-11-03</t>
        </is>
      </c>
      <c r="F468" s="3" t="n">
        <v>51574000000</v>
      </c>
      <c r="G468" s="8" t="b">
        <v>0</v>
      </c>
      <c r="H468" s="2" t="inlineStr"/>
      <c r="I468" s="8" t="b">
        <v>0</v>
      </c>
      <c r="J468" s="2" t="inlineStr">
        <is>
          <t>https://www.sec.gov/Archives/edgar/data/1730168/000173016825000121/0001730168-25-000121-index.html</t>
        </is>
      </c>
      <c r="K468" s="2" t="inlineStr">
        <is>
          <t>USD</t>
        </is>
      </c>
    </row>
    <row r="469" ht="42" customHeight="1">
      <c r="A469" s="2" t="inlineStr">
        <is>
          <t>operating-margin</t>
        </is>
      </c>
      <c r="B469" s="2" t="inlineStr">
        <is>
          <t>2024-11-03</t>
        </is>
      </c>
      <c r="C469" s="2" t="inlineStr">
        <is>
          <t>operating_income</t>
        </is>
      </c>
      <c r="D469" s="2" t="inlineStr">
        <is>
          <t>operating_income</t>
        </is>
      </c>
      <c r="E469" s="2" t="inlineStr">
        <is>
          <t>2024-11-03</t>
        </is>
      </c>
      <c r="F469" s="3" t="n">
        <v>13463000000</v>
      </c>
      <c r="G469" s="8" t="b">
        <v>0</v>
      </c>
      <c r="H469" s="2" t="inlineStr"/>
      <c r="I469" s="8" t="b">
        <v>0</v>
      </c>
      <c r="J469" s="2" t="inlineStr">
        <is>
          <t>https://www.sec.gov/Archives/edgar/data/1730168/000173016825000121/0001730168-25-000121-index.html</t>
        </is>
      </c>
      <c r="K469" s="2" t="inlineStr">
        <is>
          <t>USD</t>
        </is>
      </c>
    </row>
    <row r="470" ht="42" customHeight="1">
      <c r="A470" s="2" t="inlineStr">
        <is>
          <t>operating-margin</t>
        </is>
      </c>
      <c r="B470" s="2" t="inlineStr">
        <is>
          <t>2024-11-03</t>
        </is>
      </c>
      <c r="C470" s="2" t="inlineStr">
        <is>
          <t>revenue</t>
        </is>
      </c>
      <c r="D470" s="2" t="inlineStr">
        <is>
          <t>revenue</t>
        </is>
      </c>
      <c r="E470" s="2" t="inlineStr">
        <is>
          <t>2024-11-03</t>
        </is>
      </c>
      <c r="F470" s="3" t="n">
        <v>51574000000</v>
      </c>
      <c r="G470" s="8" t="b">
        <v>0</v>
      </c>
      <c r="H470" s="2" t="inlineStr"/>
      <c r="I470" s="8" t="b">
        <v>0</v>
      </c>
      <c r="J470" s="2" t="inlineStr">
        <is>
          <t>https://www.sec.gov/Archives/edgar/data/1730168/000173016825000121/0001730168-25-000121-index.html</t>
        </is>
      </c>
      <c r="K470" s="2" t="inlineStr">
        <is>
          <t>USD</t>
        </is>
      </c>
    </row>
    <row r="471" ht="42" customHeight="1">
      <c r="A471" s="2" t="inlineStr">
        <is>
          <t>net-margin</t>
        </is>
      </c>
      <c r="B471" s="2" t="inlineStr">
        <is>
          <t>2024-11-03</t>
        </is>
      </c>
      <c r="C471" s="2" t="inlineStr">
        <is>
          <t>net_income</t>
        </is>
      </c>
      <c r="D471" s="2" t="inlineStr">
        <is>
          <t>net_income</t>
        </is>
      </c>
      <c r="E471" s="2" t="inlineStr">
        <is>
          <t>2024-11-03</t>
        </is>
      </c>
      <c r="F471" s="3" t="n">
        <v>5895000000</v>
      </c>
      <c r="G471" s="8" t="b">
        <v>0</v>
      </c>
      <c r="H471" s="2" t="inlineStr"/>
      <c r="I471" s="8" t="b">
        <v>0</v>
      </c>
      <c r="J471" s="2" t="inlineStr">
        <is>
          <t>https://www.sec.gov/Archives/edgar/data/1730168/000173016824000139/0001730168-24-000139-index.html</t>
        </is>
      </c>
      <c r="K471" s="2" t="inlineStr">
        <is>
          <t>USD</t>
        </is>
      </c>
    </row>
    <row r="472" ht="42" customHeight="1">
      <c r="A472" s="2" t="inlineStr">
        <is>
          <t>net-margin</t>
        </is>
      </c>
      <c r="B472" s="2" t="inlineStr">
        <is>
          <t>2024-11-03</t>
        </is>
      </c>
      <c r="C472" s="2" t="inlineStr">
        <is>
          <t>revenue</t>
        </is>
      </c>
      <c r="D472" s="2" t="inlineStr">
        <is>
          <t>revenue</t>
        </is>
      </c>
      <c r="E472" s="2" t="inlineStr">
        <is>
          <t>2024-11-03</t>
        </is>
      </c>
      <c r="F472" s="3" t="n">
        <v>51574000000</v>
      </c>
      <c r="G472" s="8" t="b">
        <v>0</v>
      </c>
      <c r="H472" s="2" t="inlineStr"/>
      <c r="I472" s="8" t="b">
        <v>0</v>
      </c>
      <c r="J472" s="2" t="inlineStr">
        <is>
          <t>https://www.sec.gov/Archives/edgar/data/1730168/000173016825000121/0001730168-25-000121-index.html</t>
        </is>
      </c>
      <c r="K472" s="2" t="inlineStr">
        <is>
          <t>USD</t>
        </is>
      </c>
    </row>
    <row r="473" ht="42" customHeight="1">
      <c r="A473" s="2" t="inlineStr">
        <is>
          <t>fcf</t>
        </is>
      </c>
      <c r="B473" s="2" t="inlineStr">
        <is>
          <t>2024-11-03</t>
        </is>
      </c>
      <c r="C473" s="2" t="inlineStr">
        <is>
          <t>ocf</t>
        </is>
      </c>
      <c r="D473" s="2" t="inlineStr">
        <is>
          <t>ocf</t>
        </is>
      </c>
      <c r="E473" s="2" t="inlineStr">
        <is>
          <t>2024-11-03</t>
        </is>
      </c>
      <c r="F473" s="3" t="n">
        <v>19962000000</v>
      </c>
      <c r="G473" s="8" t="b">
        <v>0</v>
      </c>
      <c r="H473" s="2" t="inlineStr"/>
      <c r="I473" s="8" t="b">
        <v>0</v>
      </c>
      <c r="J473" s="2" t="inlineStr">
        <is>
          <t>https://www.sec.gov/Archives/edgar/data/1730168/000173016825000121/0001730168-25-000121-index.html</t>
        </is>
      </c>
      <c r="K473" s="2" t="inlineStr">
        <is>
          <t>USD</t>
        </is>
      </c>
    </row>
    <row r="474" ht="42" customHeight="1">
      <c r="A474" s="2" t="inlineStr">
        <is>
          <t>fcf</t>
        </is>
      </c>
      <c r="B474" s="2" t="inlineStr">
        <is>
          <t>2024-11-03</t>
        </is>
      </c>
      <c r="C474" s="2" t="inlineStr">
        <is>
          <t>capex</t>
        </is>
      </c>
      <c r="D474" s="2" t="inlineStr">
        <is>
          <t>capex</t>
        </is>
      </c>
      <c r="E474" s="2" t="inlineStr">
        <is>
          <t>2024-11-03</t>
        </is>
      </c>
      <c r="F474" s="3" t="n">
        <v>548000000</v>
      </c>
      <c r="G474" s="8" t="b">
        <v>0</v>
      </c>
      <c r="H474" s="2" t="inlineStr"/>
      <c r="I474" s="8" t="b">
        <v>0</v>
      </c>
      <c r="J474" s="2" t="inlineStr">
        <is>
          <t>https://www.sec.gov/Archives/edgar/data/1730168/000173016825000121/0001730168-25-000121-index.html</t>
        </is>
      </c>
      <c r="K474" s="2" t="inlineStr">
        <is>
          <t>USD</t>
        </is>
      </c>
    </row>
    <row r="475" ht="42" customHeight="1">
      <c r="A475" s="2" t="inlineStr">
        <is>
          <t>fcf-margin</t>
        </is>
      </c>
      <c r="B475" s="2" t="inlineStr">
        <is>
          <t>2024-11-03</t>
        </is>
      </c>
      <c r="C475" s="2" t="inlineStr">
        <is>
          <t>ocf</t>
        </is>
      </c>
      <c r="D475" s="2" t="inlineStr">
        <is>
          <t>ocf</t>
        </is>
      </c>
      <c r="E475" s="2" t="inlineStr">
        <is>
          <t>2024-11-03</t>
        </is>
      </c>
      <c r="F475" s="3" t="n">
        <v>19962000000</v>
      </c>
      <c r="G475" s="8" t="b">
        <v>0</v>
      </c>
      <c r="H475" s="2" t="inlineStr"/>
      <c r="I475" s="8" t="b">
        <v>0</v>
      </c>
      <c r="J475" s="2" t="inlineStr">
        <is>
          <t>https://www.sec.gov/Archives/edgar/data/1730168/000173016825000121/0001730168-25-000121-index.html</t>
        </is>
      </c>
      <c r="K475" s="2" t="inlineStr">
        <is>
          <t>USD</t>
        </is>
      </c>
    </row>
    <row r="476" ht="42" customHeight="1">
      <c r="A476" s="2" t="inlineStr">
        <is>
          <t>fcf-margin</t>
        </is>
      </c>
      <c r="B476" s="2" t="inlineStr">
        <is>
          <t>2024-11-03</t>
        </is>
      </c>
      <c r="C476" s="2" t="inlineStr">
        <is>
          <t>capex</t>
        </is>
      </c>
      <c r="D476" s="2" t="inlineStr">
        <is>
          <t>capex</t>
        </is>
      </c>
      <c r="E476" s="2" t="inlineStr">
        <is>
          <t>2024-11-03</t>
        </is>
      </c>
      <c r="F476" s="3" t="n">
        <v>548000000</v>
      </c>
      <c r="G476" s="8" t="b">
        <v>0</v>
      </c>
      <c r="H476" s="2" t="inlineStr"/>
      <c r="I476" s="8" t="b">
        <v>0</v>
      </c>
      <c r="J476" s="2" t="inlineStr">
        <is>
          <t>https://www.sec.gov/Archives/edgar/data/1730168/000173016825000121/0001730168-25-000121-index.html</t>
        </is>
      </c>
      <c r="K476" s="2" t="inlineStr">
        <is>
          <t>USD</t>
        </is>
      </c>
    </row>
    <row r="477" ht="42" customHeight="1">
      <c r="A477" s="2" t="inlineStr">
        <is>
          <t>fcf-margin</t>
        </is>
      </c>
      <c r="B477" s="2" t="inlineStr">
        <is>
          <t>2024-11-03</t>
        </is>
      </c>
      <c r="C477" s="2" t="inlineStr">
        <is>
          <t>revenue</t>
        </is>
      </c>
      <c r="D477" s="2" t="inlineStr">
        <is>
          <t>revenue</t>
        </is>
      </c>
      <c r="E477" s="2" t="inlineStr">
        <is>
          <t>2024-11-03</t>
        </is>
      </c>
      <c r="F477" s="3" t="n">
        <v>51574000000</v>
      </c>
      <c r="G477" s="8" t="b">
        <v>0</v>
      </c>
      <c r="H477" s="2" t="inlineStr"/>
      <c r="I477" s="8" t="b">
        <v>0</v>
      </c>
      <c r="J477" s="2" t="inlineStr">
        <is>
          <t>https://www.sec.gov/Archives/edgar/data/1730168/000173016825000121/0001730168-25-000121-index.html</t>
        </is>
      </c>
      <c r="K477" s="2" t="inlineStr">
        <is>
          <t>USD</t>
        </is>
      </c>
    </row>
    <row r="478" ht="42" customHeight="1">
      <c r="A478" s="2" t="inlineStr">
        <is>
          <t>fcff</t>
        </is>
      </c>
      <c r="B478" s="2" t="inlineStr">
        <is>
          <t>2024-11-03</t>
        </is>
      </c>
      <c r="C478" s="2" t="inlineStr">
        <is>
          <t>ocf</t>
        </is>
      </c>
      <c r="D478" s="2" t="inlineStr">
        <is>
          <t>ocf</t>
        </is>
      </c>
      <c r="E478" s="2" t="inlineStr">
        <is>
          <t>2024-11-03</t>
        </is>
      </c>
      <c r="F478" s="3" t="n">
        <v>19962000000</v>
      </c>
      <c r="G478" s="8" t="b">
        <v>0</v>
      </c>
      <c r="H478" s="2" t="inlineStr"/>
      <c r="I478" s="8" t="b">
        <v>0</v>
      </c>
      <c r="J478" s="2" t="inlineStr">
        <is>
          <t>https://www.sec.gov/Archives/edgar/data/1730168/000173016825000121/0001730168-25-000121-index.html</t>
        </is>
      </c>
      <c r="K478" s="2" t="inlineStr">
        <is>
          <t>USD</t>
        </is>
      </c>
    </row>
    <row r="479" ht="42" customHeight="1">
      <c r="A479" s="2" t="inlineStr">
        <is>
          <t>fcff</t>
        </is>
      </c>
      <c r="B479" s="2" t="inlineStr">
        <is>
          <t>2024-11-03</t>
        </is>
      </c>
      <c r="C479" s="2" t="inlineStr">
        <is>
          <t>capex</t>
        </is>
      </c>
      <c r="D479" s="2" t="inlineStr">
        <is>
          <t>capex</t>
        </is>
      </c>
      <c r="E479" s="2" t="inlineStr">
        <is>
          <t>2024-11-03</t>
        </is>
      </c>
      <c r="F479" s="3" t="n">
        <v>548000000</v>
      </c>
      <c r="G479" s="8" t="b">
        <v>0</v>
      </c>
      <c r="H479" s="2" t="inlineStr"/>
      <c r="I479" s="8" t="b">
        <v>0</v>
      </c>
      <c r="J479" s="2" t="inlineStr">
        <is>
          <t>https://www.sec.gov/Archives/edgar/data/1730168/000173016825000121/0001730168-25-000121-index.html</t>
        </is>
      </c>
      <c r="K479" s="2" t="inlineStr">
        <is>
          <t>USD</t>
        </is>
      </c>
    </row>
    <row r="480" ht="42" customHeight="1">
      <c r="A480" s="2" t="inlineStr">
        <is>
          <t>fcff</t>
        </is>
      </c>
      <c r="B480" s="2" t="inlineStr">
        <is>
          <t>2024-11-03</t>
        </is>
      </c>
      <c r="C480" s="2" t="inlineStr">
        <is>
          <t>interest_expense</t>
        </is>
      </c>
      <c r="D480" s="2" t="inlineStr">
        <is>
          <t>interest_expense</t>
        </is>
      </c>
      <c r="E480" s="2" t="inlineStr">
        <is>
          <t>2024-11-03</t>
        </is>
      </c>
      <c r="F480" s="3" t="n">
        <v>3953000000</v>
      </c>
      <c r="G480" s="8" t="b">
        <v>0</v>
      </c>
      <c r="H480" s="2" t="inlineStr"/>
      <c r="I480" s="8" t="b">
        <v>0</v>
      </c>
      <c r="J480" s="2" t="inlineStr">
        <is>
          <t>https://www.sec.gov/Archives/edgar/data/1730168/000173016824000139/0001730168-24-000139-index.html</t>
        </is>
      </c>
      <c r="K480" s="2" t="inlineStr">
        <is>
          <t>USD</t>
        </is>
      </c>
    </row>
    <row r="481" ht="42" customHeight="1">
      <c r="A481" s="2" t="inlineStr">
        <is>
          <t>fcff</t>
        </is>
      </c>
      <c r="B481" s="2" t="inlineStr">
        <is>
          <t>2024-11-03</t>
        </is>
      </c>
      <c r="C481" s="2" t="inlineStr">
        <is>
          <t>tax_rate</t>
        </is>
      </c>
      <c r="D481" s="2" t="inlineStr">
        <is>
          <t>tax_rate</t>
        </is>
      </c>
      <c r="E481" s="2" t="inlineStr">
        <is>
          <t>2024-11-03</t>
        </is>
      </c>
      <c r="F481" s="3" t="n">
        <v>0.35</v>
      </c>
      <c r="G481" s="8" t="b">
        <v>0</v>
      </c>
      <c r="H481" s="2" t="inlineStr"/>
      <c r="I481" s="8" t="b">
        <v>0</v>
      </c>
      <c r="J481" s="2" t="inlineStr">
        <is>
          <t>Derived or model input; see parent calculation formula and model assumptions.</t>
        </is>
      </c>
      <c r="K481" s="2" t="inlineStr">
        <is>
          <t>ratio (decimal)</t>
        </is>
      </c>
    </row>
    <row r="482" ht="42" customHeight="1">
      <c r="A482" s="2" t="inlineStr">
        <is>
          <t>fcff</t>
        </is>
      </c>
      <c r="B482" s="2" t="inlineStr">
        <is>
          <t>2024-11-03</t>
        </is>
      </c>
      <c r="C482" s="2" t="inlineStr">
        <is>
          <t>sbc</t>
        </is>
      </c>
      <c r="D482" s="2" t="inlineStr">
        <is>
          <t>sbc</t>
        </is>
      </c>
      <c r="E482" s="2" t="inlineStr">
        <is>
          <t>2024-11-03</t>
        </is>
      </c>
      <c r="F482" s="3" t="n">
        <v>5741000000</v>
      </c>
      <c r="G482" s="8" t="b">
        <v>0</v>
      </c>
      <c r="H482" s="2" t="inlineStr"/>
      <c r="I482" s="8" t="b">
        <v>0</v>
      </c>
      <c r="J482" s="2" t="inlineStr">
        <is>
          <t>https://www.sec.gov/Archives/edgar/data/1730168/000173016825000121/0001730168-25-000121-index.html</t>
        </is>
      </c>
      <c r="K482" s="2" t="inlineStr">
        <is>
          <t>USD</t>
        </is>
      </c>
    </row>
    <row r="483" ht="42" customHeight="1">
      <c r="A483" s="2" t="inlineStr">
        <is>
          <t>fcfe</t>
        </is>
      </c>
      <c r="B483" s="2" t="inlineStr">
        <is>
          <t>2024-11-03</t>
        </is>
      </c>
      <c r="C483" s="2" t="inlineStr">
        <is>
          <t>net_income</t>
        </is>
      </c>
      <c r="D483" s="2" t="inlineStr">
        <is>
          <t>net_income</t>
        </is>
      </c>
      <c r="E483" s="2" t="inlineStr">
        <is>
          <t>2024-11-03</t>
        </is>
      </c>
      <c r="F483" s="3" t="n">
        <v>5895000000</v>
      </c>
      <c r="G483" s="8" t="b">
        <v>0</v>
      </c>
      <c r="H483" s="2" t="inlineStr"/>
      <c r="I483" s="8" t="b">
        <v>0</v>
      </c>
      <c r="J483" s="2" t="inlineStr">
        <is>
          <t>https://www.sec.gov/Archives/edgar/data/1730168/000173016824000139/0001730168-24-000139-index.html</t>
        </is>
      </c>
      <c r="K483" s="2" t="inlineStr">
        <is>
          <t>USD</t>
        </is>
      </c>
    </row>
    <row r="484" ht="42" customHeight="1">
      <c r="A484" s="2" t="inlineStr">
        <is>
          <t>fcfe</t>
        </is>
      </c>
      <c r="B484" s="2" t="inlineStr">
        <is>
          <t>2024-11-03</t>
        </is>
      </c>
      <c r="C484" s="2" t="inlineStr">
        <is>
          <t>d_and_a</t>
        </is>
      </c>
      <c r="D484" s="2" t="inlineStr">
        <is>
          <t>d_and_a</t>
        </is>
      </c>
      <c r="E484" s="2" t="inlineStr">
        <is>
          <t>2024-11-03</t>
        </is>
      </c>
      <c r="F484" s="3" t="n">
        <v>9860000000</v>
      </c>
      <c r="G484" s="8" t="b">
        <v>0</v>
      </c>
      <c r="H484" s="2" t="inlineStr"/>
      <c r="I484" s="8" t="b">
        <v>0</v>
      </c>
      <c r="J484" s="2" t="inlineStr">
        <is>
          <t>https://www.sec.gov/Archives/edgar/data/1730168/000173016825000121/0001730168-25-000121-index.html</t>
        </is>
      </c>
      <c r="K484" s="2" t="inlineStr">
        <is>
          <t>USD</t>
        </is>
      </c>
    </row>
    <row r="485" ht="42" customHeight="1">
      <c r="A485" s="2" t="inlineStr">
        <is>
          <t>fcfe</t>
        </is>
      </c>
      <c r="B485" s="2" t="inlineStr">
        <is>
          <t>2024-11-03</t>
        </is>
      </c>
      <c r="C485" s="2" t="inlineStr">
        <is>
          <t>capex</t>
        </is>
      </c>
      <c r="D485" s="2" t="inlineStr">
        <is>
          <t>capex</t>
        </is>
      </c>
      <c r="E485" s="2" t="inlineStr">
        <is>
          <t>2024-11-03</t>
        </is>
      </c>
      <c r="F485" s="3" t="n">
        <v>548000000</v>
      </c>
      <c r="G485" s="8" t="b">
        <v>0</v>
      </c>
      <c r="H485" s="2" t="inlineStr"/>
      <c r="I485" s="8" t="b">
        <v>0</v>
      </c>
      <c r="J485" s="2" t="inlineStr">
        <is>
          <t>https://www.sec.gov/Archives/edgar/data/1730168/000173016825000121/0001730168-25-000121-index.html</t>
        </is>
      </c>
      <c r="K485" s="2" t="inlineStr">
        <is>
          <t>USD</t>
        </is>
      </c>
    </row>
    <row r="486" ht="42" customHeight="1">
      <c r="A486" s="2" t="inlineStr">
        <is>
          <t>fcfe</t>
        </is>
      </c>
      <c r="B486" s="2" t="inlineStr">
        <is>
          <t>2024-11-03</t>
        </is>
      </c>
      <c r="C486" s="2" t="inlineStr">
        <is>
          <t>change_in_owc</t>
        </is>
      </c>
      <c r="D486" s="2" t="inlineStr">
        <is>
          <t>change_in_owc</t>
        </is>
      </c>
      <c r="E486" s="2" t="inlineStr">
        <is>
          <t>2024-11-03</t>
        </is>
      </c>
      <c r="F486" s="3" t="n">
        <v>672000000</v>
      </c>
      <c r="G486" s="8" t="b">
        <v>0</v>
      </c>
      <c r="H486" s="2" t="inlineStr"/>
      <c r="I486" s="8" t="b">
        <v>0</v>
      </c>
      <c r="J486" s="2" t="inlineStr">
        <is>
          <t>Derived or model input; see parent calculation formula and model assumptions.</t>
        </is>
      </c>
      <c r="K486" s="2" t="inlineStr">
        <is>
          <t>USD</t>
        </is>
      </c>
    </row>
    <row r="487" ht="42" customHeight="1">
      <c r="A487" s="2" t="inlineStr">
        <is>
          <t>fcfe</t>
        </is>
      </c>
      <c r="B487" s="2" t="inlineStr">
        <is>
          <t>2024-11-03</t>
        </is>
      </c>
      <c r="C487" s="2" t="inlineStr">
        <is>
          <t>debt_issued</t>
        </is>
      </c>
      <c r="D487" s="2" t="inlineStr">
        <is>
          <t>debt_issued</t>
        </is>
      </c>
      <c r="E487" s="2" t="inlineStr">
        <is>
          <t>2024-11-03</t>
        </is>
      </c>
      <c r="F487" s="3" t="n">
        <v>39954000000</v>
      </c>
      <c r="G487" s="8" t="b">
        <v>0</v>
      </c>
      <c r="H487" s="2" t="inlineStr"/>
      <c r="I487" s="8" t="b">
        <v>0</v>
      </c>
      <c r="J487" s="2" t="inlineStr">
        <is>
          <t>https://www.sec.gov/Archives/edgar/data/1730168/000173016825000121/0001730168-25-000121-index.html</t>
        </is>
      </c>
      <c r="K487" s="2" t="inlineStr">
        <is>
          <t>USD</t>
        </is>
      </c>
    </row>
    <row r="488" ht="42" customHeight="1">
      <c r="A488" s="2" t="inlineStr">
        <is>
          <t>fcfe</t>
        </is>
      </c>
      <c r="B488" s="2" t="inlineStr">
        <is>
          <t>2024-11-03</t>
        </is>
      </c>
      <c r="C488" s="2" t="inlineStr">
        <is>
          <t>debt_repaid</t>
        </is>
      </c>
      <c r="D488" s="2" t="inlineStr">
        <is>
          <t>debt_repaid</t>
        </is>
      </c>
      <c r="E488" s="2" t="inlineStr">
        <is>
          <t>2024-11-03</t>
        </is>
      </c>
      <c r="F488" s="3" t="n">
        <v>19608000000</v>
      </c>
      <c r="G488" s="8" t="b">
        <v>0</v>
      </c>
      <c r="H488" s="2" t="inlineStr"/>
      <c r="I488" s="8" t="b">
        <v>0</v>
      </c>
      <c r="J488" s="2" t="inlineStr">
        <is>
          <t>https://www.sec.gov/Archives/edgar/data/1730168/000173016825000121/0001730168-25-000121-index.html</t>
        </is>
      </c>
      <c r="K488" s="2" t="inlineStr">
        <is>
          <t>USD</t>
        </is>
      </c>
    </row>
    <row r="489" ht="42" customHeight="1">
      <c r="A489" s="2" t="inlineStr">
        <is>
          <t>owner-earnings</t>
        </is>
      </c>
      <c r="B489" s="2" t="inlineStr">
        <is>
          <t>2024-11-03</t>
        </is>
      </c>
      <c r="C489" s="2" t="inlineStr">
        <is>
          <t>net_income</t>
        </is>
      </c>
      <c r="D489" s="2" t="inlineStr">
        <is>
          <t>net_income</t>
        </is>
      </c>
      <c r="E489" s="2" t="inlineStr">
        <is>
          <t>2024-11-03</t>
        </is>
      </c>
      <c r="F489" s="3" t="n">
        <v>5895000000</v>
      </c>
      <c r="G489" s="8" t="b">
        <v>0</v>
      </c>
      <c r="H489" s="2" t="inlineStr"/>
      <c r="I489" s="8" t="b">
        <v>0</v>
      </c>
      <c r="J489" s="2" t="inlineStr">
        <is>
          <t>https://www.sec.gov/Archives/edgar/data/1730168/000173016824000139/0001730168-24-000139-index.html</t>
        </is>
      </c>
      <c r="K489" s="2" t="inlineStr">
        <is>
          <t>USD</t>
        </is>
      </c>
    </row>
    <row r="490" ht="42" customHeight="1">
      <c r="A490" s="2" t="inlineStr">
        <is>
          <t>owner-earnings</t>
        </is>
      </c>
      <c r="B490" s="2" t="inlineStr">
        <is>
          <t>2024-11-03</t>
        </is>
      </c>
      <c r="C490" s="2" t="inlineStr">
        <is>
          <t>d_and_a</t>
        </is>
      </c>
      <c r="D490" s="2" t="inlineStr">
        <is>
          <t>d_and_a</t>
        </is>
      </c>
      <c r="E490" s="2" t="inlineStr">
        <is>
          <t>2024-11-03</t>
        </is>
      </c>
      <c r="F490" s="3" t="n">
        <v>9860000000</v>
      </c>
      <c r="G490" s="8" t="b">
        <v>0</v>
      </c>
      <c r="H490" s="2" t="inlineStr"/>
      <c r="I490" s="8" t="b">
        <v>0</v>
      </c>
      <c r="J490" s="2" t="inlineStr">
        <is>
          <t>https://www.sec.gov/Archives/edgar/data/1730168/000173016825000121/0001730168-25-000121-index.html</t>
        </is>
      </c>
      <c r="K490" s="2" t="inlineStr">
        <is>
          <t>USD</t>
        </is>
      </c>
    </row>
    <row r="491" ht="42" customHeight="1">
      <c r="A491" s="2" t="inlineStr">
        <is>
          <t>owner-earnings</t>
        </is>
      </c>
      <c r="B491" s="2" t="inlineStr">
        <is>
          <t>2024-11-03</t>
        </is>
      </c>
      <c r="C491" s="2" t="inlineStr">
        <is>
          <t>change_in_owc</t>
        </is>
      </c>
      <c r="D491" s="2" t="inlineStr">
        <is>
          <t>change_in_owc</t>
        </is>
      </c>
      <c r="E491" s="2" t="inlineStr">
        <is>
          <t>2024-11-03</t>
        </is>
      </c>
      <c r="F491" s="3" t="n">
        <v>672000000</v>
      </c>
      <c r="G491" s="8" t="b">
        <v>0</v>
      </c>
      <c r="H491" s="2" t="inlineStr"/>
      <c r="I491" s="8" t="b">
        <v>0</v>
      </c>
      <c r="J491" s="2" t="inlineStr">
        <is>
          <t>Derived or model input; see parent calculation formula and model assumptions.</t>
        </is>
      </c>
      <c r="K491" s="2" t="inlineStr">
        <is>
          <t>USD</t>
        </is>
      </c>
    </row>
    <row r="492" ht="42" customHeight="1">
      <c r="A492" s="2" t="inlineStr">
        <is>
          <t>earnings-quality</t>
        </is>
      </c>
      <c r="B492" s="2" t="inlineStr">
        <is>
          <t>2024-11-03</t>
        </is>
      </c>
      <c r="C492" s="2" t="inlineStr">
        <is>
          <t>ocf</t>
        </is>
      </c>
      <c r="D492" s="2" t="inlineStr">
        <is>
          <t>ocf</t>
        </is>
      </c>
      <c r="E492" s="2" t="inlineStr">
        <is>
          <t>2024-11-03</t>
        </is>
      </c>
      <c r="F492" s="3" t="n">
        <v>19962000000</v>
      </c>
      <c r="G492" s="8" t="b">
        <v>0</v>
      </c>
      <c r="H492" s="2" t="inlineStr"/>
      <c r="I492" s="8" t="b">
        <v>0</v>
      </c>
      <c r="J492" s="2" t="inlineStr">
        <is>
          <t>https://www.sec.gov/Archives/edgar/data/1730168/000173016825000121/0001730168-25-000121-index.html</t>
        </is>
      </c>
      <c r="K492" s="2" t="inlineStr">
        <is>
          <t>USD</t>
        </is>
      </c>
    </row>
    <row r="493" ht="42" customHeight="1">
      <c r="A493" s="2" t="inlineStr">
        <is>
          <t>earnings-quality</t>
        </is>
      </c>
      <c r="B493" s="2" t="inlineStr">
        <is>
          <t>2024-11-03</t>
        </is>
      </c>
      <c r="C493" s="2" t="inlineStr">
        <is>
          <t>net_income</t>
        </is>
      </c>
      <c r="D493" s="2" t="inlineStr">
        <is>
          <t>net_income</t>
        </is>
      </c>
      <c r="E493" s="2" t="inlineStr">
        <is>
          <t>2024-11-03</t>
        </is>
      </c>
      <c r="F493" s="3" t="n">
        <v>5895000000</v>
      </c>
      <c r="G493" s="8" t="b">
        <v>0</v>
      </c>
      <c r="H493" s="2" t="inlineStr"/>
      <c r="I493" s="8" t="b">
        <v>0</v>
      </c>
      <c r="J493" s="2" t="inlineStr">
        <is>
          <t>https://www.sec.gov/Archives/edgar/data/1730168/000173016824000139/0001730168-24-000139-index.html</t>
        </is>
      </c>
      <c r="K493" s="2" t="inlineStr">
        <is>
          <t>USD</t>
        </is>
      </c>
    </row>
    <row r="494" ht="42" customHeight="1">
      <c r="A494" s="2" t="inlineStr">
        <is>
          <t>ebitda</t>
        </is>
      </c>
      <c r="B494" s="2" t="inlineStr">
        <is>
          <t>2024-11-03</t>
        </is>
      </c>
      <c r="C494" s="2" t="inlineStr">
        <is>
          <t>operating_income</t>
        </is>
      </c>
      <c r="D494" s="2" t="inlineStr">
        <is>
          <t>operating_income</t>
        </is>
      </c>
      <c r="E494" s="2" t="inlineStr">
        <is>
          <t>2024-11-03</t>
        </is>
      </c>
      <c r="F494" s="3" t="n">
        <v>13463000000</v>
      </c>
      <c r="G494" s="8" t="b">
        <v>0</v>
      </c>
      <c r="H494" s="2" t="inlineStr"/>
      <c r="I494" s="8" t="b">
        <v>0</v>
      </c>
      <c r="J494" s="2" t="inlineStr">
        <is>
          <t>https://www.sec.gov/Archives/edgar/data/1730168/000173016825000121/0001730168-25-000121-index.html</t>
        </is>
      </c>
      <c r="K494" s="2" t="inlineStr">
        <is>
          <t>USD</t>
        </is>
      </c>
    </row>
    <row r="495" ht="42" customHeight="1">
      <c r="A495" s="2" t="inlineStr">
        <is>
          <t>ebitda</t>
        </is>
      </c>
      <c r="B495" s="2" t="inlineStr">
        <is>
          <t>2024-11-03</t>
        </is>
      </c>
      <c r="C495" s="2" t="inlineStr">
        <is>
          <t>d_and_a</t>
        </is>
      </c>
      <c r="D495" s="2" t="inlineStr">
        <is>
          <t>d_and_a</t>
        </is>
      </c>
      <c r="E495" s="2" t="inlineStr">
        <is>
          <t>2024-11-03</t>
        </is>
      </c>
      <c r="F495" s="3" t="n">
        <v>9860000000</v>
      </c>
      <c r="G495" s="8" t="b">
        <v>0</v>
      </c>
      <c r="H495" s="2" t="inlineStr"/>
      <c r="I495" s="8" t="b">
        <v>0</v>
      </c>
      <c r="J495" s="2" t="inlineStr">
        <is>
          <t>https://www.sec.gov/Archives/edgar/data/1730168/000173016825000121/0001730168-25-000121-index.html</t>
        </is>
      </c>
      <c r="K495" s="2" t="inlineStr">
        <is>
          <t>USD</t>
        </is>
      </c>
    </row>
    <row r="496" ht="42" customHeight="1">
      <c r="A496" s="2" t="inlineStr">
        <is>
          <t>nopat</t>
        </is>
      </c>
      <c r="B496" s="2" t="inlineStr">
        <is>
          <t>2024-11-03</t>
        </is>
      </c>
      <c r="C496" s="2" t="inlineStr">
        <is>
          <t>operating_income</t>
        </is>
      </c>
      <c r="D496" s="2" t="inlineStr">
        <is>
          <t>operating_income</t>
        </is>
      </c>
      <c r="E496" s="2" t="inlineStr">
        <is>
          <t>2024-11-03</t>
        </is>
      </c>
      <c r="F496" s="3" t="n">
        <v>13463000000</v>
      </c>
      <c r="G496" s="8" t="b">
        <v>0</v>
      </c>
      <c r="H496" s="2" t="inlineStr"/>
      <c r="I496" s="8" t="b">
        <v>0</v>
      </c>
      <c r="J496" s="2" t="inlineStr">
        <is>
          <t>https://www.sec.gov/Archives/edgar/data/1730168/000173016825000121/0001730168-25-000121-index.html</t>
        </is>
      </c>
      <c r="K496" s="2" t="inlineStr">
        <is>
          <t>USD</t>
        </is>
      </c>
    </row>
    <row r="497" ht="42" customHeight="1">
      <c r="A497" s="2" t="inlineStr">
        <is>
          <t>nopat</t>
        </is>
      </c>
      <c r="B497" s="2" t="inlineStr">
        <is>
          <t>2024-11-03</t>
        </is>
      </c>
      <c r="C497" s="2" t="inlineStr">
        <is>
          <t>tax_rate</t>
        </is>
      </c>
      <c r="D497" s="2" t="inlineStr">
        <is>
          <t>tax_rate</t>
        </is>
      </c>
      <c r="E497" s="2" t="inlineStr">
        <is>
          <t>2024-11-03</t>
        </is>
      </c>
      <c r="F497" s="3" t="n">
        <v>0.35</v>
      </c>
      <c r="G497" s="8" t="b">
        <v>0</v>
      </c>
      <c r="H497" s="2" t="inlineStr"/>
      <c r="I497" s="8" t="b">
        <v>0</v>
      </c>
      <c r="J497" s="2" t="inlineStr">
        <is>
          <t>Derived or model input; see parent calculation formula and model assumptions.</t>
        </is>
      </c>
      <c r="K497" s="2" t="inlineStr">
        <is>
          <t>ratio (decimal)</t>
        </is>
      </c>
    </row>
    <row r="498" ht="42" customHeight="1">
      <c r="A498" s="2" t="inlineStr">
        <is>
          <t>invested-capital</t>
        </is>
      </c>
      <c r="B498" s="2" t="inlineStr">
        <is>
          <t>2024-11-03</t>
        </is>
      </c>
      <c r="C498" s="2" t="inlineStr">
        <is>
          <t>equity</t>
        </is>
      </c>
      <c r="D498" s="2" t="inlineStr">
        <is>
          <t>equity</t>
        </is>
      </c>
      <c r="E498" s="2" t="inlineStr">
        <is>
          <t>2024-11-03</t>
        </is>
      </c>
      <c r="F498" s="3" t="n">
        <v>67678000000</v>
      </c>
      <c r="G498" s="8" t="b">
        <v>0</v>
      </c>
      <c r="H498" s="2" t="inlineStr"/>
      <c r="I498" s="8" t="b">
        <v>0</v>
      </c>
      <c r="J498" s="2" t="inlineStr">
        <is>
          <t>https://www.sec.gov/Archives/edgar/data/1730168/000173016825000121/0001730168-25-000121-index.html</t>
        </is>
      </c>
      <c r="K498" s="2" t="inlineStr">
        <is>
          <t>USD</t>
        </is>
      </c>
    </row>
    <row r="499" ht="42" customHeight="1">
      <c r="A499" s="2" t="inlineStr">
        <is>
          <t>invested-capital</t>
        </is>
      </c>
      <c r="B499" s="2" t="inlineStr">
        <is>
          <t>2024-11-03</t>
        </is>
      </c>
      <c r="C499" s="2" t="inlineStr">
        <is>
          <t>debt</t>
        </is>
      </c>
      <c r="D499" s="2" t="inlineStr">
        <is>
          <t>debt</t>
        </is>
      </c>
      <c r="E499" s="2" t="inlineStr">
        <is>
          <t>2024-11-03</t>
        </is>
      </c>
      <c r="F499" s="3" t="n">
        <v>67540000000</v>
      </c>
      <c r="G499" s="8" t="b">
        <v>0</v>
      </c>
      <c r="H499" s="2" t="inlineStr"/>
      <c r="I499" s="8" t="b">
        <v>0</v>
      </c>
      <c r="J499" s="2" t="inlineStr">
        <is>
          <t>Derived or model input; see parent calculation formula and model assumptions.</t>
        </is>
      </c>
      <c r="K499" s="2" t="inlineStr">
        <is>
          <t>USD</t>
        </is>
      </c>
    </row>
    <row r="500" ht="42" customHeight="1">
      <c r="A500" s="2" t="inlineStr">
        <is>
          <t>invested-capital</t>
        </is>
      </c>
      <c r="B500" s="2" t="inlineStr">
        <is>
          <t>2024-11-03</t>
        </is>
      </c>
      <c r="C500" s="2" t="inlineStr">
        <is>
          <t>cash_sti</t>
        </is>
      </c>
      <c r="D500" s="2" t="inlineStr">
        <is>
          <t>cash_sti</t>
        </is>
      </c>
      <c r="E500" s="2" t="inlineStr">
        <is>
          <t>2024-11-03</t>
        </is>
      </c>
      <c r="F500" s="3" t="n">
        <v>9348000000</v>
      </c>
      <c r="G500" s="8" t="b">
        <v>0</v>
      </c>
      <c r="H500" s="2" t="inlineStr"/>
      <c r="I500" s="8" t="b">
        <v>0</v>
      </c>
      <c r="J500" s="2" t="inlineStr">
        <is>
          <t>https://www.sec.gov/Archives/edgar/data/1730168/000173016825000121/0001730168-25-000121-index.html</t>
        </is>
      </c>
      <c r="K500" s="2" t="inlineStr">
        <is>
          <t>USD</t>
        </is>
      </c>
    </row>
    <row r="501" ht="42" customHeight="1">
      <c r="A501" s="2" t="inlineStr">
        <is>
          <t>roic</t>
        </is>
      </c>
      <c r="B501" s="2" t="inlineStr">
        <is>
          <t>2024-11-03</t>
        </is>
      </c>
      <c r="C501" s="2" t="inlineStr">
        <is>
          <t>operating_income</t>
        </is>
      </c>
      <c r="D501" s="2" t="inlineStr">
        <is>
          <t>operating_income</t>
        </is>
      </c>
      <c r="E501" s="2" t="inlineStr">
        <is>
          <t>2024-11-03</t>
        </is>
      </c>
      <c r="F501" s="3" t="n">
        <v>13463000000</v>
      </c>
      <c r="G501" s="8" t="b">
        <v>0</v>
      </c>
      <c r="H501" s="2" t="inlineStr"/>
      <c r="I501" s="8" t="b">
        <v>0</v>
      </c>
      <c r="J501" s="2" t="inlineStr">
        <is>
          <t>https://www.sec.gov/Archives/edgar/data/1730168/000173016825000121/0001730168-25-000121-index.html</t>
        </is>
      </c>
      <c r="K501" s="2" t="inlineStr">
        <is>
          <t>USD</t>
        </is>
      </c>
    </row>
    <row r="502" ht="42" customHeight="1">
      <c r="A502" s="2" t="inlineStr">
        <is>
          <t>roic</t>
        </is>
      </c>
      <c r="B502" s="2" t="inlineStr">
        <is>
          <t>2024-11-03</t>
        </is>
      </c>
      <c r="C502" s="2" t="inlineStr">
        <is>
          <t>tax_rate</t>
        </is>
      </c>
      <c r="D502" s="2" t="inlineStr">
        <is>
          <t>tax_rate</t>
        </is>
      </c>
      <c r="E502" s="2" t="inlineStr">
        <is>
          <t>2024-11-03</t>
        </is>
      </c>
      <c r="F502" s="3" t="n">
        <v>0.35</v>
      </c>
      <c r="G502" s="8" t="b">
        <v>0</v>
      </c>
      <c r="H502" s="2" t="inlineStr"/>
      <c r="I502" s="8" t="b">
        <v>0</v>
      </c>
      <c r="J502" s="2" t="inlineStr">
        <is>
          <t>Derived or model input; see parent calculation formula and model assumptions.</t>
        </is>
      </c>
      <c r="K502" s="2" t="inlineStr">
        <is>
          <t>ratio (decimal)</t>
        </is>
      </c>
    </row>
    <row r="503" ht="42" customHeight="1">
      <c r="A503" s="2" t="inlineStr">
        <is>
          <t>roic</t>
        </is>
      </c>
      <c r="B503" s="2" t="inlineStr">
        <is>
          <t>2024-11-03</t>
        </is>
      </c>
      <c r="C503" s="2" t="inlineStr">
        <is>
          <t>average_invested_capital</t>
        </is>
      </c>
      <c r="D503" s="2" t="inlineStr">
        <is>
          <t>average_invested_capital</t>
        </is>
      </c>
      <c r="E503" s="2" t="inlineStr">
        <is>
          <t>2024-11-03</t>
        </is>
      </c>
      <c r="F503" s="3" t="n">
        <v>87426500000</v>
      </c>
      <c r="G503" s="8" t="b">
        <v>0</v>
      </c>
      <c r="H503" s="2" t="inlineStr"/>
      <c r="I503" s="8" t="b">
        <v>0</v>
      </c>
      <c r="J503" s="2" t="inlineStr">
        <is>
          <t>Derived or model input; see parent calculation formula and model assumptions.</t>
        </is>
      </c>
      <c r="K503" s="2" t="inlineStr">
        <is>
          <t>USD</t>
        </is>
      </c>
    </row>
    <row r="504" ht="42" customHeight="1">
      <c r="A504" s="2" t="inlineStr">
        <is>
          <t>net-debt</t>
        </is>
      </c>
      <c r="B504" s="2" t="inlineStr">
        <is>
          <t>2024-11-03</t>
        </is>
      </c>
      <c r="C504" s="2" t="inlineStr">
        <is>
          <t>debt</t>
        </is>
      </c>
      <c r="D504" s="2" t="inlineStr">
        <is>
          <t>debt</t>
        </is>
      </c>
      <c r="E504" s="2" t="inlineStr">
        <is>
          <t>2024-11-03</t>
        </is>
      </c>
      <c r="F504" s="3" t="n">
        <v>67540000000</v>
      </c>
      <c r="G504" s="8" t="b">
        <v>0</v>
      </c>
      <c r="H504" s="2" t="inlineStr"/>
      <c r="I504" s="8" t="b">
        <v>0</v>
      </c>
      <c r="J504" s="2" t="inlineStr">
        <is>
          <t>Derived or model input; see parent calculation formula and model assumptions.</t>
        </is>
      </c>
      <c r="K504" s="2" t="inlineStr">
        <is>
          <t>USD</t>
        </is>
      </c>
    </row>
    <row r="505" ht="42" customHeight="1">
      <c r="A505" s="2" t="inlineStr">
        <is>
          <t>net-debt</t>
        </is>
      </c>
      <c r="B505" s="2" t="inlineStr">
        <is>
          <t>2024-11-03</t>
        </is>
      </c>
      <c r="C505" s="2" t="inlineStr">
        <is>
          <t>cash_sti</t>
        </is>
      </c>
      <c r="D505" s="2" t="inlineStr">
        <is>
          <t>cash_sti</t>
        </is>
      </c>
      <c r="E505" s="2" t="inlineStr">
        <is>
          <t>2024-11-03</t>
        </is>
      </c>
      <c r="F505" s="3" t="n">
        <v>9348000000</v>
      </c>
      <c r="G505" s="8" t="b">
        <v>0</v>
      </c>
      <c r="H505" s="2" t="inlineStr"/>
      <c r="I505" s="8" t="b">
        <v>0</v>
      </c>
      <c r="J505" s="2" t="inlineStr">
        <is>
          <t>https://www.sec.gov/Archives/edgar/data/1730168/000173016825000121/0001730168-25-000121-index.html</t>
        </is>
      </c>
      <c r="K505" s="2" t="inlineStr">
        <is>
          <t>USD</t>
        </is>
      </c>
    </row>
    <row r="506" ht="42" customHeight="1">
      <c r="A506" s="2" t="inlineStr">
        <is>
          <t>debt-ebitda</t>
        </is>
      </c>
      <c r="B506" s="2" t="inlineStr">
        <is>
          <t>2024-11-03</t>
        </is>
      </c>
      <c r="C506" s="2" t="inlineStr">
        <is>
          <t>debt</t>
        </is>
      </c>
      <c r="D506" s="2" t="inlineStr">
        <is>
          <t>debt</t>
        </is>
      </c>
      <c r="E506" s="2" t="inlineStr">
        <is>
          <t>2024-11-03</t>
        </is>
      </c>
      <c r="F506" s="3" t="n">
        <v>67540000000</v>
      </c>
      <c r="G506" s="8" t="b">
        <v>0</v>
      </c>
      <c r="H506" s="2" t="inlineStr"/>
      <c r="I506" s="8" t="b">
        <v>0</v>
      </c>
      <c r="J506" s="2" t="inlineStr">
        <is>
          <t>Derived or model input; see parent calculation formula and model assumptions.</t>
        </is>
      </c>
      <c r="K506" s="2" t="inlineStr">
        <is>
          <t>USD</t>
        </is>
      </c>
    </row>
    <row r="507" ht="42" customHeight="1">
      <c r="A507" s="2" t="inlineStr">
        <is>
          <t>debt-ebitda</t>
        </is>
      </c>
      <c r="B507" s="2" t="inlineStr">
        <is>
          <t>2024-11-03</t>
        </is>
      </c>
      <c r="C507" s="2" t="inlineStr">
        <is>
          <t>ebitda</t>
        </is>
      </c>
      <c r="D507" s="2" t="inlineStr">
        <is>
          <t>ebitda</t>
        </is>
      </c>
      <c r="E507" s="2" t="inlineStr">
        <is>
          <t>2024-11-03</t>
        </is>
      </c>
      <c r="F507" s="3" t="n">
        <v>23323000000</v>
      </c>
      <c r="G507" s="8" t="b">
        <v>0</v>
      </c>
      <c r="H507" s="2" t="inlineStr"/>
      <c r="I507" s="8" t="b">
        <v>0</v>
      </c>
      <c r="J507" s="2" t="inlineStr">
        <is>
          <t>Derived: ebitda @ 2024-11-03; see Calculations and Calc inputs.</t>
        </is>
      </c>
      <c r="K507" s="2" t="inlineStr">
        <is>
          <t>USD</t>
        </is>
      </c>
    </row>
    <row r="508" ht="42" customHeight="1">
      <c r="A508" s="2" t="inlineStr">
        <is>
          <t>interest-coverage</t>
        </is>
      </c>
      <c r="B508" s="2" t="inlineStr">
        <is>
          <t>2024-11-03</t>
        </is>
      </c>
      <c r="C508" s="2" t="inlineStr">
        <is>
          <t>operating_income</t>
        </is>
      </c>
      <c r="D508" s="2" t="inlineStr">
        <is>
          <t>operating_income</t>
        </is>
      </c>
      <c r="E508" s="2" t="inlineStr">
        <is>
          <t>2024-11-03</t>
        </is>
      </c>
      <c r="F508" s="3" t="n">
        <v>13463000000</v>
      </c>
      <c r="G508" s="8" t="b">
        <v>0</v>
      </c>
      <c r="H508" s="2" t="inlineStr"/>
      <c r="I508" s="8" t="b">
        <v>0</v>
      </c>
      <c r="J508" s="2" t="inlineStr">
        <is>
          <t>https://www.sec.gov/Archives/edgar/data/1730168/000173016825000121/0001730168-25-000121-index.html</t>
        </is>
      </c>
      <c r="K508" s="2" t="inlineStr">
        <is>
          <t>USD</t>
        </is>
      </c>
    </row>
    <row r="509" ht="42" customHeight="1">
      <c r="A509" s="2" t="inlineStr">
        <is>
          <t>interest-coverage</t>
        </is>
      </c>
      <c r="B509" s="2" t="inlineStr">
        <is>
          <t>2024-11-03</t>
        </is>
      </c>
      <c r="C509" s="2" t="inlineStr">
        <is>
          <t>interest_expense</t>
        </is>
      </c>
      <c r="D509" s="2" t="inlineStr">
        <is>
          <t>interest_expense</t>
        </is>
      </c>
      <c r="E509" s="2" t="inlineStr">
        <is>
          <t>2024-11-03</t>
        </is>
      </c>
      <c r="F509" s="3" t="n">
        <v>3953000000</v>
      </c>
      <c r="G509" s="8" t="b">
        <v>0</v>
      </c>
      <c r="H509" s="2" t="inlineStr"/>
      <c r="I509" s="8" t="b">
        <v>0</v>
      </c>
      <c r="J509" s="2" t="inlineStr">
        <is>
          <t>https://www.sec.gov/Archives/edgar/data/1730168/000173016824000139/0001730168-24-000139-index.html</t>
        </is>
      </c>
      <c r="K509" s="2" t="inlineStr">
        <is>
          <t>USD</t>
        </is>
      </c>
    </row>
    <row r="510" ht="42" customHeight="1">
      <c r="A510" s="2" t="inlineStr">
        <is>
          <t>current-ratio</t>
        </is>
      </c>
      <c r="B510" s="2" t="inlineStr">
        <is>
          <t>2024-11-03</t>
        </is>
      </c>
      <c r="C510" s="2" t="inlineStr">
        <is>
          <t>current_assets</t>
        </is>
      </c>
      <c r="D510" s="2" t="inlineStr">
        <is>
          <t>current_assets</t>
        </is>
      </c>
      <c r="E510" s="2" t="inlineStr">
        <is>
          <t>2024-11-03</t>
        </is>
      </c>
      <c r="F510" s="3" t="n">
        <v>19595000000</v>
      </c>
      <c r="G510" s="8" t="b">
        <v>0</v>
      </c>
      <c r="H510" s="2" t="inlineStr"/>
      <c r="I510" s="8" t="b">
        <v>0</v>
      </c>
      <c r="J510" s="2" t="inlineStr">
        <is>
          <t>https://www.sec.gov/Archives/edgar/data/1730168/000173016825000121/0001730168-25-000121-index.html</t>
        </is>
      </c>
      <c r="K510" s="2" t="inlineStr">
        <is>
          <t>USD</t>
        </is>
      </c>
    </row>
    <row r="511" ht="42" customHeight="1">
      <c r="A511" s="2" t="inlineStr">
        <is>
          <t>current-ratio</t>
        </is>
      </c>
      <c r="B511" s="2" t="inlineStr">
        <is>
          <t>2024-11-03</t>
        </is>
      </c>
      <c r="C511" s="2" t="inlineStr">
        <is>
          <t>current_liabilities</t>
        </is>
      </c>
      <c r="D511" s="2" t="inlineStr">
        <is>
          <t>current_liabilities</t>
        </is>
      </c>
      <c r="E511" s="2" t="inlineStr">
        <is>
          <t>2024-11-03</t>
        </is>
      </c>
      <c r="F511" s="3" t="n">
        <v>16697000000</v>
      </c>
      <c r="G511" s="8" t="b">
        <v>0</v>
      </c>
      <c r="H511" s="2" t="inlineStr"/>
      <c r="I511" s="8" t="b">
        <v>0</v>
      </c>
      <c r="J511" s="2" t="inlineStr">
        <is>
          <t>https://www.sec.gov/Archives/edgar/data/1730168/000173016825000121/0001730168-25-000121-index.html</t>
        </is>
      </c>
      <c r="K511" s="2" t="inlineStr">
        <is>
          <t>USD</t>
        </is>
      </c>
    </row>
    <row r="512" ht="42" customHeight="1">
      <c r="A512" s="2" t="inlineStr">
        <is>
          <t>tangible-book-value</t>
        </is>
      </c>
      <c r="B512" s="2" t="inlineStr">
        <is>
          <t>2024-11-03</t>
        </is>
      </c>
      <c r="C512" s="2" t="inlineStr">
        <is>
          <t>equity</t>
        </is>
      </c>
      <c r="D512" s="2" t="inlineStr">
        <is>
          <t>equity</t>
        </is>
      </c>
      <c r="E512" s="2" t="inlineStr">
        <is>
          <t>2024-11-03</t>
        </is>
      </c>
      <c r="F512" s="3" t="n">
        <v>67678000000</v>
      </c>
      <c r="G512" s="8" t="b">
        <v>0</v>
      </c>
      <c r="H512" s="2" t="inlineStr"/>
      <c r="I512" s="8" t="b">
        <v>0</v>
      </c>
      <c r="J512" s="2" t="inlineStr">
        <is>
          <t>https://www.sec.gov/Archives/edgar/data/1730168/000173016825000121/0001730168-25-000121-index.html</t>
        </is>
      </c>
      <c r="K512" s="2" t="inlineStr">
        <is>
          <t>USD</t>
        </is>
      </c>
    </row>
    <row r="513" ht="42" customHeight="1">
      <c r="A513" s="2" t="inlineStr">
        <is>
          <t>tangible-book-value</t>
        </is>
      </c>
      <c r="B513" s="2" t="inlineStr">
        <is>
          <t>2024-11-03</t>
        </is>
      </c>
      <c r="C513" s="2" t="inlineStr">
        <is>
          <t>preferred</t>
        </is>
      </c>
      <c r="D513" s="2" t="inlineStr">
        <is>
          <t>preferred</t>
        </is>
      </c>
      <c r="E513" s="2" t="inlineStr">
        <is>
          <t>2024-11-03</t>
        </is>
      </c>
      <c r="F513" s="3" t="n">
        <v>0</v>
      </c>
      <c r="G513" s="8" t="b">
        <v>0</v>
      </c>
      <c r="H513" s="2" t="inlineStr"/>
      <c r="I513" s="8" t="b">
        <v>0</v>
      </c>
      <c r="J513" s="2" t="inlineStr">
        <is>
          <t>https://www.sec.gov/Archives/edgar/data/1730168/000173016825000121/0001730168-25-000121-index.html</t>
        </is>
      </c>
      <c r="K513" s="2" t="inlineStr">
        <is>
          <t>USD</t>
        </is>
      </c>
    </row>
    <row r="514" ht="42" customHeight="1">
      <c r="A514" s="2" t="inlineStr">
        <is>
          <t>tangible-book-value</t>
        </is>
      </c>
      <c r="B514" s="2" t="inlineStr">
        <is>
          <t>2024-11-03</t>
        </is>
      </c>
      <c r="C514" s="2" t="inlineStr">
        <is>
          <t>goodwill</t>
        </is>
      </c>
      <c r="D514" s="2" t="inlineStr">
        <is>
          <t>goodwill</t>
        </is>
      </c>
      <c r="E514" s="2" t="inlineStr">
        <is>
          <t>2024-11-03</t>
        </is>
      </c>
      <c r="F514" s="3" t="n">
        <v>97873000000</v>
      </c>
      <c r="G514" s="8" t="b">
        <v>0</v>
      </c>
      <c r="H514" s="2" t="inlineStr"/>
      <c r="I514" s="8" t="b">
        <v>0</v>
      </c>
      <c r="J514" s="2" t="inlineStr">
        <is>
          <t>https://www.sec.gov/Archives/edgar/data/1730168/000173016825000121/0001730168-25-000121-index.html</t>
        </is>
      </c>
      <c r="K514" s="2" t="inlineStr">
        <is>
          <t>USD</t>
        </is>
      </c>
    </row>
    <row r="515" ht="42" customHeight="1">
      <c r="A515" s="2" t="inlineStr">
        <is>
          <t>tangible-book-value</t>
        </is>
      </c>
      <c r="B515" s="2" t="inlineStr">
        <is>
          <t>2024-11-03</t>
        </is>
      </c>
      <c r="C515" s="2" t="inlineStr">
        <is>
          <t>intangibles</t>
        </is>
      </c>
      <c r="D515" s="2" t="inlineStr">
        <is>
          <t>intangibles</t>
        </is>
      </c>
      <c r="E515" s="2" t="inlineStr">
        <is>
          <t>2024-11-03</t>
        </is>
      </c>
      <c r="F515" s="3" t="n">
        <v>40583000000</v>
      </c>
      <c r="G515" s="8" t="b">
        <v>0</v>
      </c>
      <c r="H515" s="2" t="inlineStr"/>
      <c r="I515" s="8" t="b">
        <v>0</v>
      </c>
      <c r="J515" s="2" t="inlineStr">
        <is>
          <t>https://www.sec.gov/Archives/edgar/data/1730168/000173016825000121/0001730168-25-000121-index.html</t>
        </is>
      </c>
      <c r="K515" s="2" t="inlineStr">
        <is>
          <t>USD</t>
        </is>
      </c>
    </row>
    <row r="516" ht="42" customHeight="1">
      <c r="A516" s="2" t="inlineStr">
        <is>
          <t>ncav</t>
        </is>
      </c>
      <c r="B516" s="2" t="inlineStr">
        <is>
          <t>2024-11-03</t>
        </is>
      </c>
      <c r="C516" s="2" t="inlineStr">
        <is>
          <t>current_assets</t>
        </is>
      </c>
      <c r="D516" s="2" t="inlineStr">
        <is>
          <t>current_assets</t>
        </is>
      </c>
      <c r="E516" s="2" t="inlineStr">
        <is>
          <t>2024-11-03</t>
        </is>
      </c>
      <c r="F516" s="3" t="n">
        <v>19595000000</v>
      </c>
      <c r="G516" s="8" t="b">
        <v>0</v>
      </c>
      <c r="H516" s="2" t="inlineStr"/>
      <c r="I516" s="8" t="b">
        <v>0</v>
      </c>
      <c r="J516" s="2" t="inlineStr">
        <is>
          <t>https://www.sec.gov/Archives/edgar/data/1730168/000173016825000121/0001730168-25-000121-index.html</t>
        </is>
      </c>
      <c r="K516" s="2" t="inlineStr">
        <is>
          <t>USD</t>
        </is>
      </c>
    </row>
    <row r="517" ht="42" customHeight="1">
      <c r="A517" s="2" t="inlineStr">
        <is>
          <t>ncav</t>
        </is>
      </c>
      <c r="B517" s="2" t="inlineStr">
        <is>
          <t>2024-11-03</t>
        </is>
      </c>
      <c r="C517" s="2" t="inlineStr">
        <is>
          <t>total_liabilities</t>
        </is>
      </c>
      <c r="D517" s="2" t="inlineStr">
        <is>
          <t>total_liabilities</t>
        </is>
      </c>
      <c r="E517" s="2" t="inlineStr">
        <is>
          <t>2024-11-03</t>
        </is>
      </c>
      <c r="F517" s="3" t="n">
        <v>97967000000</v>
      </c>
      <c r="G517" s="8" t="b">
        <v>0</v>
      </c>
      <c r="H517" s="2" t="inlineStr"/>
      <c r="I517" s="8" t="b">
        <v>0</v>
      </c>
      <c r="J517" s="2" t="inlineStr">
        <is>
          <t>https://www.sec.gov/Archives/edgar/data/1730168/000173016825000121/0001730168-25-000121-index.html</t>
        </is>
      </c>
      <c r="K517" s="2" t="inlineStr">
        <is>
          <t>USD</t>
        </is>
      </c>
    </row>
    <row r="518" ht="42" customHeight="1">
      <c r="A518" s="2" t="inlineStr">
        <is>
          <t>ncav</t>
        </is>
      </c>
      <c r="B518" s="2" t="inlineStr">
        <is>
          <t>2024-11-03</t>
        </is>
      </c>
      <c r="C518" s="2" t="inlineStr">
        <is>
          <t>preferred</t>
        </is>
      </c>
      <c r="D518" s="2" t="inlineStr">
        <is>
          <t>preferred</t>
        </is>
      </c>
      <c r="E518" s="2" t="inlineStr">
        <is>
          <t>2024-11-03</t>
        </is>
      </c>
      <c r="F518" s="3" t="n">
        <v>0</v>
      </c>
      <c r="G518" s="8" t="b">
        <v>0</v>
      </c>
      <c r="H518" s="2" t="inlineStr"/>
      <c r="I518" s="8" t="b">
        <v>0</v>
      </c>
      <c r="J518" s="2" t="inlineStr">
        <is>
          <t>https://www.sec.gov/Archives/edgar/data/1730168/000173016825000121/0001730168-25-000121-index.html</t>
        </is>
      </c>
      <c r="K518" s="2" t="inlineStr">
        <is>
          <t>USD</t>
        </is>
      </c>
    </row>
    <row r="519" ht="42" customHeight="1">
      <c r="A519" s="2" t="inlineStr">
        <is>
          <t>dilution</t>
        </is>
      </c>
      <c r="B519" s="2" t="inlineStr">
        <is>
          <t>2024-11-03</t>
        </is>
      </c>
      <c r="C519" s="2" t="inlineStr">
        <is>
          <t>diluted_avg_shares</t>
        </is>
      </c>
      <c r="D519" s="2" t="inlineStr">
        <is>
          <t>diluted_avg_shares</t>
        </is>
      </c>
      <c r="E519" s="2" t="inlineStr">
        <is>
          <t>2024-11-03</t>
        </is>
      </c>
      <c r="F519" s="3" t="n">
        <v>4778000000</v>
      </c>
      <c r="G519" s="8" t="b">
        <v>0</v>
      </c>
      <c r="H519" s="2" t="inlineStr"/>
      <c r="I519" s="8" t="b">
        <v>0</v>
      </c>
      <c r="J519" s="2" t="inlineStr">
        <is>
          <t>https://www.sec.gov/Archives/edgar/data/1730168/000173016825000121/0001730168-25-000121-index.html</t>
        </is>
      </c>
      <c r="K519" s="2" t="inlineStr">
        <is>
          <t>shares</t>
        </is>
      </c>
    </row>
    <row r="520" ht="42" customHeight="1">
      <c r="A520" s="2" t="inlineStr">
        <is>
          <t>dilution</t>
        </is>
      </c>
      <c r="B520" s="2" t="inlineStr">
        <is>
          <t>2024-11-03</t>
        </is>
      </c>
      <c r="C520" s="2" t="inlineStr">
        <is>
          <t>previous_shares</t>
        </is>
      </c>
      <c r="D520" s="2" t="inlineStr">
        <is>
          <t>diluted_avg_shares</t>
        </is>
      </c>
      <c r="E520" s="2" t="inlineStr">
        <is>
          <t>2023-10-29</t>
        </is>
      </c>
      <c r="F520" s="3" t="n">
        <v>4272000000</v>
      </c>
      <c r="G520" s="8" t="b">
        <v>0</v>
      </c>
      <c r="H520" s="2" t="inlineStr"/>
      <c r="I520" s="8" t="b">
        <v>0</v>
      </c>
      <c r="J520" s="2" t="inlineStr">
        <is>
          <t>https://www.sec.gov/Archives/edgar/data/1730168/000173016825000121/0001730168-25-000121-index.html</t>
        </is>
      </c>
      <c r="K520" s="2" t="inlineStr">
        <is>
          <t>shares</t>
        </is>
      </c>
    </row>
    <row r="521" ht="42" customHeight="1">
      <c r="A521" s="2" t="inlineStr">
        <is>
          <t>sbc-to-revenue</t>
        </is>
      </c>
      <c r="B521" s="2" t="inlineStr">
        <is>
          <t>2024-11-03</t>
        </is>
      </c>
      <c r="C521" s="2" t="inlineStr">
        <is>
          <t>sbc</t>
        </is>
      </c>
      <c r="D521" s="2" t="inlineStr">
        <is>
          <t>sbc</t>
        </is>
      </c>
      <c r="E521" s="2" t="inlineStr">
        <is>
          <t>2024-11-03</t>
        </is>
      </c>
      <c r="F521" s="3" t="n">
        <v>5741000000</v>
      </c>
      <c r="G521" s="8" t="b">
        <v>0</v>
      </c>
      <c r="H521" s="2" t="inlineStr"/>
      <c r="I521" s="8" t="b">
        <v>0</v>
      </c>
      <c r="J521" s="2" t="inlineStr">
        <is>
          <t>https://www.sec.gov/Archives/edgar/data/1730168/000173016825000121/0001730168-25-000121-index.html</t>
        </is>
      </c>
      <c r="K521" s="2" t="inlineStr">
        <is>
          <t>USD</t>
        </is>
      </c>
    </row>
    <row r="522" ht="42" customHeight="1">
      <c r="A522" s="2" t="inlineStr">
        <is>
          <t>sbc-to-revenue</t>
        </is>
      </c>
      <c r="B522" s="2" t="inlineStr">
        <is>
          <t>2024-11-03</t>
        </is>
      </c>
      <c r="C522" s="2" t="inlineStr">
        <is>
          <t>revenue</t>
        </is>
      </c>
      <c r="D522" s="2" t="inlineStr">
        <is>
          <t>revenue</t>
        </is>
      </c>
      <c r="E522" s="2" t="inlineStr">
        <is>
          <t>2024-11-03</t>
        </is>
      </c>
      <c r="F522" s="3" t="n">
        <v>51574000000</v>
      </c>
      <c r="G522" s="8" t="b">
        <v>0</v>
      </c>
      <c r="H522" s="2" t="inlineStr"/>
      <c r="I522" s="8" t="b">
        <v>0</v>
      </c>
      <c r="J522" s="2" t="inlineStr">
        <is>
          <t>https://www.sec.gov/Archives/edgar/data/1730168/000173016825000121/0001730168-25-000121-index.html</t>
        </is>
      </c>
      <c r="K522" s="2" t="inlineStr">
        <is>
          <t>USD</t>
        </is>
      </c>
    </row>
    <row r="523" ht="42" customHeight="1">
      <c r="A523" s="2" t="inlineStr">
        <is>
          <t>eps</t>
        </is>
      </c>
      <c r="B523" s="2" t="inlineStr">
        <is>
          <t>2024-11-03</t>
        </is>
      </c>
      <c r="C523" s="2" t="inlineStr">
        <is>
          <t>eps_diluted</t>
        </is>
      </c>
      <c r="D523" s="2" t="inlineStr">
        <is>
          <t>eps_diluted</t>
        </is>
      </c>
      <c r="E523" s="2" t="inlineStr">
        <is>
          <t>2024-11-03</t>
        </is>
      </c>
      <c r="F523" s="3" t="n">
        <v>1.23</v>
      </c>
      <c r="G523" s="8" t="b">
        <v>0</v>
      </c>
      <c r="H523" s="2" t="inlineStr"/>
      <c r="I523" s="8" t="b">
        <v>0</v>
      </c>
      <c r="J523" s="2" t="inlineStr">
        <is>
          <t>https://www.sec.gov/Archives/edgar/data/1730168/000173016825000121/0001730168-25-000121-index.html</t>
        </is>
      </c>
      <c r="K523" s="2" t="inlineStr">
        <is>
          <t>USD per share</t>
        </is>
      </c>
    </row>
    <row r="524" ht="42" customHeight="1">
      <c r="A524" s="2" t="inlineStr">
        <is>
          <t>debt-due-3y</t>
        </is>
      </c>
      <c r="B524" s="2" t="inlineStr">
        <is>
          <t>2024-11-03</t>
        </is>
      </c>
      <c r="C524" s="2" t="inlineStr">
        <is>
          <t>maturity_y1</t>
        </is>
      </c>
      <c r="D524" s="2" t="inlineStr">
        <is>
          <t>maturity_y1</t>
        </is>
      </c>
      <c r="E524" s="2" t="inlineStr">
        <is>
          <t>2024-11-03</t>
        </is>
      </c>
      <c r="F524" s="3" t="n">
        <v>1245000000</v>
      </c>
      <c r="G524" s="8" t="b">
        <v>0</v>
      </c>
      <c r="H524" s="2" t="inlineStr"/>
      <c r="I524" s="8" t="b">
        <v>0</v>
      </c>
      <c r="J524" s="2" t="inlineStr">
        <is>
          <t>https://www.sec.gov/Archives/edgar/data/1730168/000173016824000139/0001730168-24-000139-index.html</t>
        </is>
      </c>
      <c r="K524" s="2" t="inlineStr">
        <is>
          <t>USD</t>
        </is>
      </c>
    </row>
    <row r="525" ht="42" customHeight="1">
      <c r="A525" s="2" t="inlineStr">
        <is>
          <t>debt-due-3y</t>
        </is>
      </c>
      <c r="B525" s="2" t="inlineStr">
        <is>
          <t>2024-11-03</t>
        </is>
      </c>
      <c r="C525" s="2" t="inlineStr">
        <is>
          <t>maturity_y2</t>
        </is>
      </c>
      <c r="D525" s="2" t="inlineStr">
        <is>
          <t>maturity_y2</t>
        </is>
      </c>
      <c r="E525" s="2" t="inlineStr">
        <is>
          <t>2024-11-03</t>
        </is>
      </c>
      <c r="F525" s="3" t="n">
        <v>3152000000</v>
      </c>
      <c r="G525" s="8" t="b">
        <v>0</v>
      </c>
      <c r="H525" s="2" t="inlineStr"/>
      <c r="I525" s="8" t="b">
        <v>0</v>
      </c>
      <c r="J525" s="2" t="inlineStr">
        <is>
          <t>https://www.sec.gov/Archives/edgar/data/1730168/000173016824000139/0001730168-24-000139-index.html</t>
        </is>
      </c>
      <c r="K525" s="2" t="inlineStr">
        <is>
          <t>USD</t>
        </is>
      </c>
    </row>
    <row r="526" ht="42" customHeight="1">
      <c r="A526" s="2" t="inlineStr">
        <is>
          <t>debt-due-3y</t>
        </is>
      </c>
      <c r="B526" s="2" t="inlineStr">
        <is>
          <t>2024-11-03</t>
        </is>
      </c>
      <c r="C526" s="2" t="inlineStr">
        <is>
          <t>maturity_y3</t>
        </is>
      </c>
      <c r="D526" s="2" t="inlineStr">
        <is>
          <t>maturity_y3</t>
        </is>
      </c>
      <c r="E526" s="2" t="inlineStr">
        <is>
          <t>2024-11-03</t>
        </is>
      </c>
      <c r="F526" s="3" t="n">
        <v>11732000000</v>
      </c>
      <c r="G526" s="8" t="b">
        <v>0</v>
      </c>
      <c r="H526" s="2" t="inlineStr"/>
      <c r="I526" s="8" t="b">
        <v>0</v>
      </c>
      <c r="J526" s="2" t="inlineStr">
        <is>
          <t>https://www.sec.gov/Archives/edgar/data/1730168/000173016824000139/0001730168-24-000139-index.html</t>
        </is>
      </c>
      <c r="K526" s="2" t="inlineStr">
        <is>
          <t>USD</t>
        </is>
      </c>
    </row>
    <row r="527" ht="42" customHeight="1">
      <c r="A527" s="2" t="inlineStr">
        <is>
          <t>revenue-growth</t>
        </is>
      </c>
      <c r="B527" s="2" t="inlineStr">
        <is>
          <t>2025-11-02</t>
        </is>
      </c>
      <c r="C527" s="2" t="inlineStr">
        <is>
          <t>revenue</t>
        </is>
      </c>
      <c r="D527" s="2" t="inlineStr">
        <is>
          <t>revenue</t>
        </is>
      </c>
      <c r="E527" s="2" t="inlineStr">
        <is>
          <t>2025-11-02</t>
        </is>
      </c>
      <c r="F527" s="3" t="n">
        <v>63887000000</v>
      </c>
      <c r="G527" s="8" t="b">
        <v>0</v>
      </c>
      <c r="H527" s="2" t="inlineStr"/>
      <c r="I527" s="8" t="b">
        <v>0</v>
      </c>
      <c r="J527" s="2" t="inlineStr">
        <is>
          <t>https://www.sec.gov/Archives/edgar/data/1730168/000173016825000121/0001730168-25-000121-index.html</t>
        </is>
      </c>
      <c r="K527" s="2" t="inlineStr">
        <is>
          <t>USD</t>
        </is>
      </c>
    </row>
    <row r="528" ht="42" customHeight="1">
      <c r="A528" s="2" t="inlineStr">
        <is>
          <t>revenue-growth</t>
        </is>
      </c>
      <c r="B528" s="2" t="inlineStr">
        <is>
          <t>2025-11-02</t>
        </is>
      </c>
      <c r="C528" s="2" t="inlineStr">
        <is>
          <t>previous_revenue</t>
        </is>
      </c>
      <c r="D528" s="2" t="inlineStr">
        <is>
          <t>revenue</t>
        </is>
      </c>
      <c r="E528" s="2" t="inlineStr">
        <is>
          <t>2024-11-03</t>
        </is>
      </c>
      <c r="F528" s="3" t="n">
        <v>50600905660.37736</v>
      </c>
      <c r="G528" s="8" t="b">
        <v>0</v>
      </c>
      <c r="H528" s="2" t="inlineStr"/>
      <c r="I528" s="8" t="b">
        <v>0</v>
      </c>
      <c r="J528" s="2" t="inlineStr">
        <is>
          <t>https://www.sec.gov/Archives/edgar/data/1730168/000173016825000121/0001730168-25-000121-index.html
Transformed calculation input: differs from the raw filing value; see formula and flags.</t>
        </is>
      </c>
      <c r="K528" s="2" t="inlineStr">
        <is>
          <t>USD</t>
        </is>
      </c>
    </row>
    <row r="529" ht="42" customHeight="1">
      <c r="A529" s="2" t="inlineStr">
        <is>
          <t>gross-margin</t>
        </is>
      </c>
      <c r="B529" s="2" t="inlineStr">
        <is>
          <t>2025-11-02</t>
        </is>
      </c>
      <c r="C529" s="2" t="inlineStr">
        <is>
          <t>gross_profit</t>
        </is>
      </c>
      <c r="D529" s="2" t="inlineStr">
        <is>
          <t>gross_profit</t>
        </is>
      </c>
      <c r="E529" s="2" t="inlineStr">
        <is>
          <t>2025-11-02</t>
        </is>
      </c>
      <c r="F529" s="3" t="n">
        <v>43294000000</v>
      </c>
      <c r="G529" s="8" t="b">
        <v>0</v>
      </c>
      <c r="H529" s="2" t="inlineStr"/>
      <c r="I529" s="8" t="b">
        <v>0</v>
      </c>
      <c r="J529" s="2" t="inlineStr">
        <is>
          <t>https://www.sec.gov/Archives/edgar/data/1730168/000173016825000121/0001730168-25-000121-index.html</t>
        </is>
      </c>
      <c r="K529" s="2" t="inlineStr">
        <is>
          <t>USD</t>
        </is>
      </c>
    </row>
    <row r="530" ht="42" customHeight="1">
      <c r="A530" s="2" t="inlineStr">
        <is>
          <t>gross-margin</t>
        </is>
      </c>
      <c r="B530" s="2" t="inlineStr">
        <is>
          <t>2025-11-02</t>
        </is>
      </c>
      <c r="C530" s="2" t="inlineStr">
        <is>
          <t>revenue</t>
        </is>
      </c>
      <c r="D530" s="2" t="inlineStr">
        <is>
          <t>revenue</t>
        </is>
      </c>
      <c r="E530" s="2" t="inlineStr">
        <is>
          <t>2025-11-02</t>
        </is>
      </c>
      <c r="F530" s="3" t="n">
        <v>63887000000</v>
      </c>
      <c r="G530" s="8" t="b">
        <v>0</v>
      </c>
      <c r="H530" s="2" t="inlineStr"/>
      <c r="I530" s="8" t="b">
        <v>0</v>
      </c>
      <c r="J530" s="2" t="inlineStr">
        <is>
          <t>https://www.sec.gov/Archives/edgar/data/1730168/000173016825000121/0001730168-25-000121-index.html</t>
        </is>
      </c>
      <c r="K530" s="2" t="inlineStr">
        <is>
          <t>USD</t>
        </is>
      </c>
    </row>
    <row r="531" ht="42" customHeight="1">
      <c r="A531" s="2" t="inlineStr">
        <is>
          <t>operating-margin</t>
        </is>
      </c>
      <c r="B531" s="2" t="inlineStr">
        <is>
          <t>2025-11-02</t>
        </is>
      </c>
      <c r="C531" s="2" t="inlineStr">
        <is>
          <t>operating_income</t>
        </is>
      </c>
      <c r="D531" s="2" t="inlineStr">
        <is>
          <t>operating_income</t>
        </is>
      </c>
      <c r="E531" s="2" t="inlineStr">
        <is>
          <t>2025-11-02</t>
        </is>
      </c>
      <c r="F531" s="3" t="n">
        <v>25484000000</v>
      </c>
      <c r="G531" s="8" t="b">
        <v>0</v>
      </c>
      <c r="H531" s="2" t="inlineStr"/>
      <c r="I531" s="8" t="b">
        <v>0</v>
      </c>
      <c r="J531" s="2" t="inlineStr">
        <is>
          <t>https://www.sec.gov/Archives/edgar/data/1730168/000173016825000121/0001730168-25-000121-index.html</t>
        </is>
      </c>
      <c r="K531" s="2" t="inlineStr">
        <is>
          <t>USD</t>
        </is>
      </c>
    </row>
    <row r="532" ht="42" customHeight="1">
      <c r="A532" s="2" t="inlineStr">
        <is>
          <t>operating-margin</t>
        </is>
      </c>
      <c r="B532" s="2" t="inlineStr">
        <is>
          <t>2025-11-02</t>
        </is>
      </c>
      <c r="C532" s="2" t="inlineStr">
        <is>
          <t>revenue</t>
        </is>
      </c>
      <c r="D532" s="2" t="inlineStr">
        <is>
          <t>revenue</t>
        </is>
      </c>
      <c r="E532" s="2" t="inlineStr">
        <is>
          <t>2025-11-02</t>
        </is>
      </c>
      <c r="F532" s="3" t="n">
        <v>63887000000</v>
      </c>
      <c r="G532" s="8" t="b">
        <v>0</v>
      </c>
      <c r="H532" s="2" t="inlineStr"/>
      <c r="I532" s="8" t="b">
        <v>0</v>
      </c>
      <c r="J532" s="2" t="inlineStr">
        <is>
          <t>https://www.sec.gov/Archives/edgar/data/1730168/000173016825000121/0001730168-25-000121-index.html</t>
        </is>
      </c>
      <c r="K532" s="2" t="inlineStr">
        <is>
          <t>USD</t>
        </is>
      </c>
    </row>
    <row r="533" ht="42" customHeight="1">
      <c r="A533" s="2" t="inlineStr">
        <is>
          <t>net-margin</t>
        </is>
      </c>
      <c r="B533" s="2" t="inlineStr">
        <is>
          <t>2025-11-02</t>
        </is>
      </c>
      <c r="C533" s="2" t="inlineStr">
        <is>
          <t>net_income</t>
        </is>
      </c>
      <c r="D533" s="2" t="inlineStr">
        <is>
          <t>net_income</t>
        </is>
      </c>
      <c r="E533" s="2" t="inlineStr">
        <is>
          <t>2025-11-02</t>
        </is>
      </c>
      <c r="F533" s="3" t="n">
        <v>23126000000</v>
      </c>
      <c r="G533" s="8" t="b">
        <v>0</v>
      </c>
      <c r="H533" s="2" t="inlineStr"/>
      <c r="I533" s="8" t="b">
        <v>0</v>
      </c>
      <c r="J533" s="2" t="inlineStr">
        <is>
          <t>https://www.sec.gov/Archives/edgar/data/1730168/000173016825000121/0001730168-25-000121-index.html</t>
        </is>
      </c>
      <c r="K533" s="2" t="inlineStr">
        <is>
          <t>USD</t>
        </is>
      </c>
    </row>
    <row r="534" ht="42" customHeight="1">
      <c r="A534" s="2" t="inlineStr">
        <is>
          <t>net-margin</t>
        </is>
      </c>
      <c r="B534" s="2" t="inlineStr">
        <is>
          <t>2025-11-02</t>
        </is>
      </c>
      <c r="C534" s="2" t="inlineStr">
        <is>
          <t>revenue</t>
        </is>
      </c>
      <c r="D534" s="2" t="inlineStr">
        <is>
          <t>revenue</t>
        </is>
      </c>
      <c r="E534" s="2" t="inlineStr">
        <is>
          <t>2025-11-02</t>
        </is>
      </c>
      <c r="F534" s="3" t="n">
        <v>63887000000</v>
      </c>
      <c r="G534" s="8" t="b">
        <v>0</v>
      </c>
      <c r="H534" s="2" t="inlineStr"/>
      <c r="I534" s="8" t="b">
        <v>0</v>
      </c>
      <c r="J534" s="2" t="inlineStr">
        <is>
          <t>https://www.sec.gov/Archives/edgar/data/1730168/000173016825000121/0001730168-25-000121-index.html</t>
        </is>
      </c>
      <c r="K534" s="2" t="inlineStr">
        <is>
          <t>USD</t>
        </is>
      </c>
    </row>
    <row r="535" ht="42" customHeight="1">
      <c r="A535" s="2" t="inlineStr">
        <is>
          <t>fcf</t>
        </is>
      </c>
      <c r="B535" s="2" t="inlineStr">
        <is>
          <t>2025-11-02</t>
        </is>
      </c>
      <c r="C535" s="2" t="inlineStr">
        <is>
          <t>ocf</t>
        </is>
      </c>
      <c r="D535" s="2" t="inlineStr">
        <is>
          <t>ocf</t>
        </is>
      </c>
      <c r="E535" s="2" t="inlineStr">
        <is>
          <t>2025-11-02</t>
        </is>
      </c>
      <c r="F535" s="3" t="n">
        <v>27537000000</v>
      </c>
      <c r="G535" s="8" t="b">
        <v>0</v>
      </c>
      <c r="H535" s="2" t="inlineStr"/>
      <c r="I535" s="8" t="b">
        <v>0</v>
      </c>
      <c r="J535" s="2" t="inlineStr">
        <is>
          <t>https://www.sec.gov/Archives/edgar/data/1730168/000173016825000121/0001730168-25-000121-index.html</t>
        </is>
      </c>
      <c r="K535" s="2" t="inlineStr">
        <is>
          <t>USD</t>
        </is>
      </c>
    </row>
    <row r="536" ht="42" customHeight="1">
      <c r="A536" s="2" t="inlineStr">
        <is>
          <t>fcf</t>
        </is>
      </c>
      <c r="B536" s="2" t="inlineStr">
        <is>
          <t>2025-11-02</t>
        </is>
      </c>
      <c r="C536" s="2" t="inlineStr">
        <is>
          <t>capex</t>
        </is>
      </c>
      <c r="D536" s="2" t="inlineStr">
        <is>
          <t>capex</t>
        </is>
      </c>
      <c r="E536" s="2" t="inlineStr">
        <is>
          <t>2025-11-02</t>
        </is>
      </c>
      <c r="F536" s="3" t="n">
        <v>623000000</v>
      </c>
      <c r="G536" s="8" t="b">
        <v>0</v>
      </c>
      <c r="H536" s="2" t="inlineStr"/>
      <c r="I536" s="8" t="b">
        <v>0</v>
      </c>
      <c r="J536" s="2" t="inlineStr">
        <is>
          <t>https://www.sec.gov/Archives/edgar/data/1730168/000173016825000121/0001730168-25-000121-index.html</t>
        </is>
      </c>
      <c r="K536" s="2" t="inlineStr">
        <is>
          <t>USD</t>
        </is>
      </c>
    </row>
    <row r="537" ht="42" customHeight="1">
      <c r="A537" s="2" t="inlineStr">
        <is>
          <t>fcf-margin</t>
        </is>
      </c>
      <c r="B537" s="2" t="inlineStr">
        <is>
          <t>2025-11-02</t>
        </is>
      </c>
      <c r="C537" s="2" t="inlineStr">
        <is>
          <t>ocf</t>
        </is>
      </c>
      <c r="D537" s="2" t="inlineStr">
        <is>
          <t>ocf</t>
        </is>
      </c>
      <c r="E537" s="2" t="inlineStr">
        <is>
          <t>2025-11-02</t>
        </is>
      </c>
      <c r="F537" s="3" t="n">
        <v>27537000000</v>
      </c>
      <c r="G537" s="8" t="b">
        <v>0</v>
      </c>
      <c r="H537" s="2" t="inlineStr"/>
      <c r="I537" s="8" t="b">
        <v>0</v>
      </c>
      <c r="J537" s="2" t="inlineStr">
        <is>
          <t>https://www.sec.gov/Archives/edgar/data/1730168/000173016825000121/0001730168-25-000121-index.html</t>
        </is>
      </c>
      <c r="K537" s="2" t="inlineStr">
        <is>
          <t>USD</t>
        </is>
      </c>
    </row>
    <row r="538" ht="42" customHeight="1">
      <c r="A538" s="2" t="inlineStr">
        <is>
          <t>fcf-margin</t>
        </is>
      </c>
      <c r="B538" s="2" t="inlineStr">
        <is>
          <t>2025-11-02</t>
        </is>
      </c>
      <c r="C538" s="2" t="inlineStr">
        <is>
          <t>capex</t>
        </is>
      </c>
      <c r="D538" s="2" t="inlineStr">
        <is>
          <t>capex</t>
        </is>
      </c>
      <c r="E538" s="2" t="inlineStr">
        <is>
          <t>2025-11-02</t>
        </is>
      </c>
      <c r="F538" s="3" t="n">
        <v>623000000</v>
      </c>
      <c r="G538" s="8" t="b">
        <v>0</v>
      </c>
      <c r="H538" s="2" t="inlineStr"/>
      <c r="I538" s="8" t="b">
        <v>0</v>
      </c>
      <c r="J538" s="2" t="inlineStr">
        <is>
          <t>https://www.sec.gov/Archives/edgar/data/1730168/000173016825000121/0001730168-25-000121-index.html</t>
        </is>
      </c>
      <c r="K538" s="2" t="inlineStr">
        <is>
          <t>USD</t>
        </is>
      </c>
    </row>
    <row r="539" ht="42" customHeight="1">
      <c r="A539" s="2" t="inlineStr">
        <is>
          <t>fcf-margin</t>
        </is>
      </c>
      <c r="B539" s="2" t="inlineStr">
        <is>
          <t>2025-11-02</t>
        </is>
      </c>
      <c r="C539" s="2" t="inlineStr">
        <is>
          <t>revenue</t>
        </is>
      </c>
      <c r="D539" s="2" t="inlineStr">
        <is>
          <t>revenue</t>
        </is>
      </c>
      <c r="E539" s="2" t="inlineStr">
        <is>
          <t>2025-11-02</t>
        </is>
      </c>
      <c r="F539" s="3" t="n">
        <v>63887000000</v>
      </c>
      <c r="G539" s="8" t="b">
        <v>0</v>
      </c>
      <c r="H539" s="2" t="inlineStr"/>
      <c r="I539" s="8" t="b">
        <v>0</v>
      </c>
      <c r="J539" s="2" t="inlineStr">
        <is>
          <t>https://www.sec.gov/Archives/edgar/data/1730168/000173016825000121/0001730168-25-000121-index.html</t>
        </is>
      </c>
      <c r="K539" s="2" t="inlineStr">
        <is>
          <t>USD</t>
        </is>
      </c>
    </row>
    <row r="540" ht="42" customHeight="1">
      <c r="A540" s="2" t="inlineStr">
        <is>
          <t>fcff</t>
        </is>
      </c>
      <c r="B540" s="2" t="inlineStr">
        <is>
          <t>2025-11-02</t>
        </is>
      </c>
      <c r="C540" s="2" t="inlineStr">
        <is>
          <t>ocf</t>
        </is>
      </c>
      <c r="D540" s="2" t="inlineStr">
        <is>
          <t>ocf</t>
        </is>
      </c>
      <c r="E540" s="2" t="inlineStr">
        <is>
          <t>2025-11-02</t>
        </is>
      </c>
      <c r="F540" s="3" t="n">
        <v>27537000000</v>
      </c>
      <c r="G540" s="8" t="b">
        <v>0</v>
      </c>
      <c r="H540" s="2" t="inlineStr"/>
      <c r="I540" s="8" t="b">
        <v>0</v>
      </c>
      <c r="J540" s="2" t="inlineStr">
        <is>
          <t>https://www.sec.gov/Archives/edgar/data/1730168/000173016825000121/0001730168-25-000121-index.html</t>
        </is>
      </c>
      <c r="K540" s="2" t="inlineStr">
        <is>
          <t>USD</t>
        </is>
      </c>
    </row>
    <row r="541" ht="42" customHeight="1">
      <c r="A541" s="2" t="inlineStr">
        <is>
          <t>fcff</t>
        </is>
      </c>
      <c r="B541" s="2" t="inlineStr">
        <is>
          <t>2025-11-02</t>
        </is>
      </c>
      <c r="C541" s="2" t="inlineStr">
        <is>
          <t>capex</t>
        </is>
      </c>
      <c r="D541" s="2" t="inlineStr">
        <is>
          <t>capex</t>
        </is>
      </c>
      <c r="E541" s="2" t="inlineStr">
        <is>
          <t>2025-11-02</t>
        </is>
      </c>
      <c r="F541" s="3" t="n">
        <v>623000000</v>
      </c>
      <c r="G541" s="8" t="b">
        <v>0</v>
      </c>
      <c r="H541" s="2" t="inlineStr"/>
      <c r="I541" s="8" t="b">
        <v>0</v>
      </c>
      <c r="J541" s="2" t="inlineStr">
        <is>
          <t>https://www.sec.gov/Archives/edgar/data/1730168/000173016825000121/0001730168-25-000121-index.html</t>
        </is>
      </c>
      <c r="K541" s="2" t="inlineStr">
        <is>
          <t>USD</t>
        </is>
      </c>
    </row>
    <row r="542" ht="42" customHeight="1">
      <c r="A542" s="2" t="inlineStr">
        <is>
          <t>fcff</t>
        </is>
      </c>
      <c r="B542" s="2" t="inlineStr">
        <is>
          <t>2025-11-02</t>
        </is>
      </c>
      <c r="C542" s="2" t="inlineStr">
        <is>
          <t>interest_expense</t>
        </is>
      </c>
      <c r="D542" s="2" t="inlineStr">
        <is>
          <t>interest_expense</t>
        </is>
      </c>
      <c r="E542" s="2" t="inlineStr">
        <is>
          <t>2025-11-02</t>
        </is>
      </c>
      <c r="F542" s="3" t="n">
        <v>3210000000</v>
      </c>
      <c r="G542" s="8" t="b">
        <v>0</v>
      </c>
      <c r="H542" s="2" t="inlineStr"/>
      <c r="I542" s="8" t="b">
        <v>0</v>
      </c>
      <c r="J542" s="2" t="inlineStr">
        <is>
          <t>https://www.sec.gov/Archives/edgar/data/1730168/000173016825000121/0001730168-25-000121-index.html</t>
        </is>
      </c>
      <c r="K542" s="2" t="inlineStr">
        <is>
          <t>USD</t>
        </is>
      </c>
    </row>
    <row r="543" ht="42" customHeight="1">
      <c r="A543" s="2" t="inlineStr">
        <is>
          <t>fcff</t>
        </is>
      </c>
      <c r="B543" s="2" t="inlineStr">
        <is>
          <t>2025-11-02</t>
        </is>
      </c>
      <c r="C543" s="2" t="inlineStr">
        <is>
          <t>tax_rate</t>
        </is>
      </c>
      <c r="D543" s="2" t="inlineStr">
        <is>
          <t>tax_rate</t>
        </is>
      </c>
      <c r="E543" s="2" t="inlineStr">
        <is>
          <t>2025-11-02</t>
        </is>
      </c>
      <c r="F543" s="3" t="n">
        <v>0</v>
      </c>
      <c r="G543" s="8" t="b">
        <v>0</v>
      </c>
      <c r="H543" s="2" t="inlineStr"/>
      <c r="I543" s="8" t="b">
        <v>0</v>
      </c>
      <c r="J543" s="2" t="inlineStr">
        <is>
          <t>Derived or model input; see parent calculation formula and model assumptions.</t>
        </is>
      </c>
      <c r="K543" s="2" t="inlineStr">
        <is>
          <t>ratio (decimal)</t>
        </is>
      </c>
    </row>
    <row r="544" ht="42" customHeight="1">
      <c r="A544" s="2" t="inlineStr">
        <is>
          <t>fcff</t>
        </is>
      </c>
      <c r="B544" s="2" t="inlineStr">
        <is>
          <t>2025-11-02</t>
        </is>
      </c>
      <c r="C544" s="2" t="inlineStr">
        <is>
          <t>sbc</t>
        </is>
      </c>
      <c r="D544" s="2" t="inlineStr">
        <is>
          <t>sbc</t>
        </is>
      </c>
      <c r="E544" s="2" t="inlineStr">
        <is>
          <t>2025-11-02</t>
        </is>
      </c>
      <c r="F544" s="3" t="n">
        <v>7568000000</v>
      </c>
      <c r="G544" s="8" t="b">
        <v>0</v>
      </c>
      <c r="H544" s="2" t="inlineStr"/>
      <c r="I544" s="8" t="b">
        <v>0</v>
      </c>
      <c r="J544" s="2" t="inlineStr">
        <is>
          <t>https://www.sec.gov/Archives/edgar/data/1730168/000173016825000121/0001730168-25-000121-index.html</t>
        </is>
      </c>
      <c r="K544" s="2" t="inlineStr">
        <is>
          <t>USD</t>
        </is>
      </c>
    </row>
    <row r="545" ht="42" customHeight="1">
      <c r="A545" s="2" t="inlineStr">
        <is>
          <t>fcfe</t>
        </is>
      </c>
      <c r="B545" s="2" t="inlineStr">
        <is>
          <t>2025-11-02</t>
        </is>
      </c>
      <c r="C545" s="2" t="inlineStr">
        <is>
          <t>net_income</t>
        </is>
      </c>
      <c r="D545" s="2" t="inlineStr">
        <is>
          <t>net_income</t>
        </is>
      </c>
      <c r="E545" s="2" t="inlineStr">
        <is>
          <t>2025-11-02</t>
        </is>
      </c>
      <c r="F545" s="3" t="n">
        <v>23126000000</v>
      </c>
      <c r="G545" s="8" t="b">
        <v>0</v>
      </c>
      <c r="H545" s="2" t="inlineStr"/>
      <c r="I545" s="8" t="b">
        <v>0</v>
      </c>
      <c r="J545" s="2" t="inlineStr">
        <is>
          <t>https://www.sec.gov/Archives/edgar/data/1730168/000173016825000121/0001730168-25-000121-index.html</t>
        </is>
      </c>
      <c r="K545" s="2" t="inlineStr">
        <is>
          <t>USD</t>
        </is>
      </c>
    </row>
    <row r="546" ht="42" customHeight="1">
      <c r="A546" s="2" t="inlineStr">
        <is>
          <t>fcfe</t>
        </is>
      </c>
      <c r="B546" s="2" t="inlineStr">
        <is>
          <t>2025-11-02</t>
        </is>
      </c>
      <c r="C546" s="2" t="inlineStr">
        <is>
          <t>d_and_a</t>
        </is>
      </c>
      <c r="D546" s="2" t="inlineStr">
        <is>
          <t>d_and_a</t>
        </is>
      </c>
      <c r="E546" s="2" t="inlineStr">
        <is>
          <t>2025-11-02</t>
        </is>
      </c>
      <c r="F546" s="3" t="n">
        <v>8636000000</v>
      </c>
      <c r="G546" s="8" t="b">
        <v>0</v>
      </c>
      <c r="H546" s="2" t="inlineStr"/>
      <c r="I546" s="8" t="b">
        <v>0</v>
      </c>
      <c r="J546" s="2" t="inlineStr">
        <is>
          <t>https://www.sec.gov/Archives/edgar/data/1730168/000173016825000121/0001730168-25-000121-index.html</t>
        </is>
      </c>
      <c r="K546" s="2" t="inlineStr">
        <is>
          <t>USD</t>
        </is>
      </c>
    </row>
    <row r="547" ht="42" customHeight="1">
      <c r="A547" s="2" t="inlineStr">
        <is>
          <t>fcfe</t>
        </is>
      </c>
      <c r="B547" s="2" t="inlineStr">
        <is>
          <t>2025-11-02</t>
        </is>
      </c>
      <c r="C547" s="2" t="inlineStr">
        <is>
          <t>capex</t>
        </is>
      </c>
      <c r="D547" s="2" t="inlineStr">
        <is>
          <t>capex</t>
        </is>
      </c>
      <c r="E547" s="2" t="inlineStr">
        <is>
          <t>2025-11-02</t>
        </is>
      </c>
      <c r="F547" s="3" t="n">
        <v>623000000</v>
      </c>
      <c r="G547" s="8" t="b">
        <v>0</v>
      </c>
      <c r="H547" s="2" t="inlineStr"/>
      <c r="I547" s="8" t="b">
        <v>0</v>
      </c>
      <c r="J547" s="2" t="inlineStr">
        <is>
          <t>https://www.sec.gov/Archives/edgar/data/1730168/000173016825000121/0001730168-25-000121-index.html</t>
        </is>
      </c>
      <c r="K547" s="2" t="inlineStr">
        <is>
          <t>USD</t>
        </is>
      </c>
    </row>
    <row r="548" ht="42" customHeight="1">
      <c r="A548" s="2" t="inlineStr">
        <is>
          <t>fcfe</t>
        </is>
      </c>
      <c r="B548" s="2" t="inlineStr">
        <is>
          <t>2025-11-02</t>
        </is>
      </c>
      <c r="C548" s="2" t="inlineStr">
        <is>
          <t>change_in_owc</t>
        </is>
      </c>
      <c r="D548" s="2" t="inlineStr">
        <is>
          <t>change_in_owc</t>
        </is>
      </c>
      <c r="E548" s="2" t="inlineStr">
        <is>
          <t>2025-11-02</t>
        </is>
      </c>
      <c r="F548" s="3" t="n">
        <v>3341000000</v>
      </c>
      <c r="G548" s="8" t="b">
        <v>0</v>
      </c>
      <c r="H548" s="2" t="inlineStr"/>
      <c r="I548" s="8" t="b">
        <v>0</v>
      </c>
      <c r="J548" s="2" t="inlineStr">
        <is>
          <t>Derived or model input; see parent calculation formula and model assumptions.</t>
        </is>
      </c>
      <c r="K548" s="2" t="inlineStr">
        <is>
          <t>USD</t>
        </is>
      </c>
    </row>
    <row r="549" ht="42" customHeight="1">
      <c r="A549" s="2" t="inlineStr">
        <is>
          <t>fcfe</t>
        </is>
      </c>
      <c r="B549" s="2" t="inlineStr">
        <is>
          <t>2025-11-02</t>
        </is>
      </c>
      <c r="C549" s="2" t="inlineStr">
        <is>
          <t>debt_issued</t>
        </is>
      </c>
      <c r="D549" s="2" t="inlineStr">
        <is>
          <t>debt_issued</t>
        </is>
      </c>
      <c r="E549" s="2" t="inlineStr">
        <is>
          <t>2025-11-02</t>
        </is>
      </c>
      <c r="F549" s="3" t="n">
        <v>15666000000</v>
      </c>
      <c r="G549" s="8" t="b">
        <v>0</v>
      </c>
      <c r="H549" s="2" t="inlineStr"/>
      <c r="I549" s="8" t="b">
        <v>0</v>
      </c>
      <c r="J549" s="2" t="inlineStr">
        <is>
          <t>https://www.sec.gov/Archives/edgar/data/1730168/000173016825000121/0001730168-25-000121-index.html</t>
        </is>
      </c>
      <c r="K549" s="2" t="inlineStr">
        <is>
          <t>USD</t>
        </is>
      </c>
    </row>
    <row r="550" ht="42" customHeight="1">
      <c r="A550" s="2" t="inlineStr">
        <is>
          <t>fcfe</t>
        </is>
      </c>
      <c r="B550" s="2" t="inlineStr">
        <is>
          <t>2025-11-02</t>
        </is>
      </c>
      <c r="C550" s="2" t="inlineStr">
        <is>
          <t>debt_repaid</t>
        </is>
      </c>
      <c r="D550" s="2" t="inlineStr">
        <is>
          <t>debt_repaid</t>
        </is>
      </c>
      <c r="E550" s="2" t="inlineStr">
        <is>
          <t>2025-11-02</t>
        </is>
      </c>
      <c r="F550" s="3" t="n">
        <v>18478000000</v>
      </c>
      <c r="G550" s="8" t="b">
        <v>0</v>
      </c>
      <c r="H550" s="2" t="inlineStr"/>
      <c r="I550" s="8" t="b">
        <v>0</v>
      </c>
      <c r="J550" s="2" t="inlineStr">
        <is>
          <t>https://www.sec.gov/Archives/edgar/data/1730168/000173016825000121/0001730168-25-000121-index.html</t>
        </is>
      </c>
      <c r="K550" s="2" t="inlineStr">
        <is>
          <t>USD</t>
        </is>
      </c>
    </row>
    <row r="551" ht="42" customHeight="1">
      <c r="A551" s="2" t="inlineStr">
        <is>
          <t>owner-earnings</t>
        </is>
      </c>
      <c r="B551" s="2" t="inlineStr">
        <is>
          <t>2025-11-02</t>
        </is>
      </c>
      <c r="C551" s="2" t="inlineStr">
        <is>
          <t>net_income</t>
        </is>
      </c>
      <c r="D551" s="2" t="inlineStr">
        <is>
          <t>net_income</t>
        </is>
      </c>
      <c r="E551" s="2" t="inlineStr">
        <is>
          <t>2025-11-02</t>
        </is>
      </c>
      <c r="F551" s="3" t="n">
        <v>23126000000</v>
      </c>
      <c r="G551" s="8" t="b">
        <v>0</v>
      </c>
      <c r="H551" s="2" t="inlineStr"/>
      <c r="I551" s="8" t="b">
        <v>0</v>
      </c>
      <c r="J551" s="2" t="inlineStr">
        <is>
          <t>https://www.sec.gov/Archives/edgar/data/1730168/000173016825000121/0001730168-25-000121-index.html</t>
        </is>
      </c>
      <c r="K551" s="2" t="inlineStr">
        <is>
          <t>USD</t>
        </is>
      </c>
    </row>
    <row r="552" ht="42" customHeight="1">
      <c r="A552" s="2" t="inlineStr">
        <is>
          <t>owner-earnings</t>
        </is>
      </c>
      <c r="B552" s="2" t="inlineStr">
        <is>
          <t>2025-11-02</t>
        </is>
      </c>
      <c r="C552" s="2" t="inlineStr">
        <is>
          <t>d_and_a</t>
        </is>
      </c>
      <c r="D552" s="2" t="inlineStr">
        <is>
          <t>d_and_a</t>
        </is>
      </c>
      <c r="E552" s="2" t="inlineStr">
        <is>
          <t>2025-11-02</t>
        </is>
      </c>
      <c r="F552" s="3" t="n">
        <v>8636000000</v>
      </c>
      <c r="G552" s="8" t="b">
        <v>0</v>
      </c>
      <c r="H552" s="2" t="inlineStr"/>
      <c r="I552" s="8" t="b">
        <v>0</v>
      </c>
      <c r="J552" s="2" t="inlineStr">
        <is>
          <t>https://www.sec.gov/Archives/edgar/data/1730168/000173016825000121/0001730168-25-000121-index.html</t>
        </is>
      </c>
      <c r="K552" s="2" t="inlineStr">
        <is>
          <t>USD</t>
        </is>
      </c>
    </row>
    <row r="553" ht="42" customHeight="1">
      <c r="A553" s="2" t="inlineStr">
        <is>
          <t>owner-earnings</t>
        </is>
      </c>
      <c r="B553" s="2" t="inlineStr">
        <is>
          <t>2025-11-02</t>
        </is>
      </c>
      <c r="C553" s="2" t="inlineStr">
        <is>
          <t>change_in_owc</t>
        </is>
      </c>
      <c r="D553" s="2" t="inlineStr">
        <is>
          <t>change_in_owc</t>
        </is>
      </c>
      <c r="E553" s="2" t="inlineStr">
        <is>
          <t>2025-11-02</t>
        </is>
      </c>
      <c r="F553" s="3" t="n">
        <v>3341000000</v>
      </c>
      <c r="G553" s="8" t="b">
        <v>0</v>
      </c>
      <c r="H553" s="2" t="inlineStr"/>
      <c r="I553" s="8" t="b">
        <v>0</v>
      </c>
      <c r="J553" s="2" t="inlineStr">
        <is>
          <t>Derived or model input; see parent calculation formula and model assumptions.</t>
        </is>
      </c>
      <c r="K553" s="2" t="inlineStr">
        <is>
          <t>USD</t>
        </is>
      </c>
    </row>
    <row r="554" ht="42" customHeight="1">
      <c r="A554" s="2" t="inlineStr">
        <is>
          <t>earnings-quality</t>
        </is>
      </c>
      <c r="B554" s="2" t="inlineStr">
        <is>
          <t>2025-11-02</t>
        </is>
      </c>
      <c r="C554" s="2" t="inlineStr">
        <is>
          <t>ocf</t>
        </is>
      </c>
      <c r="D554" s="2" t="inlineStr">
        <is>
          <t>ocf</t>
        </is>
      </c>
      <c r="E554" s="2" t="inlineStr">
        <is>
          <t>2025-11-02</t>
        </is>
      </c>
      <c r="F554" s="3" t="n">
        <v>27537000000</v>
      </c>
      <c r="G554" s="8" t="b">
        <v>0</v>
      </c>
      <c r="H554" s="2" t="inlineStr"/>
      <c r="I554" s="8" t="b">
        <v>0</v>
      </c>
      <c r="J554" s="2" t="inlineStr">
        <is>
          <t>https://www.sec.gov/Archives/edgar/data/1730168/000173016825000121/0001730168-25-000121-index.html</t>
        </is>
      </c>
      <c r="K554" s="2" t="inlineStr">
        <is>
          <t>USD</t>
        </is>
      </c>
    </row>
    <row r="555" ht="42" customHeight="1">
      <c r="A555" s="2" t="inlineStr">
        <is>
          <t>earnings-quality</t>
        </is>
      </c>
      <c r="B555" s="2" t="inlineStr">
        <is>
          <t>2025-11-02</t>
        </is>
      </c>
      <c r="C555" s="2" t="inlineStr">
        <is>
          <t>net_income</t>
        </is>
      </c>
      <c r="D555" s="2" t="inlineStr">
        <is>
          <t>net_income</t>
        </is>
      </c>
      <c r="E555" s="2" t="inlineStr">
        <is>
          <t>2025-11-02</t>
        </is>
      </c>
      <c r="F555" s="3" t="n">
        <v>23126000000</v>
      </c>
      <c r="G555" s="8" t="b">
        <v>0</v>
      </c>
      <c r="H555" s="2" t="inlineStr"/>
      <c r="I555" s="8" t="b">
        <v>0</v>
      </c>
      <c r="J555" s="2" t="inlineStr">
        <is>
          <t>https://www.sec.gov/Archives/edgar/data/1730168/000173016825000121/0001730168-25-000121-index.html</t>
        </is>
      </c>
      <c r="K555" s="2" t="inlineStr">
        <is>
          <t>USD</t>
        </is>
      </c>
    </row>
    <row r="556" ht="42" customHeight="1">
      <c r="A556" s="2" t="inlineStr">
        <is>
          <t>ebitda</t>
        </is>
      </c>
      <c r="B556" s="2" t="inlineStr">
        <is>
          <t>2025-11-02</t>
        </is>
      </c>
      <c r="C556" s="2" t="inlineStr">
        <is>
          <t>operating_income</t>
        </is>
      </c>
      <c r="D556" s="2" t="inlineStr">
        <is>
          <t>operating_income</t>
        </is>
      </c>
      <c r="E556" s="2" t="inlineStr">
        <is>
          <t>2025-11-02</t>
        </is>
      </c>
      <c r="F556" s="3" t="n">
        <v>25484000000</v>
      </c>
      <c r="G556" s="8" t="b">
        <v>0</v>
      </c>
      <c r="H556" s="2" t="inlineStr"/>
      <c r="I556" s="8" t="b">
        <v>0</v>
      </c>
      <c r="J556" s="2" t="inlineStr">
        <is>
          <t>https://www.sec.gov/Archives/edgar/data/1730168/000173016825000121/0001730168-25-000121-index.html</t>
        </is>
      </c>
      <c r="K556" s="2" t="inlineStr">
        <is>
          <t>USD</t>
        </is>
      </c>
    </row>
    <row r="557" ht="42" customHeight="1">
      <c r="A557" s="2" t="inlineStr">
        <is>
          <t>ebitda</t>
        </is>
      </c>
      <c r="B557" s="2" t="inlineStr">
        <is>
          <t>2025-11-02</t>
        </is>
      </c>
      <c r="C557" s="2" t="inlineStr">
        <is>
          <t>d_and_a</t>
        </is>
      </c>
      <c r="D557" s="2" t="inlineStr">
        <is>
          <t>d_and_a</t>
        </is>
      </c>
      <c r="E557" s="2" t="inlineStr">
        <is>
          <t>2025-11-02</t>
        </is>
      </c>
      <c r="F557" s="3" t="n">
        <v>8636000000</v>
      </c>
      <c r="G557" s="8" t="b">
        <v>0</v>
      </c>
      <c r="H557" s="2" t="inlineStr"/>
      <c r="I557" s="8" t="b">
        <v>0</v>
      </c>
      <c r="J557" s="2" t="inlineStr">
        <is>
          <t>https://www.sec.gov/Archives/edgar/data/1730168/000173016825000121/0001730168-25-000121-index.html</t>
        </is>
      </c>
      <c r="K557" s="2" t="inlineStr">
        <is>
          <t>USD</t>
        </is>
      </c>
    </row>
    <row r="558" ht="42" customHeight="1">
      <c r="A558" s="2" t="inlineStr">
        <is>
          <t>nopat</t>
        </is>
      </c>
      <c r="B558" s="2" t="inlineStr">
        <is>
          <t>2025-11-02</t>
        </is>
      </c>
      <c r="C558" s="2" t="inlineStr">
        <is>
          <t>operating_income</t>
        </is>
      </c>
      <c r="D558" s="2" t="inlineStr">
        <is>
          <t>operating_income</t>
        </is>
      </c>
      <c r="E558" s="2" t="inlineStr">
        <is>
          <t>2025-11-02</t>
        </is>
      </c>
      <c r="F558" s="3" t="n">
        <v>25484000000</v>
      </c>
      <c r="G558" s="8" t="b">
        <v>0</v>
      </c>
      <c r="H558" s="2" t="inlineStr"/>
      <c r="I558" s="8" t="b">
        <v>0</v>
      </c>
      <c r="J558" s="2" t="inlineStr">
        <is>
          <t>https://www.sec.gov/Archives/edgar/data/1730168/000173016825000121/0001730168-25-000121-index.html</t>
        </is>
      </c>
      <c r="K558" s="2" t="inlineStr">
        <is>
          <t>USD</t>
        </is>
      </c>
    </row>
    <row r="559" ht="42" customHeight="1">
      <c r="A559" s="2" t="inlineStr">
        <is>
          <t>nopat</t>
        </is>
      </c>
      <c r="B559" s="2" t="inlineStr">
        <is>
          <t>2025-11-02</t>
        </is>
      </c>
      <c r="C559" s="2" t="inlineStr">
        <is>
          <t>tax_rate</t>
        </is>
      </c>
      <c r="D559" s="2" t="inlineStr">
        <is>
          <t>tax_rate</t>
        </is>
      </c>
      <c r="E559" s="2" t="inlineStr">
        <is>
          <t>2025-11-02</t>
        </is>
      </c>
      <c r="F559" s="3" t="n">
        <v>0</v>
      </c>
      <c r="G559" s="8" t="b">
        <v>0</v>
      </c>
      <c r="H559" s="2" t="inlineStr"/>
      <c r="I559" s="8" t="b">
        <v>0</v>
      </c>
      <c r="J559" s="2" t="inlineStr">
        <is>
          <t>Derived or model input; see parent calculation formula and model assumptions.</t>
        </is>
      </c>
      <c r="K559" s="2" t="inlineStr">
        <is>
          <t>ratio (decimal)</t>
        </is>
      </c>
    </row>
    <row r="560" ht="42" customHeight="1">
      <c r="A560" s="2" t="inlineStr">
        <is>
          <t>invested-capital</t>
        </is>
      </c>
      <c r="B560" s="2" t="inlineStr">
        <is>
          <t>2025-11-02</t>
        </is>
      </c>
      <c r="C560" s="2" t="inlineStr">
        <is>
          <t>equity</t>
        </is>
      </c>
      <c r="D560" s="2" t="inlineStr">
        <is>
          <t>equity</t>
        </is>
      </c>
      <c r="E560" s="2" t="inlineStr">
        <is>
          <t>2025-11-02</t>
        </is>
      </c>
      <c r="F560" s="3" t="n">
        <v>81292000000</v>
      </c>
      <c r="G560" s="8" t="b">
        <v>0</v>
      </c>
      <c r="H560" s="2" t="inlineStr"/>
      <c r="I560" s="8" t="b">
        <v>0</v>
      </c>
      <c r="J560" s="2" t="inlineStr">
        <is>
          <t>https://www.sec.gov/Archives/edgar/data/1730168/000173016825000121/0001730168-25-000121-index.html</t>
        </is>
      </c>
      <c r="K560" s="2" t="inlineStr">
        <is>
          <t>USD</t>
        </is>
      </c>
    </row>
    <row r="561" ht="42" customHeight="1">
      <c r="A561" s="2" t="inlineStr">
        <is>
          <t>invested-capital</t>
        </is>
      </c>
      <c r="B561" s="2" t="inlineStr">
        <is>
          <t>2025-11-02</t>
        </is>
      </c>
      <c r="C561" s="2" t="inlineStr">
        <is>
          <t>debt</t>
        </is>
      </c>
      <c r="D561" s="2" t="inlineStr">
        <is>
          <t>debt</t>
        </is>
      </c>
      <c r="E561" s="2" t="inlineStr">
        <is>
          <t>2025-11-02</t>
        </is>
      </c>
      <c r="F561" s="3" t="n">
        <v>65136000000</v>
      </c>
      <c r="G561" s="8" t="b">
        <v>0</v>
      </c>
      <c r="H561" s="2" t="inlineStr"/>
      <c r="I561" s="8" t="b">
        <v>0</v>
      </c>
      <c r="J561" s="2" t="inlineStr">
        <is>
          <t>Derived or model input; see parent calculation formula and model assumptions.</t>
        </is>
      </c>
      <c r="K561" s="2" t="inlineStr">
        <is>
          <t>USD</t>
        </is>
      </c>
    </row>
    <row r="562" ht="42" customHeight="1">
      <c r="A562" s="2" t="inlineStr">
        <is>
          <t>invested-capital</t>
        </is>
      </c>
      <c r="B562" s="2" t="inlineStr">
        <is>
          <t>2025-11-02</t>
        </is>
      </c>
      <c r="C562" s="2" t="inlineStr">
        <is>
          <t>cash_sti</t>
        </is>
      </c>
      <c r="D562" s="2" t="inlineStr">
        <is>
          <t>cash_sti</t>
        </is>
      </c>
      <c r="E562" s="2" t="inlineStr">
        <is>
          <t>2025-11-02</t>
        </is>
      </c>
      <c r="F562" s="3" t="n">
        <v>16178000000</v>
      </c>
      <c r="G562" s="8" t="b">
        <v>0</v>
      </c>
      <c r="H562" s="2" t="inlineStr"/>
      <c r="I562" s="8" t="b">
        <v>0</v>
      </c>
      <c r="J562" s="2" t="inlineStr">
        <is>
          <t>https://www.sec.gov/Archives/edgar/data/1730168/000173016825000121/0001730168-25-000121-index.html</t>
        </is>
      </c>
      <c r="K562" s="2" t="inlineStr">
        <is>
          <t>USD</t>
        </is>
      </c>
    </row>
    <row r="563" ht="42" customHeight="1">
      <c r="A563" s="2" t="inlineStr">
        <is>
          <t>roic</t>
        </is>
      </c>
      <c r="B563" s="2" t="inlineStr">
        <is>
          <t>2025-11-02</t>
        </is>
      </c>
      <c r="C563" s="2" t="inlineStr">
        <is>
          <t>operating_income</t>
        </is>
      </c>
      <c r="D563" s="2" t="inlineStr">
        <is>
          <t>operating_income</t>
        </is>
      </c>
      <c r="E563" s="2" t="inlineStr">
        <is>
          <t>2025-11-02</t>
        </is>
      </c>
      <c r="F563" s="3" t="n">
        <v>25484000000</v>
      </c>
      <c r="G563" s="8" t="b">
        <v>0</v>
      </c>
      <c r="H563" s="2" t="inlineStr"/>
      <c r="I563" s="8" t="b">
        <v>0</v>
      </c>
      <c r="J563" s="2" t="inlineStr">
        <is>
          <t>https://www.sec.gov/Archives/edgar/data/1730168/000173016825000121/0001730168-25-000121-index.html</t>
        </is>
      </c>
      <c r="K563" s="2" t="inlineStr">
        <is>
          <t>USD</t>
        </is>
      </c>
    </row>
    <row r="564" ht="42" customHeight="1">
      <c r="A564" s="2" t="inlineStr">
        <is>
          <t>roic</t>
        </is>
      </c>
      <c r="B564" s="2" t="inlineStr">
        <is>
          <t>2025-11-02</t>
        </is>
      </c>
      <c r="C564" s="2" t="inlineStr">
        <is>
          <t>tax_rate</t>
        </is>
      </c>
      <c r="D564" s="2" t="inlineStr">
        <is>
          <t>tax_rate</t>
        </is>
      </c>
      <c r="E564" s="2" t="inlineStr">
        <is>
          <t>2025-11-02</t>
        </is>
      </c>
      <c r="F564" s="3" t="n">
        <v>0</v>
      </c>
      <c r="G564" s="8" t="b">
        <v>0</v>
      </c>
      <c r="H564" s="2" t="inlineStr"/>
      <c r="I564" s="8" t="b">
        <v>0</v>
      </c>
      <c r="J564" s="2" t="inlineStr">
        <is>
          <t>Derived or model input; see parent calculation formula and model assumptions.</t>
        </is>
      </c>
      <c r="K564" s="2" t="inlineStr">
        <is>
          <t>ratio (decimal)</t>
        </is>
      </c>
    </row>
    <row r="565" ht="42" customHeight="1">
      <c r="A565" s="2" t="inlineStr">
        <is>
          <t>roic</t>
        </is>
      </c>
      <c r="B565" s="2" t="inlineStr">
        <is>
          <t>2025-11-02</t>
        </is>
      </c>
      <c r="C565" s="2" t="inlineStr">
        <is>
          <t>average_invested_capital</t>
        </is>
      </c>
      <c r="D565" s="2" t="inlineStr">
        <is>
          <t>average_invested_capital</t>
        </is>
      </c>
      <c r="E565" s="2" t="inlineStr">
        <is>
          <t>2025-11-02</t>
        </is>
      </c>
      <c r="F565" s="3" t="n">
        <v>128060000000</v>
      </c>
      <c r="G565" s="8" t="b">
        <v>0</v>
      </c>
      <c r="H565" s="2" t="inlineStr"/>
      <c r="I565" s="8" t="b">
        <v>0</v>
      </c>
      <c r="J565" s="2" t="inlineStr">
        <is>
          <t>Derived or model input; see parent calculation formula and model assumptions.</t>
        </is>
      </c>
      <c r="K565" s="2" t="inlineStr">
        <is>
          <t>USD</t>
        </is>
      </c>
    </row>
    <row r="566" ht="42" customHeight="1">
      <c r="A566" s="2" t="inlineStr">
        <is>
          <t>net-debt</t>
        </is>
      </c>
      <c r="B566" s="2" t="inlineStr">
        <is>
          <t>2025-11-02</t>
        </is>
      </c>
      <c r="C566" s="2" t="inlineStr">
        <is>
          <t>debt</t>
        </is>
      </c>
      <c r="D566" s="2" t="inlineStr">
        <is>
          <t>debt</t>
        </is>
      </c>
      <c r="E566" s="2" t="inlineStr">
        <is>
          <t>2025-11-02</t>
        </is>
      </c>
      <c r="F566" s="3" t="n">
        <v>65136000000</v>
      </c>
      <c r="G566" s="8" t="b">
        <v>0</v>
      </c>
      <c r="H566" s="2" t="inlineStr"/>
      <c r="I566" s="8" t="b">
        <v>0</v>
      </c>
      <c r="J566" s="2" t="inlineStr">
        <is>
          <t>Derived or model input; see parent calculation formula and model assumptions.</t>
        </is>
      </c>
      <c r="K566" s="2" t="inlineStr">
        <is>
          <t>USD</t>
        </is>
      </c>
    </row>
    <row r="567" ht="42" customHeight="1">
      <c r="A567" s="2" t="inlineStr">
        <is>
          <t>net-debt</t>
        </is>
      </c>
      <c r="B567" s="2" t="inlineStr">
        <is>
          <t>2025-11-02</t>
        </is>
      </c>
      <c r="C567" s="2" t="inlineStr">
        <is>
          <t>cash_sti</t>
        </is>
      </c>
      <c r="D567" s="2" t="inlineStr">
        <is>
          <t>cash_sti</t>
        </is>
      </c>
      <c r="E567" s="2" t="inlineStr">
        <is>
          <t>2025-11-02</t>
        </is>
      </c>
      <c r="F567" s="3" t="n">
        <v>16178000000</v>
      </c>
      <c r="G567" s="8" t="b">
        <v>0</v>
      </c>
      <c r="H567" s="2" t="inlineStr"/>
      <c r="I567" s="8" t="b">
        <v>0</v>
      </c>
      <c r="J567" s="2" t="inlineStr">
        <is>
          <t>https://www.sec.gov/Archives/edgar/data/1730168/000173016825000121/0001730168-25-000121-index.html</t>
        </is>
      </c>
      <c r="K567" s="2" t="inlineStr">
        <is>
          <t>USD</t>
        </is>
      </c>
    </row>
    <row r="568" ht="42" customHeight="1">
      <c r="A568" s="2" t="inlineStr">
        <is>
          <t>debt-ebitda</t>
        </is>
      </c>
      <c r="B568" s="2" t="inlineStr">
        <is>
          <t>2025-11-02</t>
        </is>
      </c>
      <c r="C568" s="2" t="inlineStr">
        <is>
          <t>debt</t>
        </is>
      </c>
      <c r="D568" s="2" t="inlineStr">
        <is>
          <t>debt</t>
        </is>
      </c>
      <c r="E568" s="2" t="inlineStr">
        <is>
          <t>2025-11-02</t>
        </is>
      </c>
      <c r="F568" s="3" t="n">
        <v>65136000000</v>
      </c>
      <c r="G568" s="8" t="b">
        <v>0</v>
      </c>
      <c r="H568" s="2" t="inlineStr"/>
      <c r="I568" s="8" t="b">
        <v>0</v>
      </c>
      <c r="J568" s="2" t="inlineStr">
        <is>
          <t>Derived or model input; see parent calculation formula and model assumptions.</t>
        </is>
      </c>
      <c r="K568" s="2" t="inlineStr">
        <is>
          <t>USD</t>
        </is>
      </c>
    </row>
    <row r="569" ht="42" customHeight="1">
      <c r="A569" s="2" t="inlineStr">
        <is>
          <t>debt-ebitda</t>
        </is>
      </c>
      <c r="B569" s="2" t="inlineStr">
        <is>
          <t>2025-11-02</t>
        </is>
      </c>
      <c r="C569" s="2" t="inlineStr">
        <is>
          <t>ebitda</t>
        </is>
      </c>
      <c r="D569" s="2" t="inlineStr">
        <is>
          <t>ebitda</t>
        </is>
      </c>
      <c r="E569" s="2" t="inlineStr">
        <is>
          <t>2025-11-02</t>
        </is>
      </c>
      <c r="F569" s="3" t="n">
        <v>34120000000</v>
      </c>
      <c r="G569" s="8" t="b">
        <v>0</v>
      </c>
      <c r="H569" s="2" t="inlineStr"/>
      <c r="I569" s="8" t="b">
        <v>0</v>
      </c>
      <c r="J569" s="2" t="inlineStr">
        <is>
          <t>Derived: ebitda @ 2025-11-02; see Calculations and Calc inputs.</t>
        </is>
      </c>
      <c r="K569" s="2" t="inlineStr">
        <is>
          <t>USD</t>
        </is>
      </c>
    </row>
    <row r="570" ht="42" customHeight="1">
      <c r="A570" s="2" t="inlineStr">
        <is>
          <t>interest-coverage</t>
        </is>
      </c>
      <c r="B570" s="2" t="inlineStr">
        <is>
          <t>2025-11-02</t>
        </is>
      </c>
      <c r="C570" s="2" t="inlineStr">
        <is>
          <t>operating_income</t>
        </is>
      </c>
      <c r="D570" s="2" t="inlineStr">
        <is>
          <t>operating_income</t>
        </is>
      </c>
      <c r="E570" s="2" t="inlineStr">
        <is>
          <t>2025-11-02</t>
        </is>
      </c>
      <c r="F570" s="3" t="n">
        <v>25484000000</v>
      </c>
      <c r="G570" s="8" t="b">
        <v>0</v>
      </c>
      <c r="H570" s="2" t="inlineStr"/>
      <c r="I570" s="8" t="b">
        <v>0</v>
      </c>
      <c r="J570" s="2" t="inlineStr">
        <is>
          <t>https://www.sec.gov/Archives/edgar/data/1730168/000173016825000121/0001730168-25-000121-index.html</t>
        </is>
      </c>
      <c r="K570" s="2" t="inlineStr">
        <is>
          <t>USD</t>
        </is>
      </c>
    </row>
    <row r="571" ht="42" customHeight="1">
      <c r="A571" s="2" t="inlineStr">
        <is>
          <t>interest-coverage</t>
        </is>
      </c>
      <c r="B571" s="2" t="inlineStr">
        <is>
          <t>2025-11-02</t>
        </is>
      </c>
      <c r="C571" s="2" t="inlineStr">
        <is>
          <t>interest_expense</t>
        </is>
      </c>
      <c r="D571" s="2" t="inlineStr">
        <is>
          <t>interest_expense</t>
        </is>
      </c>
      <c r="E571" s="2" t="inlineStr">
        <is>
          <t>2025-11-02</t>
        </is>
      </c>
      <c r="F571" s="3" t="n">
        <v>3210000000</v>
      </c>
      <c r="G571" s="8" t="b">
        <v>0</v>
      </c>
      <c r="H571" s="2" t="inlineStr"/>
      <c r="I571" s="8" t="b">
        <v>0</v>
      </c>
      <c r="J571" s="2" t="inlineStr">
        <is>
          <t>https://www.sec.gov/Archives/edgar/data/1730168/000173016825000121/0001730168-25-000121-index.html</t>
        </is>
      </c>
      <c r="K571" s="2" t="inlineStr">
        <is>
          <t>USD</t>
        </is>
      </c>
    </row>
    <row r="572" ht="42" customHeight="1">
      <c r="A572" s="2" t="inlineStr">
        <is>
          <t>current-ratio</t>
        </is>
      </c>
      <c r="B572" s="2" t="inlineStr">
        <is>
          <t>2025-11-02</t>
        </is>
      </c>
      <c r="C572" s="2" t="inlineStr">
        <is>
          <t>current_assets</t>
        </is>
      </c>
      <c r="D572" s="2" t="inlineStr">
        <is>
          <t>current_assets</t>
        </is>
      </c>
      <c r="E572" s="2" t="inlineStr">
        <is>
          <t>2025-11-02</t>
        </is>
      </c>
      <c r="F572" s="3" t="n">
        <v>31573000000</v>
      </c>
      <c r="G572" s="8" t="b">
        <v>0</v>
      </c>
      <c r="H572" s="2" t="inlineStr"/>
      <c r="I572" s="8" t="b">
        <v>0</v>
      </c>
      <c r="J572" s="2" t="inlineStr">
        <is>
          <t>https://www.sec.gov/Archives/edgar/data/1730168/000173016825000121/0001730168-25-000121-index.html</t>
        </is>
      </c>
      <c r="K572" s="2" t="inlineStr">
        <is>
          <t>USD</t>
        </is>
      </c>
    </row>
    <row r="573" ht="42" customHeight="1">
      <c r="A573" s="2" t="inlineStr">
        <is>
          <t>current-ratio</t>
        </is>
      </c>
      <c r="B573" s="2" t="inlineStr">
        <is>
          <t>2025-11-02</t>
        </is>
      </c>
      <c r="C573" s="2" t="inlineStr">
        <is>
          <t>current_liabilities</t>
        </is>
      </c>
      <c r="D573" s="2" t="inlineStr">
        <is>
          <t>current_liabilities</t>
        </is>
      </c>
      <c r="E573" s="2" t="inlineStr">
        <is>
          <t>2025-11-02</t>
        </is>
      </c>
      <c r="F573" s="3" t="n">
        <v>18514000000</v>
      </c>
      <c r="G573" s="8" t="b">
        <v>0</v>
      </c>
      <c r="H573" s="2" t="inlineStr"/>
      <c r="I573" s="8" t="b">
        <v>0</v>
      </c>
      <c r="J573" s="2" t="inlineStr">
        <is>
          <t>https://www.sec.gov/Archives/edgar/data/1730168/000173016825000121/0001730168-25-000121-index.html</t>
        </is>
      </c>
      <c r="K573" s="2" t="inlineStr">
        <is>
          <t>USD</t>
        </is>
      </c>
    </row>
    <row r="574" ht="42" customHeight="1">
      <c r="A574" s="2" t="inlineStr">
        <is>
          <t>tangible-book-value</t>
        </is>
      </c>
      <c r="B574" s="2" t="inlineStr">
        <is>
          <t>2025-11-02</t>
        </is>
      </c>
      <c r="C574" s="2" t="inlineStr">
        <is>
          <t>equity</t>
        </is>
      </c>
      <c r="D574" s="2" t="inlineStr">
        <is>
          <t>equity</t>
        </is>
      </c>
      <c r="E574" s="2" t="inlineStr">
        <is>
          <t>2025-11-02</t>
        </is>
      </c>
      <c r="F574" s="3" t="n">
        <v>81292000000</v>
      </c>
      <c r="G574" s="8" t="b">
        <v>0</v>
      </c>
      <c r="H574" s="2" t="inlineStr"/>
      <c r="I574" s="8" t="b">
        <v>0</v>
      </c>
      <c r="J574" s="2" t="inlineStr">
        <is>
          <t>https://www.sec.gov/Archives/edgar/data/1730168/000173016825000121/0001730168-25-000121-index.html</t>
        </is>
      </c>
      <c r="K574" s="2" t="inlineStr">
        <is>
          <t>USD</t>
        </is>
      </c>
    </row>
    <row r="575" ht="42" customHeight="1">
      <c r="A575" s="2" t="inlineStr">
        <is>
          <t>tangible-book-value</t>
        </is>
      </c>
      <c r="B575" s="2" t="inlineStr">
        <is>
          <t>2025-11-02</t>
        </is>
      </c>
      <c r="C575" s="2" t="inlineStr">
        <is>
          <t>preferred</t>
        </is>
      </c>
      <c r="D575" s="2" t="inlineStr">
        <is>
          <t>preferred</t>
        </is>
      </c>
      <c r="E575" s="2" t="inlineStr">
        <is>
          <t>2025-11-02</t>
        </is>
      </c>
      <c r="F575" s="3" t="n">
        <v>0</v>
      </c>
      <c r="G575" s="8" t="b">
        <v>0</v>
      </c>
      <c r="H575" s="2" t="inlineStr"/>
      <c r="I575" s="8" t="b">
        <v>0</v>
      </c>
      <c r="J575" s="2" t="inlineStr">
        <is>
          <t>https://www.sec.gov/Archives/edgar/data/1730168/000173016825000121/0001730168-25-000121-index.html</t>
        </is>
      </c>
      <c r="K575" s="2" t="inlineStr">
        <is>
          <t>USD</t>
        </is>
      </c>
    </row>
    <row r="576" ht="42" customHeight="1">
      <c r="A576" s="2" t="inlineStr">
        <is>
          <t>tangible-book-value</t>
        </is>
      </c>
      <c r="B576" s="2" t="inlineStr">
        <is>
          <t>2025-11-02</t>
        </is>
      </c>
      <c r="C576" s="2" t="inlineStr">
        <is>
          <t>goodwill</t>
        </is>
      </c>
      <c r="D576" s="2" t="inlineStr">
        <is>
          <t>goodwill</t>
        </is>
      </c>
      <c r="E576" s="2" t="inlineStr">
        <is>
          <t>2025-11-02</t>
        </is>
      </c>
      <c r="F576" s="3" t="n">
        <v>97801000000</v>
      </c>
      <c r="G576" s="8" t="b">
        <v>0</v>
      </c>
      <c r="H576" s="2" t="inlineStr"/>
      <c r="I576" s="8" t="b">
        <v>0</v>
      </c>
      <c r="J576" s="2" t="inlineStr">
        <is>
          <t>https://www.sec.gov/Archives/edgar/data/1730168/000173016825000121/0001730168-25-000121-index.html</t>
        </is>
      </c>
      <c r="K576" s="2" t="inlineStr">
        <is>
          <t>USD</t>
        </is>
      </c>
    </row>
    <row r="577" ht="42" customHeight="1">
      <c r="A577" s="2" t="inlineStr">
        <is>
          <t>tangible-book-value</t>
        </is>
      </c>
      <c r="B577" s="2" t="inlineStr">
        <is>
          <t>2025-11-02</t>
        </is>
      </c>
      <c r="C577" s="2" t="inlineStr">
        <is>
          <t>intangibles</t>
        </is>
      </c>
      <c r="D577" s="2" t="inlineStr">
        <is>
          <t>intangibles</t>
        </is>
      </c>
      <c r="E577" s="2" t="inlineStr">
        <is>
          <t>2025-11-02</t>
        </is>
      </c>
      <c r="F577" s="3" t="n">
        <v>32273000000</v>
      </c>
      <c r="G577" s="8" t="b">
        <v>0</v>
      </c>
      <c r="H577" s="2" t="inlineStr"/>
      <c r="I577" s="8" t="b">
        <v>0</v>
      </c>
      <c r="J577" s="2" t="inlineStr">
        <is>
          <t>https://www.sec.gov/Archives/edgar/data/1730168/000173016825000121/0001730168-25-000121-index.html</t>
        </is>
      </c>
      <c r="K577" s="2" t="inlineStr">
        <is>
          <t>USD</t>
        </is>
      </c>
    </row>
    <row r="578" ht="42" customHeight="1">
      <c r="A578" s="2" t="inlineStr">
        <is>
          <t>ncav</t>
        </is>
      </c>
      <c r="B578" s="2" t="inlineStr">
        <is>
          <t>2025-11-02</t>
        </is>
      </c>
      <c r="C578" s="2" t="inlineStr">
        <is>
          <t>current_assets</t>
        </is>
      </c>
      <c r="D578" s="2" t="inlineStr">
        <is>
          <t>current_assets</t>
        </is>
      </c>
      <c r="E578" s="2" t="inlineStr">
        <is>
          <t>2025-11-02</t>
        </is>
      </c>
      <c r="F578" s="3" t="n">
        <v>31573000000</v>
      </c>
      <c r="G578" s="8" t="b">
        <v>0</v>
      </c>
      <c r="H578" s="2" t="inlineStr"/>
      <c r="I578" s="8" t="b">
        <v>0</v>
      </c>
      <c r="J578" s="2" t="inlineStr">
        <is>
          <t>https://www.sec.gov/Archives/edgar/data/1730168/000173016825000121/0001730168-25-000121-index.html</t>
        </is>
      </c>
      <c r="K578" s="2" t="inlineStr">
        <is>
          <t>USD</t>
        </is>
      </c>
    </row>
    <row r="579" ht="42" customHeight="1">
      <c r="A579" s="2" t="inlineStr">
        <is>
          <t>ncav</t>
        </is>
      </c>
      <c r="B579" s="2" t="inlineStr">
        <is>
          <t>2025-11-02</t>
        </is>
      </c>
      <c r="C579" s="2" t="inlineStr">
        <is>
          <t>total_liabilities</t>
        </is>
      </c>
      <c r="D579" s="2" t="inlineStr">
        <is>
          <t>total_liabilities</t>
        </is>
      </c>
      <c r="E579" s="2" t="inlineStr">
        <is>
          <t>2025-11-02</t>
        </is>
      </c>
      <c r="F579" s="3" t="n">
        <v>89800000000</v>
      </c>
      <c r="G579" s="8" t="b">
        <v>0</v>
      </c>
      <c r="H579" s="2" t="inlineStr"/>
      <c r="I579" s="8" t="b">
        <v>0</v>
      </c>
      <c r="J579" s="2" t="inlineStr">
        <is>
          <t>https://www.sec.gov/Archives/edgar/data/1730168/000173016825000121/0001730168-25-000121-index.html</t>
        </is>
      </c>
      <c r="K579" s="2" t="inlineStr">
        <is>
          <t>USD</t>
        </is>
      </c>
    </row>
    <row r="580" ht="42" customHeight="1">
      <c r="A580" s="2" t="inlineStr">
        <is>
          <t>ncav</t>
        </is>
      </c>
      <c r="B580" s="2" t="inlineStr">
        <is>
          <t>2025-11-02</t>
        </is>
      </c>
      <c r="C580" s="2" t="inlineStr">
        <is>
          <t>preferred</t>
        </is>
      </c>
      <c r="D580" s="2" t="inlineStr">
        <is>
          <t>preferred</t>
        </is>
      </c>
      <c r="E580" s="2" t="inlineStr">
        <is>
          <t>2025-11-02</t>
        </is>
      </c>
      <c r="F580" s="3" t="n">
        <v>0</v>
      </c>
      <c r="G580" s="8" t="b">
        <v>0</v>
      </c>
      <c r="H580" s="2" t="inlineStr"/>
      <c r="I580" s="8" t="b">
        <v>0</v>
      </c>
      <c r="J580" s="2" t="inlineStr">
        <is>
          <t>https://www.sec.gov/Archives/edgar/data/1730168/000173016825000121/0001730168-25-000121-index.html</t>
        </is>
      </c>
      <c r="K580" s="2" t="inlineStr">
        <is>
          <t>USD</t>
        </is>
      </c>
    </row>
    <row r="581" ht="42" customHeight="1">
      <c r="A581" s="2" t="inlineStr">
        <is>
          <t>dilution</t>
        </is>
      </c>
      <c r="B581" s="2" t="inlineStr">
        <is>
          <t>2025-11-02</t>
        </is>
      </c>
      <c r="C581" s="2" t="inlineStr">
        <is>
          <t>diluted_avg_shares</t>
        </is>
      </c>
      <c r="D581" s="2" t="inlineStr">
        <is>
          <t>diluted_avg_shares</t>
        </is>
      </c>
      <c r="E581" s="2" t="inlineStr">
        <is>
          <t>2025-11-02</t>
        </is>
      </c>
      <c r="F581" s="3" t="n">
        <v>4853000000</v>
      </c>
      <c r="G581" s="8" t="b">
        <v>0</v>
      </c>
      <c r="H581" s="2" t="inlineStr"/>
      <c r="I581" s="8" t="b">
        <v>0</v>
      </c>
      <c r="J581" s="2" t="inlineStr">
        <is>
          <t>https://www.sec.gov/Archives/edgar/data/1730168/000173016825000121/0001730168-25-000121-index.html</t>
        </is>
      </c>
      <c r="K581" s="2" t="inlineStr">
        <is>
          <t>shares</t>
        </is>
      </c>
    </row>
    <row r="582" ht="42" customHeight="1">
      <c r="A582" s="2" t="inlineStr">
        <is>
          <t>dilution</t>
        </is>
      </c>
      <c r="B582" s="2" t="inlineStr">
        <is>
          <t>2025-11-02</t>
        </is>
      </c>
      <c r="C582" s="2" t="inlineStr">
        <is>
          <t>previous_shares</t>
        </is>
      </c>
      <c r="D582" s="2" t="inlineStr">
        <is>
          <t>diluted_avg_shares</t>
        </is>
      </c>
      <c r="E582" s="2" t="inlineStr">
        <is>
          <t>2024-11-03</t>
        </is>
      </c>
      <c r="F582" s="3" t="n">
        <v>4778000000</v>
      </c>
      <c r="G582" s="8" t="b">
        <v>0</v>
      </c>
      <c r="H582" s="2" t="inlineStr"/>
      <c r="I582" s="8" t="b">
        <v>0</v>
      </c>
      <c r="J582" s="2" t="inlineStr">
        <is>
          <t>https://www.sec.gov/Archives/edgar/data/1730168/000173016825000121/0001730168-25-000121-index.html</t>
        </is>
      </c>
      <c r="K582" s="2" t="inlineStr">
        <is>
          <t>shares</t>
        </is>
      </c>
    </row>
    <row r="583" ht="42" customHeight="1">
      <c r="A583" s="2" t="inlineStr">
        <is>
          <t>sbc-to-revenue</t>
        </is>
      </c>
      <c r="B583" s="2" t="inlineStr">
        <is>
          <t>2025-11-02</t>
        </is>
      </c>
      <c r="C583" s="2" t="inlineStr">
        <is>
          <t>sbc</t>
        </is>
      </c>
      <c r="D583" s="2" t="inlineStr">
        <is>
          <t>sbc</t>
        </is>
      </c>
      <c r="E583" s="2" t="inlineStr">
        <is>
          <t>2025-11-02</t>
        </is>
      </c>
      <c r="F583" s="3" t="n">
        <v>7568000000</v>
      </c>
      <c r="G583" s="8" t="b">
        <v>0</v>
      </c>
      <c r="H583" s="2" t="inlineStr"/>
      <c r="I583" s="8" t="b">
        <v>0</v>
      </c>
      <c r="J583" s="2" t="inlineStr">
        <is>
          <t>https://www.sec.gov/Archives/edgar/data/1730168/000173016825000121/0001730168-25-000121-index.html</t>
        </is>
      </c>
      <c r="K583" s="2" t="inlineStr">
        <is>
          <t>USD</t>
        </is>
      </c>
    </row>
    <row r="584" ht="42" customHeight="1">
      <c r="A584" s="2" t="inlineStr">
        <is>
          <t>sbc-to-revenue</t>
        </is>
      </c>
      <c r="B584" s="2" t="inlineStr">
        <is>
          <t>2025-11-02</t>
        </is>
      </c>
      <c r="C584" s="2" t="inlineStr">
        <is>
          <t>revenue</t>
        </is>
      </c>
      <c r="D584" s="2" t="inlineStr">
        <is>
          <t>revenue</t>
        </is>
      </c>
      <c r="E584" s="2" t="inlineStr">
        <is>
          <t>2025-11-02</t>
        </is>
      </c>
      <c r="F584" s="3" t="n">
        <v>63887000000</v>
      </c>
      <c r="G584" s="8" t="b">
        <v>0</v>
      </c>
      <c r="H584" s="2" t="inlineStr"/>
      <c r="I584" s="8" t="b">
        <v>0</v>
      </c>
      <c r="J584" s="2" t="inlineStr">
        <is>
          <t>https://www.sec.gov/Archives/edgar/data/1730168/000173016825000121/0001730168-25-000121-index.html</t>
        </is>
      </c>
      <c r="K584" s="2" t="inlineStr">
        <is>
          <t>USD</t>
        </is>
      </c>
    </row>
    <row r="585" ht="42" customHeight="1">
      <c r="A585" s="2" t="inlineStr">
        <is>
          <t>eps</t>
        </is>
      </c>
      <c r="B585" s="2" t="inlineStr">
        <is>
          <t>2025-11-02</t>
        </is>
      </c>
      <c r="C585" s="2" t="inlineStr">
        <is>
          <t>eps_diluted</t>
        </is>
      </c>
      <c r="D585" s="2" t="inlineStr">
        <is>
          <t>eps_diluted</t>
        </is>
      </c>
      <c r="E585" s="2" t="inlineStr">
        <is>
          <t>2025-11-02</t>
        </is>
      </c>
      <c r="F585" s="3" t="n">
        <v>4.77</v>
      </c>
      <c r="G585" s="8" t="b">
        <v>0</v>
      </c>
      <c r="H585" s="2" t="inlineStr"/>
      <c r="I585" s="8" t="b">
        <v>0</v>
      </c>
      <c r="J585" s="2" t="inlineStr">
        <is>
          <t>https://www.sec.gov/Archives/edgar/data/1730168/000173016825000121/0001730168-25-000121-index.html</t>
        </is>
      </c>
      <c r="K585" s="2" t="inlineStr">
        <is>
          <t>USD per share</t>
        </is>
      </c>
    </row>
    <row r="586" ht="42" customHeight="1">
      <c r="A586" s="2" t="inlineStr">
        <is>
          <t>debt-due-3y</t>
        </is>
      </c>
      <c r="B586" s="2" t="inlineStr">
        <is>
          <t>2025-11-02</t>
        </is>
      </c>
      <c r="C586" s="2" t="inlineStr">
        <is>
          <t>maturity_y1</t>
        </is>
      </c>
      <c r="D586" s="2" t="inlineStr">
        <is>
          <t>maturity_y1</t>
        </is>
      </c>
      <c r="E586" s="2" t="inlineStr">
        <is>
          <t>2025-11-02</t>
        </is>
      </c>
      <c r="F586" s="3" t="n">
        <v>3152000000</v>
      </c>
      <c r="G586" s="8" t="b">
        <v>0</v>
      </c>
      <c r="H586" s="2" t="inlineStr"/>
      <c r="I586" s="8" t="b">
        <v>0</v>
      </c>
      <c r="J586" s="2" t="inlineStr">
        <is>
          <t>https://www.sec.gov/Archives/edgar/data/1730168/000173016825000121/0001730168-25-000121-index.html</t>
        </is>
      </c>
      <c r="K586" s="2" t="inlineStr">
        <is>
          <t>USD</t>
        </is>
      </c>
    </row>
    <row r="587" ht="42" customHeight="1">
      <c r="A587" s="2" t="inlineStr">
        <is>
          <t>debt-due-3y</t>
        </is>
      </c>
      <c r="B587" s="2" t="inlineStr">
        <is>
          <t>2025-11-02</t>
        </is>
      </c>
      <c r="C587" s="2" t="inlineStr">
        <is>
          <t>maturity_y2</t>
        </is>
      </c>
      <c r="D587" s="2" t="inlineStr">
        <is>
          <t>maturity_y2</t>
        </is>
      </c>
      <c r="E587" s="2" t="inlineStr">
        <is>
          <t>2025-11-02</t>
        </is>
      </c>
      <c r="F587" s="3" t="n">
        <v>2500000000</v>
      </c>
      <c r="G587" s="8" t="b">
        <v>0</v>
      </c>
      <c r="H587" s="2" t="inlineStr"/>
      <c r="I587" s="8" t="b">
        <v>0</v>
      </c>
      <c r="J587" s="2" t="inlineStr">
        <is>
          <t>https://www.sec.gov/Archives/edgar/data/1730168/000173016825000121/0001730168-25-000121-index.html</t>
        </is>
      </c>
      <c r="K587" s="2" t="inlineStr">
        <is>
          <t>USD</t>
        </is>
      </c>
    </row>
    <row r="588" ht="42" customHeight="1">
      <c r="A588" s="2" t="inlineStr">
        <is>
          <t>debt-due-3y</t>
        </is>
      </c>
      <c r="B588" s="2" t="inlineStr">
        <is>
          <t>2025-11-02</t>
        </is>
      </c>
      <c r="C588" s="2" t="inlineStr">
        <is>
          <t>maturity_y3</t>
        </is>
      </c>
      <c r="D588" s="2" t="inlineStr">
        <is>
          <t>maturity_y3</t>
        </is>
      </c>
      <c r="E588" s="2" t="inlineStr">
        <is>
          <t>2025-11-02</t>
        </is>
      </c>
      <c r="F588" s="3" t="n">
        <v>7120000000</v>
      </c>
      <c r="G588" s="8" t="b">
        <v>0</v>
      </c>
      <c r="H588" s="2" t="inlineStr"/>
      <c r="I588" s="8" t="b">
        <v>0</v>
      </c>
      <c r="J588" s="2" t="inlineStr">
        <is>
          <t>https://www.sec.gov/Archives/edgar/data/1730168/000173016825000121/0001730168-25-000121-index.html</t>
        </is>
      </c>
      <c r="K588" s="2" t="inlineStr">
        <is>
          <t>USD</t>
        </is>
      </c>
    </row>
    <row r="589" ht="42" customHeight="1">
      <c r="A589" s="2" t="inlineStr">
        <is>
          <t>revenue-cagr-5</t>
        </is>
      </c>
      <c r="B589" s="2" t="inlineStr">
        <is>
          <t>2025-11-02</t>
        </is>
      </c>
      <c r="C589" s="2" t="inlineStr">
        <is>
          <t>revenue</t>
        </is>
      </c>
      <c r="D589" s="2" t="inlineStr">
        <is>
          <t>revenue</t>
        </is>
      </c>
      <c r="E589" s="2" t="inlineStr">
        <is>
          <t>2025-11-02</t>
        </is>
      </c>
      <c r="F589" s="3" t="n">
        <v>63887000000</v>
      </c>
      <c r="G589" s="8" t="b">
        <v>0</v>
      </c>
      <c r="H589" s="2" t="inlineStr"/>
      <c r="I589" s="8" t="b">
        <v>0</v>
      </c>
      <c r="J589" s="2" t="inlineStr">
        <is>
          <t>https://www.sec.gov/Archives/edgar/data/1730168/000173016825000121/0001730168-25-000121-index.html</t>
        </is>
      </c>
      <c r="K589" s="2" t="inlineStr">
        <is>
          <t>USD</t>
        </is>
      </c>
    </row>
    <row r="590" ht="42" customHeight="1">
      <c r="A590" s="2" t="inlineStr">
        <is>
          <t>revenue-cagr-5</t>
        </is>
      </c>
      <c r="B590" s="2" t="inlineStr">
        <is>
          <t>2025-11-02</t>
        </is>
      </c>
      <c r="C590" s="2" t="inlineStr">
        <is>
          <t>first_revenue</t>
        </is>
      </c>
      <c r="D590" s="2" t="inlineStr">
        <is>
          <t>revenue</t>
        </is>
      </c>
      <c r="E590" s="2" t="inlineStr">
        <is>
          <t>2020-11-01</t>
        </is>
      </c>
      <c r="F590" s="3" t="n">
        <v>23888000000</v>
      </c>
      <c r="G590" s="8" t="b">
        <v>0</v>
      </c>
      <c r="H590" s="2" t="inlineStr"/>
      <c r="I590" s="8" t="b">
        <v>0</v>
      </c>
      <c r="J590" s="2" t="inlineStr">
        <is>
          <t>https://www.sec.gov/Archives/edgar/data/1730168/000173016822000118/0001730168-22-000118-index.html</t>
        </is>
      </c>
      <c r="K590" s="2" t="inlineStr">
        <is>
          <t>USD</t>
        </is>
      </c>
    </row>
    <row r="591" ht="42" customHeight="1">
      <c r="A591" s="2" t="inlineStr">
        <is>
          <t>revenue-cagr-9</t>
        </is>
      </c>
      <c r="B591" s="2" t="inlineStr">
        <is>
          <t>2025-11-02</t>
        </is>
      </c>
      <c r="C591" s="2" t="inlineStr">
        <is>
          <t>revenue</t>
        </is>
      </c>
      <c r="D591" s="2" t="inlineStr">
        <is>
          <t>revenue</t>
        </is>
      </c>
      <c r="E591" s="2" t="inlineStr">
        <is>
          <t>2025-11-02</t>
        </is>
      </c>
      <c r="F591" s="3" t="n">
        <v>63887000000</v>
      </c>
      <c r="G591" s="8" t="b">
        <v>0</v>
      </c>
      <c r="H591" s="2" t="inlineStr"/>
      <c r="I591" s="8" t="b">
        <v>0</v>
      </c>
      <c r="J591" s="2" t="inlineStr">
        <is>
          <t>https://www.sec.gov/Archives/edgar/data/1730168/000173016825000121/0001730168-25-000121-index.html</t>
        </is>
      </c>
      <c r="K591" s="2" t="inlineStr">
        <is>
          <t>USD</t>
        </is>
      </c>
    </row>
    <row r="592" ht="42" customHeight="1">
      <c r="A592" s="2" t="inlineStr">
        <is>
          <t>revenue-cagr-9</t>
        </is>
      </c>
      <c r="B592" s="2" t="inlineStr">
        <is>
          <t>2025-11-02</t>
        </is>
      </c>
      <c r="C592" s="2" t="inlineStr">
        <is>
          <t>first_revenue</t>
        </is>
      </c>
      <c r="D592" s="2" t="inlineStr">
        <is>
          <t>revenue</t>
        </is>
      </c>
      <c r="E592" s="2" t="inlineStr">
        <is>
          <t>2016-10-30</t>
        </is>
      </c>
      <c r="F592" s="3" t="n">
        <v>13240000000</v>
      </c>
      <c r="G592" s="8" t="b">
        <v>0</v>
      </c>
      <c r="H592" s="2" t="inlineStr"/>
      <c r="I592" s="8" t="b">
        <v>0</v>
      </c>
      <c r="J592" s="2" t="inlineStr">
        <is>
          <t>https://www.sec.gov/Archives/edgar/data/1730168/000173016818000084/0001730168-18-000084-index.html</t>
        </is>
      </c>
      <c r="K592" s="2" t="inlineStr">
        <is>
          <t>USD</t>
        </is>
      </c>
    </row>
    <row r="593" ht="42" customHeight="1">
      <c r="A593" s="2" t="inlineStr">
        <is>
          <t>diluted-shares-change</t>
        </is>
      </c>
      <c r="B593" s="2" t="inlineStr">
        <is>
          <t>2025-11-02</t>
        </is>
      </c>
      <c r="C593" s="2" t="inlineStr">
        <is>
          <t>diluted_avg_shares</t>
        </is>
      </c>
      <c r="D593" s="2" t="inlineStr">
        <is>
          <t>diluted_avg_shares</t>
        </is>
      </c>
      <c r="E593" s="2" t="inlineStr">
        <is>
          <t>2025-11-02</t>
        </is>
      </c>
      <c r="F593" s="3" t="n">
        <v>4853000000</v>
      </c>
      <c r="G593" s="8" t="b">
        <v>0</v>
      </c>
      <c r="H593" s="2" t="inlineStr"/>
      <c r="I593" s="8" t="b">
        <v>0</v>
      </c>
      <c r="J593" s="2" t="inlineStr">
        <is>
          <t>https://www.sec.gov/Archives/edgar/data/1730168/000173016825000121/0001730168-25-000121-index.html</t>
        </is>
      </c>
      <c r="K593" s="2" t="inlineStr">
        <is>
          <t>shares</t>
        </is>
      </c>
    </row>
    <row r="594" ht="42" customHeight="1">
      <c r="A594" s="2" t="inlineStr">
        <is>
          <t>diluted-shares-change</t>
        </is>
      </c>
      <c r="B594" s="2" t="inlineStr">
        <is>
          <t>2025-11-02</t>
        </is>
      </c>
      <c r="C594" s="2" t="inlineStr">
        <is>
          <t>first_shares</t>
        </is>
      </c>
      <c r="D594" s="2" t="inlineStr">
        <is>
          <t>diluted_avg_shares</t>
        </is>
      </c>
      <c r="E594" s="2" t="inlineStr">
        <is>
          <t>2016-10-30</t>
        </is>
      </c>
      <c r="F594" s="3" t="n">
        <v>3830000000</v>
      </c>
      <c r="G594" s="8" t="b">
        <v>0</v>
      </c>
      <c r="H594" s="2" t="inlineStr"/>
      <c r="I594" s="8" t="b">
        <v>0</v>
      </c>
      <c r="J594" s="2" t="inlineStr">
        <is>
          <t>https://www.sec.gov/Archives/edgar/data/1730168/000173016818000084/0001730168-18-000084-index.html</t>
        </is>
      </c>
      <c r="K594" s="2" t="inlineStr">
        <is>
          <t>shares</t>
        </is>
      </c>
    </row>
    <row r="595" ht="42" customHeight="1">
      <c r="A595" s="2" t="inlineStr">
        <is>
          <t>incremental-roic-5</t>
        </is>
      </c>
      <c r="B595" s="2" t="inlineStr">
        <is>
          <t>2025-11-02</t>
        </is>
      </c>
      <c r="C595" s="2" t="inlineStr">
        <is>
          <t>nopat</t>
        </is>
      </c>
      <c r="D595" s="2" t="inlineStr">
        <is>
          <t>nopat</t>
        </is>
      </c>
      <c r="E595" s="2" t="inlineStr">
        <is>
          <t>2025-11-02</t>
        </is>
      </c>
      <c r="F595" s="3" t="n">
        <v>25484000000</v>
      </c>
      <c r="G595" s="8" t="b">
        <v>0</v>
      </c>
      <c r="H595" s="2" t="inlineStr"/>
      <c r="I595" s="8" t="b">
        <v>0</v>
      </c>
      <c r="J595" s="2" t="inlineStr">
        <is>
          <t>Derived: nopat @ 2025-11-02; see Calculations and Calc inputs.</t>
        </is>
      </c>
      <c r="K595" s="2" t="inlineStr">
        <is>
          <t>USD</t>
        </is>
      </c>
    </row>
    <row r="596" ht="42" customHeight="1">
      <c r="A596" s="2" t="inlineStr">
        <is>
          <t>incremental-roic-5</t>
        </is>
      </c>
      <c r="B596" s="2" t="inlineStr">
        <is>
          <t>2025-11-02</t>
        </is>
      </c>
      <c r="C596" s="2" t="inlineStr">
        <is>
          <t>first_nopat</t>
        </is>
      </c>
      <c r="D596" s="2" t="inlineStr">
        <is>
          <t>nopat</t>
        </is>
      </c>
      <c r="E596" s="2" t="inlineStr">
        <is>
          <t>2020-11-01</t>
        </is>
      </c>
      <c r="F596" s="3" t="n">
        <v>4014000000</v>
      </c>
      <c r="G596" s="8" t="b">
        <v>0</v>
      </c>
      <c r="H596" s="2" t="inlineStr"/>
      <c r="I596" s="8" t="b">
        <v>0</v>
      </c>
      <c r="J596" s="2" t="inlineStr">
        <is>
          <t>Derived: nopat @ 2020-11-01; see Calculations and Calc inputs.</t>
        </is>
      </c>
      <c r="K596" s="2" t="inlineStr">
        <is>
          <t>USD</t>
        </is>
      </c>
    </row>
    <row r="597" ht="42" customHeight="1">
      <c r="A597" s="2" t="inlineStr">
        <is>
          <t>incremental-roic-5</t>
        </is>
      </c>
      <c r="B597" s="2" t="inlineStr">
        <is>
          <t>2025-11-02</t>
        </is>
      </c>
      <c r="C597" s="2" t="inlineStr">
        <is>
          <t>invested_capital</t>
        </is>
      </c>
      <c r="D597" s="2" t="inlineStr">
        <is>
          <t>invested-capital</t>
        </is>
      </c>
      <c r="E597" s="2" t="inlineStr">
        <is>
          <t>2025-11-02</t>
        </is>
      </c>
      <c r="F597" s="3" t="n">
        <v>130250000000</v>
      </c>
      <c r="G597" s="8" t="b">
        <v>0</v>
      </c>
      <c r="H597" s="2" t="inlineStr"/>
      <c r="I597" s="8" t="b">
        <v>0</v>
      </c>
      <c r="J597" s="2" t="inlineStr">
        <is>
          <t>Derived: invested-capital @ 2025-11-02; see Calculations and Calc inputs.</t>
        </is>
      </c>
      <c r="K597" s="2" t="inlineStr">
        <is>
          <t>USD</t>
        </is>
      </c>
    </row>
    <row r="598" ht="42" customHeight="1">
      <c r="A598" s="2" t="inlineStr">
        <is>
          <t>incremental-roic-5</t>
        </is>
      </c>
      <c r="B598" s="2" t="inlineStr">
        <is>
          <t>2025-11-02</t>
        </is>
      </c>
      <c r="C598" s="2" t="inlineStr">
        <is>
          <t>first_invested_capital</t>
        </is>
      </c>
      <c r="D598" s="2" t="inlineStr">
        <is>
          <t>invested-capital</t>
        </is>
      </c>
      <c r="E598" s="2" t="inlineStr">
        <is>
          <t>2020-11-01</t>
        </is>
      </c>
      <c r="F598" s="3" t="n">
        <v>57318000000</v>
      </c>
      <c r="G598" s="8" t="b">
        <v>0</v>
      </c>
      <c r="H598" s="2" t="inlineStr"/>
      <c r="I598" s="8" t="b">
        <v>0</v>
      </c>
      <c r="J598" s="2" t="inlineStr">
        <is>
          <t>Derived: invested-capital @ 2020-11-01; see Calculations and Calc inputs.</t>
        </is>
      </c>
      <c r="K598" s="2" t="inlineStr">
        <is>
          <t>USD</t>
        </is>
      </c>
    </row>
    <row r="599" ht="42" customHeight="1">
      <c r="A599" s="2" t="inlineStr">
        <is>
          <t>roic-years-above-wacc</t>
        </is>
      </c>
      <c r="B599" s="2" t="inlineStr">
        <is>
          <t>2025-11-02</t>
        </is>
      </c>
      <c r="C599" s="2" t="inlineStr">
        <is>
          <t>roic</t>
        </is>
      </c>
      <c r="D599" s="2" t="inlineStr">
        <is>
          <t>roic</t>
        </is>
      </c>
      <c r="E599" s="2" t="inlineStr">
        <is>
          <t>2017-10-29</t>
        </is>
      </c>
      <c r="F599" s="3" t="n">
        <v>0.08733068335736556</v>
      </c>
      <c r="G599" s="8" t="b">
        <v>0</v>
      </c>
      <c r="H599" s="2" t="inlineStr"/>
      <c r="I599" s="8" t="b">
        <v>0</v>
      </c>
      <c r="J599" s="2" t="inlineStr">
        <is>
          <t>Derived: roic @ 2017-10-29; see Calculations and Calc inputs.</t>
        </is>
      </c>
      <c r="K599" s="2" t="inlineStr">
        <is>
          <t>ratio (decimal)</t>
        </is>
      </c>
    </row>
    <row r="600" ht="42" customHeight="1">
      <c r="A600" s="2" t="inlineStr">
        <is>
          <t>roic-years-above-wacc</t>
        </is>
      </c>
      <c r="B600" s="2" t="inlineStr">
        <is>
          <t>2025-11-02</t>
        </is>
      </c>
      <c r="C600" s="2" t="inlineStr">
        <is>
          <t>roic</t>
        </is>
      </c>
      <c r="D600" s="2" t="inlineStr">
        <is>
          <t>roic</t>
        </is>
      </c>
      <c r="E600" s="2" t="inlineStr">
        <is>
          <t>2018-11-04</t>
        </is>
      </c>
      <c r="F600" s="3" t="n">
        <v>0.1544662866425015</v>
      </c>
      <c r="G600" s="8" t="b">
        <v>0</v>
      </c>
      <c r="H600" s="2" t="inlineStr"/>
      <c r="I600" s="8" t="b">
        <v>0</v>
      </c>
      <c r="J600" s="2" t="inlineStr">
        <is>
          <t>Derived: roic @ 2018-11-04; see Calculations and Calc inputs.</t>
        </is>
      </c>
      <c r="K600" s="2" t="inlineStr">
        <is>
          <t>ratio (decimal)</t>
        </is>
      </c>
    </row>
    <row r="601" ht="42" customHeight="1">
      <c r="A601" s="2" t="inlineStr">
        <is>
          <t>roic-years-above-wacc</t>
        </is>
      </c>
      <c r="B601" s="2" t="inlineStr">
        <is>
          <t>2025-11-02</t>
        </is>
      </c>
      <c r="C601" s="2" t="inlineStr">
        <is>
          <t>roic</t>
        </is>
      </c>
      <c r="D601" s="2" t="inlineStr">
        <is>
          <t>roic</t>
        </is>
      </c>
      <c r="E601" s="2" t="inlineStr">
        <is>
          <t>2019-11-03</t>
        </is>
      </c>
      <c r="F601" s="3" t="n">
        <v>0.074431069136176</v>
      </c>
      <c r="G601" s="8" t="b">
        <v>0</v>
      </c>
      <c r="H601" s="2" t="inlineStr"/>
      <c r="I601" s="8" t="b">
        <v>0</v>
      </c>
      <c r="J601" s="2" t="inlineStr">
        <is>
          <t>Derived: roic @ 2019-11-03; see Calculations and Calc inputs.</t>
        </is>
      </c>
      <c r="K601" s="2" t="inlineStr">
        <is>
          <t>ratio (decimal)</t>
        </is>
      </c>
    </row>
    <row r="602" ht="42" customHeight="1">
      <c r="A602" s="2" t="inlineStr">
        <is>
          <t>roic-years-above-wacc</t>
        </is>
      </c>
      <c r="B602" s="2" t="inlineStr">
        <is>
          <t>2025-11-02</t>
        </is>
      </c>
      <c r="C602" s="2" t="inlineStr">
        <is>
          <t>roic</t>
        </is>
      </c>
      <c r="D602" s="2" t="inlineStr">
        <is>
          <t>roic</t>
        </is>
      </c>
      <c r="E602" s="2" t="inlineStr">
        <is>
          <t>2020-11-01</t>
        </is>
      </c>
      <c r="F602" s="3" t="n">
        <v>0.0729804912637952</v>
      </c>
      <c r="G602" s="8" t="b">
        <v>0</v>
      </c>
      <c r="H602" s="2" t="inlineStr"/>
      <c r="I602" s="8" t="b">
        <v>0</v>
      </c>
      <c r="J602" s="2" t="inlineStr">
        <is>
          <t>Derived: roic @ 2020-11-01; see Calculations and Calc inputs.</t>
        </is>
      </c>
      <c r="K602" s="2" t="inlineStr">
        <is>
          <t>ratio (decimal)</t>
        </is>
      </c>
    </row>
    <row r="603" ht="42" customHeight="1">
      <c r="A603" s="2" t="inlineStr">
        <is>
          <t>roic-years-above-wacc</t>
        </is>
      </c>
      <c r="B603" s="2" t="inlineStr">
        <is>
          <t>2025-11-02</t>
        </is>
      </c>
      <c r="C603" s="2" t="inlineStr">
        <is>
          <t>roic</t>
        </is>
      </c>
      <c r="D603" s="2" t="inlineStr">
        <is>
          <t>roic</t>
        </is>
      </c>
      <c r="E603" s="2" t="inlineStr">
        <is>
          <t>2021-10-31</t>
        </is>
      </c>
      <c r="F603" s="3" t="n">
        <v>0.1544783057006162</v>
      </c>
      <c r="G603" s="8" t="b">
        <v>0</v>
      </c>
      <c r="H603" s="2" t="inlineStr"/>
      <c r="I603" s="8" t="b">
        <v>0</v>
      </c>
      <c r="J603" s="2" t="inlineStr">
        <is>
          <t>Derived: roic @ 2021-10-31; see Calculations and Calc inputs.</t>
        </is>
      </c>
      <c r="K603" s="2" t="inlineStr">
        <is>
          <t>ratio (decimal)</t>
        </is>
      </c>
    </row>
    <row r="604" ht="42" customHeight="1">
      <c r="A604" s="2" t="inlineStr">
        <is>
          <t>roic-years-above-wacc</t>
        </is>
      </c>
      <c r="B604" s="2" t="inlineStr">
        <is>
          <t>2025-11-02</t>
        </is>
      </c>
      <c r="C604" s="2" t="inlineStr">
        <is>
          <t>roic</t>
        </is>
      </c>
      <c r="D604" s="2" t="inlineStr">
        <is>
          <t>roic</t>
        </is>
      </c>
      <c r="E604" s="2" t="inlineStr">
        <is>
          <t>2022-10-30</t>
        </is>
      </c>
      <c r="F604" s="3" t="n">
        <v>0.2571669424986913</v>
      </c>
      <c r="G604" s="8" t="b">
        <v>0</v>
      </c>
      <c r="H604" s="2" t="inlineStr"/>
      <c r="I604" s="8" t="b">
        <v>0</v>
      </c>
      <c r="J604" s="2" t="inlineStr">
        <is>
          <t>Derived: roic @ 2022-10-30; see Calculations and Calc inputs.</t>
        </is>
      </c>
      <c r="K604" s="2" t="inlineStr">
        <is>
          <t>ratio (decimal)</t>
        </is>
      </c>
    </row>
    <row r="605" ht="42" customHeight="1">
      <c r="A605" s="2" t="inlineStr">
        <is>
          <t>roic-years-above-wacc</t>
        </is>
      </c>
      <c r="B605" s="2" t="inlineStr">
        <is>
          <t>2025-11-02</t>
        </is>
      </c>
      <c r="C605" s="2" t="inlineStr">
        <is>
          <t>roic</t>
        </is>
      </c>
      <c r="D605" s="2" t="inlineStr">
        <is>
          <t>roic</t>
        </is>
      </c>
      <c r="E605" s="2" t="inlineStr">
        <is>
          <t>2023-10-29</t>
        </is>
      </c>
      <c r="F605" s="3" t="n">
        <v>0.3061622332377607</v>
      </c>
      <c r="G605" s="8" t="b">
        <v>0</v>
      </c>
      <c r="H605" s="2" t="inlineStr"/>
      <c r="I605" s="8" t="b">
        <v>0</v>
      </c>
      <c r="J605" s="2" t="inlineStr">
        <is>
          <t>Derived: roic @ 2023-10-29; see Calculations and Calc inputs.</t>
        </is>
      </c>
      <c r="K605" s="2" t="inlineStr">
        <is>
          <t>ratio (decimal)</t>
        </is>
      </c>
    </row>
    <row r="606" ht="42" customHeight="1">
      <c r="A606" s="2" t="inlineStr">
        <is>
          <t>roic-years-above-wacc</t>
        </is>
      </c>
      <c r="B606" s="2" t="inlineStr">
        <is>
          <t>2025-11-02</t>
        </is>
      </c>
      <c r="C606" s="2" t="inlineStr">
        <is>
          <t>roic</t>
        </is>
      </c>
      <c r="D606" s="2" t="inlineStr">
        <is>
          <t>roic</t>
        </is>
      </c>
      <c r="E606" s="2" t="inlineStr">
        <is>
          <t>2024-11-03</t>
        </is>
      </c>
      <c r="F606" s="3" t="n">
        <v>0.1000949368898446</v>
      </c>
      <c r="G606" s="8" t="b">
        <v>0</v>
      </c>
      <c r="H606" s="2" t="inlineStr"/>
      <c r="I606" s="8" t="b">
        <v>0</v>
      </c>
      <c r="J606" s="2" t="inlineStr">
        <is>
          <t>Derived: roic @ 2024-11-03; see Calculations and Calc inputs.</t>
        </is>
      </c>
      <c r="K606" s="2" t="inlineStr">
        <is>
          <t>ratio (decimal)</t>
        </is>
      </c>
    </row>
    <row r="607" ht="42" customHeight="1">
      <c r="A607" s="2" t="inlineStr">
        <is>
          <t>roic-years-above-wacc</t>
        </is>
      </c>
      <c r="B607" s="2" t="inlineStr">
        <is>
          <t>2025-11-02</t>
        </is>
      </c>
      <c r="C607" s="2" t="inlineStr">
        <is>
          <t>roic</t>
        </is>
      </c>
      <c r="D607" s="2" t="inlineStr">
        <is>
          <t>roic</t>
        </is>
      </c>
      <c r="E607" s="2" t="inlineStr">
        <is>
          <t>2025-11-02</t>
        </is>
      </c>
      <c r="F607" s="3" t="n">
        <v>0.1990004685303764</v>
      </c>
      <c r="G607" s="8" t="b">
        <v>0</v>
      </c>
      <c r="H607" s="2" t="inlineStr"/>
      <c r="I607" s="8" t="b">
        <v>0</v>
      </c>
      <c r="J607" s="2" t="inlineStr">
        <is>
          <t>Derived: roic @ 2025-11-02; see Calculations and Calc inputs.</t>
        </is>
      </c>
      <c r="K607" s="2" t="inlineStr">
        <is>
          <t>ratio (decimal)</t>
        </is>
      </c>
    </row>
    <row r="608" ht="42" customHeight="1">
      <c r="A608" s="2" t="inlineStr">
        <is>
          <t>normalized-net-income</t>
        </is>
      </c>
      <c r="B608" s="2" t="inlineStr">
        <is>
          <t>2025-11-02</t>
        </is>
      </c>
      <c r="C608" s="2" t="inlineStr">
        <is>
          <t>net_income_1</t>
        </is>
      </c>
      <c r="D608" s="2" t="inlineStr">
        <is>
          <t>net_income</t>
        </is>
      </c>
      <c r="E608" s="2" t="inlineStr">
        <is>
          <t>2021-10-31</t>
        </is>
      </c>
      <c r="F608" s="3" t="n">
        <v>6736000000</v>
      </c>
      <c r="G608" s="8" t="b">
        <v>0</v>
      </c>
      <c r="H608" s="2" t="inlineStr"/>
      <c r="I608" s="8" t="b">
        <v>0</v>
      </c>
      <c r="J608" s="2" t="inlineStr">
        <is>
          <t>https://www.sec.gov/Archives/edgar/data/1730168/000173016823000096/0001730168-23-000096-index.html</t>
        </is>
      </c>
      <c r="K608" s="2" t="inlineStr">
        <is>
          <t>USD</t>
        </is>
      </c>
    </row>
    <row r="609" ht="42" customHeight="1">
      <c r="A609" s="2" t="inlineStr">
        <is>
          <t>normalized-net-income</t>
        </is>
      </c>
      <c r="B609" s="2" t="inlineStr">
        <is>
          <t>2025-11-02</t>
        </is>
      </c>
      <c r="C609" s="2" t="inlineStr">
        <is>
          <t>net_income_2</t>
        </is>
      </c>
      <c r="D609" s="2" t="inlineStr">
        <is>
          <t>net_income</t>
        </is>
      </c>
      <c r="E609" s="2" t="inlineStr">
        <is>
          <t>2022-10-30</t>
        </is>
      </c>
      <c r="F609" s="3" t="n">
        <v>11495000000</v>
      </c>
      <c r="G609" s="8" t="b">
        <v>0</v>
      </c>
      <c r="H609" s="2" t="inlineStr"/>
      <c r="I609" s="8" t="b">
        <v>0</v>
      </c>
      <c r="J609" s="2" t="inlineStr">
        <is>
          <t>https://www.sec.gov/Archives/edgar/data/1730168/000173016824000139/0001730168-24-000139-index.html</t>
        </is>
      </c>
      <c r="K609" s="2" t="inlineStr">
        <is>
          <t>USD</t>
        </is>
      </c>
    </row>
    <row r="610" ht="42" customHeight="1">
      <c r="A610" s="2" t="inlineStr">
        <is>
          <t>normalized-net-income</t>
        </is>
      </c>
      <c r="B610" s="2" t="inlineStr">
        <is>
          <t>2025-11-02</t>
        </is>
      </c>
      <c r="C610" s="2" t="inlineStr">
        <is>
          <t>net_income_3</t>
        </is>
      </c>
      <c r="D610" s="2" t="inlineStr">
        <is>
          <t>net_income</t>
        </is>
      </c>
      <c r="E610" s="2" t="inlineStr">
        <is>
          <t>2023-10-29</t>
        </is>
      </c>
      <c r="F610" s="3" t="n">
        <v>14082000000</v>
      </c>
      <c r="G610" s="8" t="b">
        <v>0</v>
      </c>
      <c r="H610" s="2" t="inlineStr"/>
      <c r="I610" s="8" t="b">
        <v>0</v>
      </c>
      <c r="J610" s="2" t="inlineStr">
        <is>
          <t>https://www.sec.gov/Archives/edgar/data/1730168/000173016824000139/0001730168-24-000139-index.html</t>
        </is>
      </c>
      <c r="K610" s="2" t="inlineStr">
        <is>
          <t>USD</t>
        </is>
      </c>
    </row>
    <row r="611" ht="42" customHeight="1">
      <c r="A611" s="2" t="inlineStr">
        <is>
          <t>normalized-net-income</t>
        </is>
      </c>
      <c r="B611" s="2" t="inlineStr">
        <is>
          <t>2025-11-02</t>
        </is>
      </c>
      <c r="C611" s="2" t="inlineStr">
        <is>
          <t>net_income_4</t>
        </is>
      </c>
      <c r="D611" s="2" t="inlineStr">
        <is>
          <t>net_income</t>
        </is>
      </c>
      <c r="E611" s="2" t="inlineStr">
        <is>
          <t>2024-11-03</t>
        </is>
      </c>
      <c r="F611" s="3" t="n">
        <v>5895000000</v>
      </c>
      <c r="G611" s="8" t="b">
        <v>0</v>
      </c>
      <c r="H611" s="2" t="inlineStr"/>
      <c r="I611" s="8" t="b">
        <v>0</v>
      </c>
      <c r="J611" s="2" t="inlineStr">
        <is>
          <t>https://www.sec.gov/Archives/edgar/data/1730168/000173016824000139/0001730168-24-000139-index.html</t>
        </is>
      </c>
      <c r="K611" s="2" t="inlineStr">
        <is>
          <t>USD</t>
        </is>
      </c>
    </row>
    <row r="612" ht="42" customHeight="1">
      <c r="A612" s="2" t="inlineStr">
        <is>
          <t>normalized-net-income</t>
        </is>
      </c>
      <c r="B612" s="2" t="inlineStr">
        <is>
          <t>2025-11-02</t>
        </is>
      </c>
      <c r="C612" s="2" t="inlineStr">
        <is>
          <t>net_income_5</t>
        </is>
      </c>
      <c r="D612" s="2" t="inlineStr">
        <is>
          <t>net_income</t>
        </is>
      </c>
      <c r="E612" s="2" t="inlineStr">
        <is>
          <t>2025-11-02</t>
        </is>
      </c>
      <c r="F612" s="3" t="n">
        <v>23126000000</v>
      </c>
      <c r="G612" s="8" t="b">
        <v>0</v>
      </c>
      <c r="H612" s="2" t="inlineStr"/>
      <c r="I612" s="8" t="b">
        <v>0</v>
      </c>
      <c r="J612" s="2" t="inlineStr">
        <is>
          <t>https://www.sec.gov/Archives/edgar/data/1730168/000173016825000121/0001730168-25-000121-index.html</t>
        </is>
      </c>
      <c r="K612" s="2" t="inlineStr">
        <is>
          <t>USD</t>
        </is>
      </c>
    </row>
    <row r="613" ht="42" customHeight="1">
      <c r="A613" s="2" t="inlineStr">
        <is>
          <t>market-cap</t>
        </is>
      </c>
      <c r="B613" s="2" t="inlineStr">
        <is>
          <t>2025-11-02</t>
        </is>
      </c>
      <c r="C613" s="2" t="inlineStr">
        <is>
          <t>price</t>
        </is>
      </c>
      <c r="D613" s="2" t="inlineStr">
        <is>
          <t>price</t>
        </is>
      </c>
      <c r="E613" s="2" t="inlineStr">
        <is>
          <t>2026-10-09</t>
        </is>
      </c>
      <c r="F613" s="3" t="n">
        <v>361.54</v>
      </c>
      <c r="G613" s="8" t="b">
        <v>0</v>
      </c>
      <c r="H613" s="2" t="inlineStr"/>
      <c r="I613" s="8" t="b">
        <v>0</v>
      </c>
      <c r="J613" s="2" t="inlineStr">
        <is>
          <t>User-supplied price, 2026-10-09</t>
        </is>
      </c>
      <c r="K613" s="2" t="inlineStr">
        <is>
          <t>USD/share</t>
        </is>
      </c>
    </row>
    <row r="614" ht="42" customHeight="1">
      <c r="A614" s="2" t="inlineStr">
        <is>
          <t>market-cap</t>
        </is>
      </c>
      <c r="B614" s="2" t="inlineStr">
        <is>
          <t>2025-11-02</t>
        </is>
      </c>
      <c r="C614" s="2" t="inlineStr">
        <is>
          <t>shares_outstanding</t>
        </is>
      </c>
      <c r="D614" s="2" t="inlineStr">
        <is>
          <t>cover_shares_outstanding</t>
        </is>
      </c>
      <c r="E614" s="2" t="inlineStr">
        <is>
          <t>2026-08-28</t>
        </is>
      </c>
      <c r="F614" s="3" t="n">
        <v>4773629865</v>
      </c>
      <c r="G614" s="8" t="b">
        <v>0</v>
      </c>
      <c r="H614" s="2" t="inlineStr"/>
      <c r="I614" s="8" t="b">
        <v>0</v>
      </c>
      <c r="J614" s="2" t="inlineStr">
        <is>
          <t>https://www.sec.gov/Archives/edgar/data/1730168/000173016826000080/0001730168-26-000080-index.html</t>
        </is>
      </c>
      <c r="K614" s="2" t="inlineStr">
        <is>
          <t>shares</t>
        </is>
      </c>
    </row>
    <row r="615" ht="42" customHeight="1">
      <c r="A615" s="2" t="inlineStr">
        <is>
          <t>enterprise-value</t>
        </is>
      </c>
      <c r="B615" s="2" t="inlineStr">
        <is>
          <t>2025-11-02</t>
        </is>
      </c>
      <c r="C615" s="2" t="inlineStr">
        <is>
          <t>market_cap</t>
        </is>
      </c>
      <c r="D615" s="2" t="inlineStr">
        <is>
          <t>market_cap</t>
        </is>
      </c>
      <c r="E615" s="2" t="inlineStr">
        <is>
          <t>2026-08-02</t>
        </is>
      </c>
      <c r="F615" s="3" t="n">
        <v>1725858141392.1</v>
      </c>
      <c r="G615" s="8" t="b">
        <v>0</v>
      </c>
      <c r="H615" s="2" t="inlineStr"/>
      <c r="I615" s="8" t="b">
        <v>0</v>
      </c>
      <c r="J615" s="2" t="inlineStr">
        <is>
          <t>Derived or model input; see parent calculation formula and model assumptions.</t>
        </is>
      </c>
      <c r="K615" s="2" t="inlineStr">
        <is>
          <t>USD</t>
        </is>
      </c>
    </row>
    <row r="616" ht="42" customHeight="1">
      <c r="A616" s="2" t="inlineStr">
        <is>
          <t>enterprise-value</t>
        </is>
      </c>
      <c r="B616" s="2" t="inlineStr">
        <is>
          <t>2025-11-02</t>
        </is>
      </c>
      <c r="C616" s="2" t="inlineStr">
        <is>
          <t>debt</t>
        </is>
      </c>
      <c r="D616" s="2" t="inlineStr">
        <is>
          <t>debt</t>
        </is>
      </c>
      <c r="E616" s="2" t="inlineStr">
        <is>
          <t>2026-08-02</t>
        </is>
      </c>
      <c r="F616" s="3" t="n">
        <v>59419000000</v>
      </c>
      <c r="G616" s="8" t="b">
        <v>0</v>
      </c>
      <c r="H616" s="2" t="inlineStr"/>
      <c r="I616" s="8" t="b">
        <v>0</v>
      </c>
      <c r="J616" s="2" t="inlineStr">
        <is>
          <t>Derived or model input; see parent calculation formula and model assumptions.</t>
        </is>
      </c>
      <c r="K616" s="2" t="inlineStr">
        <is>
          <t>USD</t>
        </is>
      </c>
    </row>
    <row r="617" ht="42" customHeight="1">
      <c r="A617" s="2" t="inlineStr">
        <is>
          <t>enterprise-value</t>
        </is>
      </c>
      <c r="B617" s="2" t="inlineStr">
        <is>
          <t>2025-11-02</t>
        </is>
      </c>
      <c r="C617" s="2" t="inlineStr">
        <is>
          <t>cash_sti</t>
        </is>
      </c>
      <c r="D617" s="2" t="inlineStr">
        <is>
          <t>cash_sti</t>
        </is>
      </c>
      <c r="E617" s="2" t="inlineStr">
        <is>
          <t>2026-08-02</t>
        </is>
      </c>
      <c r="F617" s="3" t="n">
        <v>23975000000</v>
      </c>
      <c r="G617" s="8" t="b">
        <v>0</v>
      </c>
      <c r="H617" s="2" t="inlineStr"/>
      <c r="I617" s="8" t="b">
        <v>0</v>
      </c>
      <c r="J617" s="2" t="inlineStr">
        <is>
          <t>https://www.sec.gov/Archives/edgar/data/1730168/000173016826000080/0001730168-26-000080-index.html</t>
        </is>
      </c>
      <c r="K617" s="2" t="inlineStr">
        <is>
          <t>USD</t>
        </is>
      </c>
    </row>
    <row r="618" ht="42" customHeight="1">
      <c r="A618" s="2" t="inlineStr">
        <is>
          <t>enterprise-value</t>
        </is>
      </c>
      <c r="B618" s="2" t="inlineStr">
        <is>
          <t>2025-11-02</t>
        </is>
      </c>
      <c r="C618" s="2" t="inlineStr">
        <is>
          <t>minority_interest</t>
        </is>
      </c>
      <c r="D618" s="2" t="inlineStr">
        <is>
          <t>minority_interest</t>
        </is>
      </c>
      <c r="E618" s="2" t="inlineStr">
        <is>
          <t>2026-08-02</t>
        </is>
      </c>
      <c r="F618" s="3" t="n">
        <v>0</v>
      </c>
      <c r="G618" s="8" t="b">
        <v>1</v>
      </c>
      <c r="H618" s="2" t="inlineStr"/>
      <c r="I618" s="8" t="b">
        <v>0</v>
      </c>
      <c r="J618" s="2" t="inlineStr">
        <is>
          <t xml:space="preserve">
Transformed calculation input: differs from the raw filing value; see formula and flags.</t>
        </is>
      </c>
      <c r="K618" s="2" t="inlineStr">
        <is>
          <t>USD</t>
        </is>
      </c>
    </row>
    <row r="619" ht="42" customHeight="1">
      <c r="A619" s="2" t="inlineStr">
        <is>
          <t>enterprise-value</t>
        </is>
      </c>
      <c r="B619" s="2" t="inlineStr">
        <is>
          <t>2025-11-02</t>
        </is>
      </c>
      <c r="C619" s="2" t="inlineStr">
        <is>
          <t>preferred</t>
        </is>
      </c>
      <c r="D619" s="2" t="inlineStr">
        <is>
          <t>preferred</t>
        </is>
      </c>
      <c r="E619" s="2" t="inlineStr">
        <is>
          <t>2026-08-02</t>
        </is>
      </c>
      <c r="F619" s="3" t="n">
        <v>0</v>
      </c>
      <c r="G619" s="8" t="b">
        <v>0</v>
      </c>
      <c r="H619" s="2" t="inlineStr"/>
      <c r="I619" s="8" t="b">
        <v>0</v>
      </c>
      <c r="J619" s="2" t="inlineStr">
        <is>
          <t>https://www.sec.gov/Archives/edgar/data/1730168/000173016826000080/0001730168-26-000080-index.html</t>
        </is>
      </c>
      <c r="K619" s="2" t="inlineStr">
        <is>
          <t>USD</t>
        </is>
      </c>
    </row>
    <row r="620" ht="42" customHeight="1">
      <c r="A620" s="2" t="inlineStr">
        <is>
          <t>pe</t>
        </is>
      </c>
      <c r="B620" s="2" t="inlineStr">
        <is>
          <t>2025-11-02</t>
        </is>
      </c>
      <c r="C620" s="2" t="inlineStr">
        <is>
          <t>market_cap</t>
        </is>
      </c>
      <c r="D620" s="2" t="inlineStr">
        <is>
          <t>market_cap</t>
        </is>
      </c>
      <c r="E620" s="2" t="inlineStr">
        <is>
          <t>2026-08-02</t>
        </is>
      </c>
      <c r="F620" s="3" t="n">
        <v>1725858141392.1</v>
      </c>
      <c r="G620" s="8" t="b">
        <v>0</v>
      </c>
      <c r="H620" s="2" t="inlineStr"/>
      <c r="I620" s="8" t="b">
        <v>0</v>
      </c>
      <c r="J620" s="2" t="inlineStr">
        <is>
          <t>Derived or model input; see parent calculation formula and model assumptions.</t>
        </is>
      </c>
      <c r="K620" s="2" t="inlineStr">
        <is>
          <t>USD</t>
        </is>
      </c>
    </row>
    <row r="621" ht="42" customHeight="1">
      <c r="A621" s="2" t="inlineStr">
        <is>
          <t>pe</t>
        </is>
      </c>
      <c r="B621" s="2" t="inlineStr">
        <is>
          <t>2025-11-02</t>
        </is>
      </c>
      <c r="C621" s="2" t="inlineStr">
        <is>
          <t>net_income</t>
        </is>
      </c>
      <c r="D621" s="2" t="inlineStr">
        <is>
          <t>net_income</t>
        </is>
      </c>
      <c r="E621" s="2" t="inlineStr">
        <is>
          <t>2025-11-02</t>
        </is>
      </c>
      <c r="F621" s="3" t="n">
        <v>23126000000</v>
      </c>
      <c r="G621" s="8" t="b">
        <v>0</v>
      </c>
      <c r="H621" s="2" t="inlineStr"/>
      <c r="I621" s="8" t="b">
        <v>0</v>
      </c>
      <c r="J621" s="2" t="inlineStr">
        <is>
          <t>https://www.sec.gov/Archives/edgar/data/1730168/000173016825000121/0001730168-25-000121-index.html</t>
        </is>
      </c>
      <c r="K621" s="2" t="inlineStr">
        <is>
          <t>USD</t>
        </is>
      </c>
    </row>
    <row r="622" ht="42" customHeight="1">
      <c r="A622" s="2" t="inlineStr">
        <is>
          <t>ev-ebitda</t>
        </is>
      </c>
      <c r="B622" s="2" t="inlineStr">
        <is>
          <t>2025-11-02</t>
        </is>
      </c>
      <c r="C622" s="2" t="inlineStr">
        <is>
          <t>market_cap</t>
        </is>
      </c>
      <c r="D622" s="2" t="inlineStr">
        <is>
          <t>market_cap</t>
        </is>
      </c>
      <c r="E622" s="2" t="inlineStr">
        <is>
          <t>2026-08-02</t>
        </is>
      </c>
      <c r="F622" s="3" t="n">
        <v>1725858141392.1</v>
      </c>
      <c r="G622" s="8" t="b">
        <v>0</v>
      </c>
      <c r="H622" s="2" t="inlineStr"/>
      <c r="I622" s="8" t="b">
        <v>0</v>
      </c>
      <c r="J622" s="2" t="inlineStr">
        <is>
          <t>Derived or model input; see parent calculation formula and model assumptions.</t>
        </is>
      </c>
      <c r="K622" s="2" t="inlineStr">
        <is>
          <t>USD</t>
        </is>
      </c>
    </row>
    <row r="623" ht="42" customHeight="1">
      <c r="A623" s="2" t="inlineStr">
        <is>
          <t>ev-ebitda</t>
        </is>
      </c>
      <c r="B623" s="2" t="inlineStr">
        <is>
          <t>2025-11-02</t>
        </is>
      </c>
      <c r="C623" s="2" t="inlineStr">
        <is>
          <t>debt</t>
        </is>
      </c>
      <c r="D623" s="2" t="inlineStr">
        <is>
          <t>debt</t>
        </is>
      </c>
      <c r="E623" s="2" t="inlineStr">
        <is>
          <t>2026-08-02</t>
        </is>
      </c>
      <c r="F623" s="3" t="n">
        <v>59419000000</v>
      </c>
      <c r="G623" s="8" t="b">
        <v>0</v>
      </c>
      <c r="H623" s="2" t="inlineStr"/>
      <c r="I623" s="8" t="b">
        <v>0</v>
      </c>
      <c r="J623" s="2" t="inlineStr">
        <is>
          <t>Derived or model input; see parent calculation formula and model assumptions.</t>
        </is>
      </c>
      <c r="K623" s="2" t="inlineStr">
        <is>
          <t>USD</t>
        </is>
      </c>
    </row>
    <row r="624" ht="42" customHeight="1">
      <c r="A624" s="2" t="inlineStr">
        <is>
          <t>ev-ebitda</t>
        </is>
      </c>
      <c r="B624" s="2" t="inlineStr">
        <is>
          <t>2025-11-02</t>
        </is>
      </c>
      <c r="C624" s="2" t="inlineStr">
        <is>
          <t>cash_sti</t>
        </is>
      </c>
      <c r="D624" s="2" t="inlineStr">
        <is>
          <t>cash_sti</t>
        </is>
      </c>
      <c r="E624" s="2" t="inlineStr">
        <is>
          <t>2026-08-02</t>
        </is>
      </c>
      <c r="F624" s="3" t="n">
        <v>23975000000</v>
      </c>
      <c r="G624" s="8" t="b">
        <v>0</v>
      </c>
      <c r="H624" s="2" t="inlineStr"/>
      <c r="I624" s="8" t="b">
        <v>0</v>
      </c>
      <c r="J624" s="2" t="inlineStr">
        <is>
          <t>https://www.sec.gov/Archives/edgar/data/1730168/000173016826000080/0001730168-26-000080-index.html</t>
        </is>
      </c>
      <c r="K624" s="2" t="inlineStr">
        <is>
          <t>USD</t>
        </is>
      </c>
    </row>
    <row r="625" ht="42" customHeight="1">
      <c r="A625" s="2" t="inlineStr">
        <is>
          <t>ev-ebitda</t>
        </is>
      </c>
      <c r="B625" s="2" t="inlineStr">
        <is>
          <t>2025-11-02</t>
        </is>
      </c>
      <c r="C625" s="2" t="inlineStr">
        <is>
          <t>ebitda</t>
        </is>
      </c>
      <c r="D625" s="2" t="inlineStr">
        <is>
          <t>ebitda</t>
        </is>
      </c>
      <c r="E625" s="2" t="inlineStr">
        <is>
          <t>2025-11-02</t>
        </is>
      </c>
      <c r="F625" s="3" t="n">
        <v>34120000000</v>
      </c>
      <c r="G625" s="8" t="b">
        <v>0</v>
      </c>
      <c r="H625" s="2" t="inlineStr"/>
      <c r="I625" s="8" t="b">
        <v>0</v>
      </c>
      <c r="J625" s="2" t="inlineStr">
        <is>
          <t>Derived: ebitda @ 2025-11-02; see Calculations and Calc inputs.</t>
        </is>
      </c>
      <c r="K625" s="2" t="inlineStr">
        <is>
          <t>USD</t>
        </is>
      </c>
    </row>
    <row r="626" ht="42" customHeight="1">
      <c r="A626" s="2" t="inlineStr">
        <is>
          <t>fcf-yield</t>
        </is>
      </c>
      <c r="B626" s="2" t="inlineStr">
        <is>
          <t>2025-11-02</t>
        </is>
      </c>
      <c r="C626" s="2" t="inlineStr">
        <is>
          <t>fcf</t>
        </is>
      </c>
      <c r="D626" s="2" t="inlineStr">
        <is>
          <t>fcf</t>
        </is>
      </c>
      <c r="E626" s="2" t="inlineStr">
        <is>
          <t>2025-11-02</t>
        </is>
      </c>
      <c r="F626" s="3" t="n">
        <v>26914000000</v>
      </c>
      <c r="G626" s="8" t="b">
        <v>0</v>
      </c>
      <c r="H626" s="2" t="inlineStr"/>
      <c r="I626" s="8" t="b">
        <v>0</v>
      </c>
      <c r="J626" s="2" t="inlineStr">
        <is>
          <t>Derived: fcf @ 2025-11-02; see Calculations and Calc inputs.</t>
        </is>
      </c>
      <c r="K626" s="2" t="inlineStr">
        <is>
          <t>USD</t>
        </is>
      </c>
    </row>
    <row r="627" ht="42" customHeight="1">
      <c r="A627" s="2" t="inlineStr">
        <is>
          <t>fcf-yield</t>
        </is>
      </c>
      <c r="B627" s="2" t="inlineStr">
        <is>
          <t>2025-11-02</t>
        </is>
      </c>
      <c r="C627" s="2" t="inlineStr">
        <is>
          <t>market_cap</t>
        </is>
      </c>
      <c r="D627" s="2" t="inlineStr">
        <is>
          <t>market_cap</t>
        </is>
      </c>
      <c r="E627" s="2" t="inlineStr">
        <is>
          <t>2026-08-02</t>
        </is>
      </c>
      <c r="F627" s="3" t="n">
        <v>1725858141392.1</v>
      </c>
      <c r="G627" s="8" t="b">
        <v>0</v>
      </c>
      <c r="H627" s="2" t="inlineStr"/>
      <c r="I627" s="8" t="b">
        <v>0</v>
      </c>
      <c r="J627" s="2" t="inlineStr">
        <is>
          <t>Derived or model input; see parent calculation formula and model assumptions.</t>
        </is>
      </c>
      <c r="K627" s="2" t="inlineStr">
        <is>
          <t>USD</t>
        </is>
      </c>
    </row>
    <row r="628" ht="42" customHeight="1">
      <c r="A628" s="2" t="inlineStr">
        <is>
          <t>dcf-value-bear</t>
        </is>
      </c>
      <c r="B628" s="2" t="inlineStr">
        <is>
          <t>2025-11-02</t>
        </is>
      </c>
      <c r="C628" s="2" t="inlineStr">
        <is>
          <t>fcff0</t>
        </is>
      </c>
      <c r="D628" s="2" t="inlineStr">
        <is>
          <t>fcff0</t>
        </is>
      </c>
      <c r="E628" s="2" t="inlineStr">
        <is>
          <t>2025-11-02</t>
        </is>
      </c>
      <c r="F628" s="3" t="n">
        <v>18591133285.86253</v>
      </c>
      <c r="G628" s="8" t="b">
        <v>0</v>
      </c>
      <c r="H628" s="2" t="inlineStr"/>
      <c r="I628" s="8" t="b">
        <v>0</v>
      </c>
      <c r="J628" s="2" t="inlineStr">
        <is>
          <t>Derived or model input; see parent calculation formula and model assumptions.</t>
        </is>
      </c>
      <c r="K628" s="2" t="inlineStr">
        <is>
          <t>USD</t>
        </is>
      </c>
    </row>
    <row r="629" ht="42" customHeight="1">
      <c r="A629" s="2" t="inlineStr">
        <is>
          <t>dcf-value-bear</t>
        </is>
      </c>
      <c r="B629" s="2" t="inlineStr">
        <is>
          <t>2025-11-02</t>
        </is>
      </c>
      <c r="C629" s="2" t="inlineStr">
        <is>
          <t>growth</t>
        </is>
      </c>
      <c r="D629" s="2" t="inlineStr">
        <is>
          <t>growth</t>
        </is>
      </c>
      <c r="E629" s="2" t="inlineStr">
        <is>
          <t>2025-11-02</t>
        </is>
      </c>
      <c r="F629" s="3" t="n">
        <v>0.05</v>
      </c>
      <c r="G629" s="8" t="b">
        <v>0</v>
      </c>
      <c r="H629" s="2" t="inlineStr"/>
      <c r="I629" s="8" t="b">
        <v>0</v>
      </c>
      <c r="J629" s="2" t="inlineStr">
        <is>
          <t>Derived or model input; see parent calculation formula and model assumptions.</t>
        </is>
      </c>
      <c r="K629" s="2" t="inlineStr">
        <is>
          <t>ratio (decimal)</t>
        </is>
      </c>
    </row>
    <row r="630" ht="42" customHeight="1">
      <c r="A630" s="2" t="inlineStr">
        <is>
          <t>dcf-value-bear</t>
        </is>
      </c>
      <c r="B630" s="2" t="inlineStr">
        <is>
          <t>2025-11-02</t>
        </is>
      </c>
      <c r="C630" s="2" t="inlineStr">
        <is>
          <t>debt_and_other_claims</t>
        </is>
      </c>
      <c r="D630" s="2" t="inlineStr">
        <is>
          <t>debt_and_other_claims</t>
        </is>
      </c>
      <c r="E630" s="2" t="inlineStr">
        <is>
          <t>2026-08-02</t>
        </is>
      </c>
      <c r="F630" s="3" t="n">
        <v>59419000000</v>
      </c>
      <c r="G630" s="8" t="b">
        <v>0</v>
      </c>
      <c r="H630" s="2" t="inlineStr"/>
      <c r="I630" s="8" t="b">
        <v>0</v>
      </c>
      <c r="J630" s="2" t="inlineStr">
        <is>
          <t>Derived or model input; see parent calculation formula and model assumptions.</t>
        </is>
      </c>
      <c r="K630" s="2" t="inlineStr">
        <is>
          <t>USD</t>
        </is>
      </c>
    </row>
    <row r="631" ht="42" customHeight="1">
      <c r="A631" s="2" t="inlineStr">
        <is>
          <t>dcf-value-bear</t>
        </is>
      </c>
      <c r="B631" s="2" t="inlineStr">
        <is>
          <t>2025-11-02</t>
        </is>
      </c>
      <c r="C631" s="2" t="inlineStr">
        <is>
          <t>cash_sti</t>
        </is>
      </c>
      <c r="D631" s="2" t="inlineStr">
        <is>
          <t>cash_sti</t>
        </is>
      </c>
      <c r="E631" s="2" t="inlineStr">
        <is>
          <t>2026-08-02</t>
        </is>
      </c>
      <c r="F631" s="3" t="n">
        <v>23975000000</v>
      </c>
      <c r="G631" s="8" t="b">
        <v>0</v>
      </c>
      <c r="H631" s="2" t="inlineStr"/>
      <c r="I631" s="8" t="b">
        <v>0</v>
      </c>
      <c r="J631" s="2" t="inlineStr">
        <is>
          <t>https://www.sec.gov/Archives/edgar/data/1730168/000173016826000080/0001730168-26-000080-index.html</t>
        </is>
      </c>
      <c r="K631" s="2" t="inlineStr">
        <is>
          <t>USD</t>
        </is>
      </c>
    </row>
    <row r="632" ht="42" customHeight="1">
      <c r="A632" s="2" t="inlineStr">
        <is>
          <t>dcf-value-bear</t>
        </is>
      </c>
      <c r="B632" s="2" t="inlineStr">
        <is>
          <t>2025-11-02</t>
        </is>
      </c>
      <c r="C632" s="2" t="inlineStr">
        <is>
          <t>shares_outstanding</t>
        </is>
      </c>
      <c r="D632" s="2" t="inlineStr">
        <is>
          <t>cover_shares_outstanding</t>
        </is>
      </c>
      <c r="E632" s="2" t="inlineStr">
        <is>
          <t>2026-08-28</t>
        </is>
      </c>
      <c r="F632" s="3" t="n">
        <v>4773629865</v>
      </c>
      <c r="G632" s="8" t="b">
        <v>0</v>
      </c>
      <c r="H632" s="2" t="inlineStr"/>
      <c r="I632" s="8" t="b">
        <v>0</v>
      </c>
      <c r="J632" s="2" t="inlineStr">
        <is>
          <t>https://www.sec.gov/Archives/edgar/data/1730168/000173016826000080/0001730168-26-000080-index.html</t>
        </is>
      </c>
      <c r="K632" s="2" t="inlineStr">
        <is>
          <t>shares</t>
        </is>
      </c>
    </row>
    <row r="633" ht="42" customHeight="1">
      <c r="A633" s="2" t="inlineStr">
        <is>
          <t>dcf-value-base</t>
        </is>
      </c>
      <c r="B633" s="2" t="inlineStr">
        <is>
          <t>2025-11-02</t>
        </is>
      </c>
      <c r="C633" s="2" t="inlineStr">
        <is>
          <t>fcff0</t>
        </is>
      </c>
      <c r="D633" s="2" t="inlineStr">
        <is>
          <t>fcff0</t>
        </is>
      </c>
      <c r="E633" s="2" t="inlineStr">
        <is>
          <t>2025-11-02</t>
        </is>
      </c>
      <c r="F633" s="3" t="n">
        <v>18591133285.86253</v>
      </c>
      <c r="G633" s="8" t="b">
        <v>0</v>
      </c>
      <c r="H633" s="2" t="inlineStr"/>
      <c r="I633" s="8" t="b">
        <v>0</v>
      </c>
      <c r="J633" s="2" t="inlineStr">
        <is>
          <t>Derived or model input; see parent calculation formula and model assumptions.</t>
        </is>
      </c>
      <c r="K633" s="2" t="inlineStr">
        <is>
          <t>USD</t>
        </is>
      </c>
    </row>
    <row r="634" ht="42" customHeight="1">
      <c r="A634" s="2" t="inlineStr">
        <is>
          <t>dcf-value-base</t>
        </is>
      </c>
      <c r="B634" s="2" t="inlineStr">
        <is>
          <t>2025-11-02</t>
        </is>
      </c>
      <c r="C634" s="2" t="inlineStr">
        <is>
          <t>growth</t>
        </is>
      </c>
      <c r="D634" s="2" t="inlineStr">
        <is>
          <t>growth</t>
        </is>
      </c>
      <c r="E634" s="2" t="inlineStr">
        <is>
          <t>2025-11-02</t>
        </is>
      </c>
      <c r="F634" s="3" t="n">
        <v>0.1</v>
      </c>
      <c r="G634" s="8" t="b">
        <v>0</v>
      </c>
      <c r="H634" s="2" t="inlineStr"/>
      <c r="I634" s="8" t="b">
        <v>0</v>
      </c>
      <c r="J634" s="2" t="inlineStr">
        <is>
          <t>Derived or model input; see parent calculation formula and model assumptions.</t>
        </is>
      </c>
      <c r="K634" s="2" t="inlineStr">
        <is>
          <t>ratio (decimal)</t>
        </is>
      </c>
    </row>
    <row r="635" ht="42" customHeight="1">
      <c r="A635" s="2" t="inlineStr">
        <is>
          <t>dcf-value-base</t>
        </is>
      </c>
      <c r="B635" s="2" t="inlineStr">
        <is>
          <t>2025-11-02</t>
        </is>
      </c>
      <c r="C635" s="2" t="inlineStr">
        <is>
          <t>debt_and_other_claims</t>
        </is>
      </c>
      <c r="D635" s="2" t="inlineStr">
        <is>
          <t>debt_and_other_claims</t>
        </is>
      </c>
      <c r="E635" s="2" t="inlineStr">
        <is>
          <t>2026-08-02</t>
        </is>
      </c>
      <c r="F635" s="3" t="n">
        <v>59419000000</v>
      </c>
      <c r="G635" s="8" t="b">
        <v>0</v>
      </c>
      <c r="H635" s="2" t="inlineStr"/>
      <c r="I635" s="8" t="b">
        <v>0</v>
      </c>
      <c r="J635" s="2" t="inlineStr">
        <is>
          <t>Derived or model input; see parent calculation formula and model assumptions.</t>
        </is>
      </c>
      <c r="K635" s="2" t="inlineStr">
        <is>
          <t>USD</t>
        </is>
      </c>
    </row>
    <row r="636" ht="42" customHeight="1">
      <c r="A636" s="2" t="inlineStr">
        <is>
          <t>dcf-value-base</t>
        </is>
      </c>
      <c r="B636" s="2" t="inlineStr">
        <is>
          <t>2025-11-02</t>
        </is>
      </c>
      <c r="C636" s="2" t="inlineStr">
        <is>
          <t>cash_sti</t>
        </is>
      </c>
      <c r="D636" s="2" t="inlineStr">
        <is>
          <t>cash_sti</t>
        </is>
      </c>
      <c r="E636" s="2" t="inlineStr">
        <is>
          <t>2026-08-02</t>
        </is>
      </c>
      <c r="F636" s="3" t="n">
        <v>23975000000</v>
      </c>
      <c r="G636" s="8" t="b">
        <v>0</v>
      </c>
      <c r="H636" s="2" t="inlineStr"/>
      <c r="I636" s="8" t="b">
        <v>0</v>
      </c>
      <c r="J636" s="2" t="inlineStr">
        <is>
          <t>https://www.sec.gov/Archives/edgar/data/1730168/000173016826000080/0001730168-26-000080-index.html</t>
        </is>
      </c>
      <c r="K636" s="2" t="inlineStr">
        <is>
          <t>USD</t>
        </is>
      </c>
    </row>
    <row r="637" ht="42" customHeight="1">
      <c r="A637" s="2" t="inlineStr">
        <is>
          <t>dcf-value-base</t>
        </is>
      </c>
      <c r="B637" s="2" t="inlineStr">
        <is>
          <t>2025-11-02</t>
        </is>
      </c>
      <c r="C637" s="2" t="inlineStr">
        <is>
          <t>shares_outstanding</t>
        </is>
      </c>
      <c r="D637" s="2" t="inlineStr">
        <is>
          <t>cover_shares_outstanding</t>
        </is>
      </c>
      <c r="E637" s="2" t="inlineStr">
        <is>
          <t>2026-08-28</t>
        </is>
      </c>
      <c r="F637" s="3" t="n">
        <v>4773629865</v>
      </c>
      <c r="G637" s="8" t="b">
        <v>0</v>
      </c>
      <c r="H637" s="2" t="inlineStr"/>
      <c r="I637" s="8" t="b">
        <v>0</v>
      </c>
      <c r="J637" s="2" t="inlineStr">
        <is>
          <t>https://www.sec.gov/Archives/edgar/data/1730168/000173016826000080/0001730168-26-000080-index.html</t>
        </is>
      </c>
      <c r="K637" s="2" t="inlineStr">
        <is>
          <t>shares</t>
        </is>
      </c>
    </row>
    <row r="638" ht="42" customHeight="1">
      <c r="A638" s="2" t="inlineStr">
        <is>
          <t>dcf-value-bull</t>
        </is>
      </c>
      <c r="B638" s="2" t="inlineStr">
        <is>
          <t>2025-11-02</t>
        </is>
      </c>
      <c r="C638" s="2" t="inlineStr">
        <is>
          <t>fcff0</t>
        </is>
      </c>
      <c r="D638" s="2" t="inlineStr">
        <is>
          <t>fcff0</t>
        </is>
      </c>
      <c r="E638" s="2" t="inlineStr">
        <is>
          <t>2025-11-02</t>
        </is>
      </c>
      <c r="F638" s="3" t="n">
        <v>18591133285.86253</v>
      </c>
      <c r="G638" s="8" t="b">
        <v>0</v>
      </c>
      <c r="H638" s="2" t="inlineStr"/>
      <c r="I638" s="8" t="b">
        <v>0</v>
      </c>
      <c r="J638" s="2" t="inlineStr">
        <is>
          <t>Derived or model input; see parent calculation formula and model assumptions.</t>
        </is>
      </c>
      <c r="K638" s="2" t="inlineStr">
        <is>
          <t>USD</t>
        </is>
      </c>
    </row>
    <row r="639" ht="42" customHeight="1">
      <c r="A639" s="2" t="inlineStr">
        <is>
          <t>dcf-value-bull</t>
        </is>
      </c>
      <c r="B639" s="2" t="inlineStr">
        <is>
          <t>2025-11-02</t>
        </is>
      </c>
      <c r="C639" s="2" t="inlineStr">
        <is>
          <t>growth</t>
        </is>
      </c>
      <c r="D639" s="2" t="inlineStr">
        <is>
          <t>growth</t>
        </is>
      </c>
      <c r="E639" s="2" t="inlineStr">
        <is>
          <t>2025-11-02</t>
        </is>
      </c>
      <c r="F639" s="3" t="n">
        <v>0.13</v>
      </c>
      <c r="G639" s="8" t="b">
        <v>0</v>
      </c>
      <c r="H639" s="2" t="inlineStr"/>
      <c r="I639" s="8" t="b">
        <v>0</v>
      </c>
      <c r="J639" s="2" t="inlineStr">
        <is>
          <t>Derived or model input; see parent calculation formula and model assumptions.</t>
        </is>
      </c>
      <c r="K639" s="2" t="inlineStr">
        <is>
          <t>ratio (decimal)</t>
        </is>
      </c>
    </row>
    <row r="640" ht="42" customHeight="1">
      <c r="A640" s="2" t="inlineStr">
        <is>
          <t>dcf-value-bull</t>
        </is>
      </c>
      <c r="B640" s="2" t="inlineStr">
        <is>
          <t>2025-11-02</t>
        </is>
      </c>
      <c r="C640" s="2" t="inlineStr">
        <is>
          <t>debt_and_other_claims</t>
        </is>
      </c>
      <c r="D640" s="2" t="inlineStr">
        <is>
          <t>debt_and_other_claims</t>
        </is>
      </c>
      <c r="E640" s="2" t="inlineStr">
        <is>
          <t>2026-08-02</t>
        </is>
      </c>
      <c r="F640" s="3" t="n">
        <v>59419000000</v>
      </c>
      <c r="G640" s="8" t="b">
        <v>0</v>
      </c>
      <c r="H640" s="2" t="inlineStr"/>
      <c r="I640" s="8" t="b">
        <v>0</v>
      </c>
      <c r="J640" s="2" t="inlineStr">
        <is>
          <t>Derived or model input; see parent calculation formula and model assumptions.</t>
        </is>
      </c>
      <c r="K640" s="2" t="inlineStr">
        <is>
          <t>USD</t>
        </is>
      </c>
    </row>
    <row r="641" ht="42" customHeight="1">
      <c r="A641" s="2" t="inlineStr">
        <is>
          <t>dcf-value-bull</t>
        </is>
      </c>
      <c r="B641" s="2" t="inlineStr">
        <is>
          <t>2025-11-02</t>
        </is>
      </c>
      <c r="C641" s="2" t="inlineStr">
        <is>
          <t>cash_sti</t>
        </is>
      </c>
      <c r="D641" s="2" t="inlineStr">
        <is>
          <t>cash_sti</t>
        </is>
      </c>
      <c r="E641" s="2" t="inlineStr">
        <is>
          <t>2026-08-02</t>
        </is>
      </c>
      <c r="F641" s="3" t="n">
        <v>23975000000</v>
      </c>
      <c r="G641" s="8" t="b">
        <v>0</v>
      </c>
      <c r="H641" s="2" t="inlineStr"/>
      <c r="I641" s="8" t="b">
        <v>0</v>
      </c>
      <c r="J641" s="2" t="inlineStr">
        <is>
          <t>https://www.sec.gov/Archives/edgar/data/1730168/000173016826000080/0001730168-26-000080-index.html</t>
        </is>
      </c>
      <c r="K641" s="2" t="inlineStr">
        <is>
          <t>USD</t>
        </is>
      </c>
    </row>
    <row r="642" ht="42" customHeight="1">
      <c r="A642" s="2" t="inlineStr">
        <is>
          <t>dcf-value-bull</t>
        </is>
      </c>
      <c r="B642" s="2" t="inlineStr">
        <is>
          <t>2025-11-02</t>
        </is>
      </c>
      <c r="C642" s="2" t="inlineStr">
        <is>
          <t>shares_outstanding</t>
        </is>
      </c>
      <c r="D642" s="2" t="inlineStr">
        <is>
          <t>cover_shares_outstanding</t>
        </is>
      </c>
      <c r="E642" s="2" t="inlineStr">
        <is>
          <t>2026-08-28</t>
        </is>
      </c>
      <c r="F642" s="3" t="n">
        <v>4773629865</v>
      </c>
      <c r="G642" s="8" t="b">
        <v>0</v>
      </c>
      <c r="H642" s="2" t="inlineStr"/>
      <c r="I642" s="8" t="b">
        <v>0</v>
      </c>
      <c r="J642" s="2" t="inlineStr">
        <is>
          <t>https://www.sec.gov/Archives/edgar/data/1730168/000173016826000080/0001730168-26-000080-index.html</t>
        </is>
      </c>
      <c r="K642" s="2" t="inlineStr">
        <is>
          <t>shares</t>
        </is>
      </c>
    </row>
    <row r="643" ht="42" customHeight="1">
      <c r="A643" s="2" t="inlineStr">
        <is>
          <t>reverse-dcf-growth</t>
        </is>
      </c>
      <c r="B643" s="2" t="inlineStr">
        <is>
          <t>2025-11-02</t>
        </is>
      </c>
      <c r="C643" s="2" t="inlineStr">
        <is>
          <t>price</t>
        </is>
      </c>
      <c r="D643" s="2" t="inlineStr">
        <is>
          <t>price</t>
        </is>
      </c>
      <c r="E643" s="2" t="inlineStr">
        <is>
          <t>2026-10-09</t>
        </is>
      </c>
      <c r="F643" s="3" t="n">
        <v>361.54</v>
      </c>
      <c r="G643" s="8" t="b">
        <v>0</v>
      </c>
      <c r="H643" s="2" t="inlineStr"/>
      <c r="I643" s="8" t="b">
        <v>0</v>
      </c>
      <c r="J643" s="2" t="inlineStr">
        <is>
          <t>User-supplied price, 2026-10-09</t>
        </is>
      </c>
      <c r="K643" s="2" t="inlineStr">
        <is>
          <t>USD/share</t>
        </is>
      </c>
    </row>
    <row r="644" ht="42" customHeight="1">
      <c r="A644" s="2" t="inlineStr">
        <is>
          <t>reverse-dcf-growth</t>
        </is>
      </c>
      <c r="B644" s="2" t="inlineStr">
        <is>
          <t>2025-11-02</t>
        </is>
      </c>
      <c r="C644" s="2" t="inlineStr">
        <is>
          <t>fcff0</t>
        </is>
      </c>
      <c r="D644" s="2" t="inlineStr">
        <is>
          <t>fcff0</t>
        </is>
      </c>
      <c r="E644" s="2" t="inlineStr">
        <is>
          <t>2025-11-02</t>
        </is>
      </c>
      <c r="F644" s="3" t="n">
        <v>18591133285.86253</v>
      </c>
      <c r="G644" s="8" t="b">
        <v>0</v>
      </c>
      <c r="H644" s="2" t="inlineStr"/>
      <c r="I644" s="8" t="b">
        <v>0</v>
      </c>
      <c r="J644" s="2" t="inlineStr">
        <is>
          <t>Derived or model input; see parent calculation formula and model assumptions.</t>
        </is>
      </c>
      <c r="K644" s="2" t="inlineStr">
        <is>
          <t>USD</t>
        </is>
      </c>
    </row>
    <row r="645" ht="42" customHeight="1">
      <c r="A645" s="2" t="inlineStr">
        <is>
          <t>reverse-dcf-growth</t>
        </is>
      </c>
      <c r="B645" s="2" t="inlineStr">
        <is>
          <t>2025-11-02</t>
        </is>
      </c>
      <c r="C645" s="2" t="inlineStr">
        <is>
          <t>debt_and_other_claims</t>
        </is>
      </c>
      <c r="D645" s="2" t="inlineStr">
        <is>
          <t>debt_and_other_claims</t>
        </is>
      </c>
      <c r="E645" s="2" t="inlineStr">
        <is>
          <t>2026-08-02</t>
        </is>
      </c>
      <c r="F645" s="3" t="n">
        <v>59419000000</v>
      </c>
      <c r="G645" s="8" t="b">
        <v>0</v>
      </c>
      <c r="H645" s="2" t="inlineStr"/>
      <c r="I645" s="8" t="b">
        <v>0</v>
      </c>
      <c r="J645" s="2" t="inlineStr">
        <is>
          <t>Derived or model input; see parent calculation formula and model assumptions.</t>
        </is>
      </c>
      <c r="K645" s="2" t="inlineStr">
        <is>
          <t>USD</t>
        </is>
      </c>
    </row>
    <row r="646" ht="42" customHeight="1">
      <c r="A646" s="2" t="inlineStr">
        <is>
          <t>reverse-dcf-growth</t>
        </is>
      </c>
      <c r="B646" s="2" t="inlineStr">
        <is>
          <t>2025-11-02</t>
        </is>
      </c>
      <c r="C646" s="2" t="inlineStr">
        <is>
          <t>cash_sti</t>
        </is>
      </c>
      <c r="D646" s="2" t="inlineStr">
        <is>
          <t>cash_sti</t>
        </is>
      </c>
      <c r="E646" s="2" t="inlineStr">
        <is>
          <t>2026-08-02</t>
        </is>
      </c>
      <c r="F646" s="3" t="n">
        <v>23975000000</v>
      </c>
      <c r="G646" s="8" t="b">
        <v>0</v>
      </c>
      <c r="H646" s="2" t="inlineStr"/>
      <c r="I646" s="8" t="b">
        <v>0</v>
      </c>
      <c r="J646" s="2" t="inlineStr">
        <is>
          <t>https://www.sec.gov/Archives/edgar/data/1730168/000173016826000080/0001730168-26-000080-index.html</t>
        </is>
      </c>
      <c r="K646" s="2" t="inlineStr">
        <is>
          <t>USD</t>
        </is>
      </c>
    </row>
    <row r="647" ht="42" customHeight="1">
      <c r="A647" s="2" t="inlineStr">
        <is>
          <t>reverse-dcf-growth</t>
        </is>
      </c>
      <c r="B647" s="2" t="inlineStr">
        <is>
          <t>2025-11-02</t>
        </is>
      </c>
      <c r="C647" s="2" t="inlineStr">
        <is>
          <t>shares_outstanding</t>
        </is>
      </c>
      <c r="D647" s="2" t="inlineStr">
        <is>
          <t>cover_shares_outstanding</t>
        </is>
      </c>
      <c r="E647" s="2" t="inlineStr">
        <is>
          <t>2026-08-28</t>
        </is>
      </c>
      <c r="F647" s="3" t="n">
        <v>4773629865</v>
      </c>
      <c r="G647" s="8" t="b">
        <v>0</v>
      </c>
      <c r="H647" s="2" t="inlineStr"/>
      <c r="I647" s="8" t="b">
        <v>0</v>
      </c>
      <c r="J647" s="2" t="inlineStr">
        <is>
          <t>https://www.sec.gov/Archives/edgar/data/1730168/000173016826000080/0001730168-26-000080-index.html</t>
        </is>
      </c>
      <c r="K647" s="2" t="inlineStr">
        <is>
          <t>shares</t>
        </is>
      </c>
    </row>
    <row r="648" ht="42" customHeight="1">
      <c r="A648" s="2" t="inlineStr">
        <is>
          <t>reverse-dcf-revenue</t>
        </is>
      </c>
      <c r="B648" s="2" t="inlineStr">
        <is>
          <t>2025-11-02</t>
        </is>
      </c>
      <c r="C648" s="2" t="inlineStr">
        <is>
          <t>price</t>
        </is>
      </c>
      <c r="D648" s="2" t="inlineStr">
        <is>
          <t>price</t>
        </is>
      </c>
      <c r="E648" s="2" t="inlineStr">
        <is>
          <t>2026-10-09</t>
        </is>
      </c>
      <c r="F648" s="3" t="n">
        <v>361.54</v>
      </c>
      <c r="G648" s="8" t="b">
        <v>0</v>
      </c>
      <c r="H648" s="2" t="inlineStr"/>
      <c r="I648" s="8" t="b">
        <v>0</v>
      </c>
      <c r="J648" s="2" t="inlineStr">
        <is>
          <t>User-supplied price, 2026-10-09</t>
        </is>
      </c>
      <c r="K648" s="2" t="inlineStr">
        <is>
          <t>USD/share</t>
        </is>
      </c>
    </row>
    <row r="649" ht="42" customHeight="1">
      <c r="A649" s="2" t="inlineStr">
        <is>
          <t>reverse-dcf-revenue</t>
        </is>
      </c>
      <c r="B649" s="2" t="inlineStr">
        <is>
          <t>2025-11-02</t>
        </is>
      </c>
      <c r="C649" s="2" t="inlineStr">
        <is>
          <t>base_revenue</t>
        </is>
      </c>
      <c r="D649" s="2" t="inlineStr">
        <is>
          <t>revenue</t>
        </is>
      </c>
      <c r="E649" s="2" t="inlineStr">
        <is>
          <t>2025-11-02</t>
        </is>
      </c>
      <c r="F649" s="3" t="n">
        <v>63887000000</v>
      </c>
      <c r="G649" s="8" t="b">
        <v>0</v>
      </c>
      <c r="H649" s="2" t="inlineStr"/>
      <c r="I649" s="8" t="b">
        <v>0</v>
      </c>
      <c r="J649" s="2" t="inlineStr">
        <is>
          <t>https://www.sec.gov/Archives/edgar/data/1730168/000173016825000121/0001730168-25-000121-index.html</t>
        </is>
      </c>
      <c r="K649" s="2" t="inlineStr">
        <is>
          <t>USD</t>
        </is>
      </c>
    </row>
    <row r="650" ht="42" customHeight="1">
      <c r="A650" s="2" t="inlineStr">
        <is>
          <t>reverse-dcf-revenue</t>
        </is>
      </c>
      <c r="B650" s="2" t="inlineStr">
        <is>
          <t>2025-11-02</t>
        </is>
      </c>
      <c r="C650" s="2" t="inlineStr">
        <is>
          <t>current_fcf_margin</t>
        </is>
      </c>
      <c r="D650" s="2" t="inlineStr">
        <is>
          <t>fcf-margin</t>
        </is>
      </c>
      <c r="E650" s="2" t="inlineStr">
        <is>
          <t>2025-11-02</t>
        </is>
      </c>
      <c r="F650" s="3" t="n">
        <v>0.4212750637844945</v>
      </c>
      <c r="G650" s="8" t="b">
        <v>0</v>
      </c>
      <c r="H650" s="2" t="inlineStr"/>
      <c r="I650" s="8" t="b">
        <v>0</v>
      </c>
      <c r="J650" s="2" t="inlineStr">
        <is>
          <t>Derived: fcf-margin @ 2025-11-02; see Calculations and Calc inputs.</t>
        </is>
      </c>
      <c r="K650" s="2" t="inlineStr">
        <is>
          <t>USD</t>
        </is>
      </c>
    </row>
    <row r="651" ht="42" customHeight="1">
      <c r="A651" s="2" t="inlineStr">
        <is>
          <t>reverse-dcf-revenue</t>
        </is>
      </c>
      <c r="B651" s="2" t="inlineStr">
        <is>
          <t>2025-11-02</t>
        </is>
      </c>
      <c r="C651" s="2" t="inlineStr">
        <is>
          <t>debt_and_other_claims</t>
        </is>
      </c>
      <c r="D651" s="2" t="inlineStr">
        <is>
          <t>debt_and_other_claims</t>
        </is>
      </c>
      <c r="E651" s="2" t="inlineStr">
        <is>
          <t>2026-08-02</t>
        </is>
      </c>
      <c r="F651" s="3" t="n">
        <v>59419000000</v>
      </c>
      <c r="G651" s="8" t="b">
        <v>0</v>
      </c>
      <c r="H651" s="2" t="inlineStr"/>
      <c r="I651" s="8" t="b">
        <v>0</v>
      </c>
      <c r="J651" s="2" t="inlineStr">
        <is>
          <t>Derived or model input; see parent calculation formula and model assumptions.</t>
        </is>
      </c>
      <c r="K651" s="2" t="inlineStr">
        <is>
          <t>USD</t>
        </is>
      </c>
    </row>
    <row r="652" ht="42" customHeight="1">
      <c r="A652" s="2" t="inlineStr">
        <is>
          <t>reverse-dcf-revenue</t>
        </is>
      </c>
      <c r="B652" s="2" t="inlineStr">
        <is>
          <t>2025-11-02</t>
        </is>
      </c>
      <c r="C652" s="2" t="inlineStr">
        <is>
          <t>cash_sti</t>
        </is>
      </c>
      <c r="D652" s="2" t="inlineStr">
        <is>
          <t>cash_sti</t>
        </is>
      </c>
      <c r="E652" s="2" t="inlineStr">
        <is>
          <t>2026-08-02</t>
        </is>
      </c>
      <c r="F652" s="3" t="n">
        <v>23975000000</v>
      </c>
      <c r="G652" s="8" t="b">
        <v>0</v>
      </c>
      <c r="H652" s="2" t="inlineStr"/>
      <c r="I652" s="8" t="b">
        <v>0</v>
      </c>
      <c r="J652" s="2" t="inlineStr">
        <is>
          <t>https://www.sec.gov/Archives/edgar/data/1730168/000173016826000080/0001730168-26-000080-index.html</t>
        </is>
      </c>
      <c r="K652" s="2" t="inlineStr">
        <is>
          <t>USD</t>
        </is>
      </c>
    </row>
    <row r="653" ht="42" customHeight="1">
      <c r="A653" s="2" t="inlineStr">
        <is>
          <t>reverse-dcf-revenue</t>
        </is>
      </c>
      <c r="B653" s="2" t="inlineStr">
        <is>
          <t>2025-11-02</t>
        </is>
      </c>
      <c r="C653" s="2" t="inlineStr">
        <is>
          <t>shares_outstanding</t>
        </is>
      </c>
      <c r="D653" s="2" t="inlineStr">
        <is>
          <t>cover_shares_outstanding</t>
        </is>
      </c>
      <c r="E653" s="2" t="inlineStr">
        <is>
          <t>2026-08-28</t>
        </is>
      </c>
      <c r="F653" s="3" t="n">
        <v>4773629865</v>
      </c>
      <c r="G653" s="8" t="b">
        <v>0</v>
      </c>
      <c r="H653" s="2" t="inlineStr"/>
      <c r="I653" s="8" t="b">
        <v>0</v>
      </c>
      <c r="J653" s="2" t="inlineStr">
        <is>
          <t>https://www.sec.gov/Archives/edgar/data/1730168/000173016826000080/0001730168-26-000080-index.html</t>
        </is>
      </c>
      <c r="K653" s="2" t="inlineStr">
        <is>
          <t>shares</t>
        </is>
      </c>
    </row>
    <row r="654" ht="42" customHeight="1">
      <c r="A654" s="2" t="inlineStr">
        <is>
          <t>earnings-value-per-share</t>
        </is>
      </c>
      <c r="B654" s="2" t="inlineStr">
        <is>
          <t>2025-11-02</t>
        </is>
      </c>
      <c r="C654" s="2" t="inlineStr">
        <is>
          <t>normalized_net_income</t>
        </is>
      </c>
      <c r="D654" s="2" t="inlineStr">
        <is>
          <t>normalized-net-income</t>
        </is>
      </c>
      <c r="E654" s="2" t="inlineStr">
        <is>
          <t>2025-11-02</t>
        </is>
      </c>
      <c r="F654" s="3" t="n">
        <v>12266800000</v>
      </c>
      <c r="G654" s="8" t="b">
        <v>0</v>
      </c>
      <c r="H654" s="2" t="inlineStr"/>
      <c r="I654" s="8" t="b">
        <v>0</v>
      </c>
      <c r="J654" s="2" t="inlineStr">
        <is>
          <t>Derived: normalized-net-income @ 2025-11-02; see Calculations and Calc inputs.</t>
        </is>
      </c>
      <c r="K654" s="2" t="inlineStr">
        <is>
          <t>USD</t>
        </is>
      </c>
    </row>
    <row r="655" ht="42" customHeight="1">
      <c r="A655" s="2" t="inlineStr">
        <is>
          <t>earnings-value-per-share</t>
        </is>
      </c>
      <c r="B655" s="2" t="inlineStr">
        <is>
          <t>2025-11-02</t>
        </is>
      </c>
      <c r="C655" s="2" t="inlineStr">
        <is>
          <t>shares_outstanding</t>
        </is>
      </c>
      <c r="D655" s="2" t="inlineStr">
        <is>
          <t>cover_shares_outstanding</t>
        </is>
      </c>
      <c r="E655" s="2" t="inlineStr">
        <is>
          <t>2026-08-28</t>
        </is>
      </c>
      <c r="F655" s="3" t="n">
        <v>4773629865</v>
      </c>
      <c r="G655" s="8" t="b">
        <v>0</v>
      </c>
      <c r="H655" s="2" t="inlineStr"/>
      <c r="I655" s="8" t="b">
        <v>0</v>
      </c>
      <c r="J655" s="2" t="inlineStr">
        <is>
          <t>https://www.sec.gov/Archives/edgar/data/1730168/000173016826000080/0001730168-26-000080-index.html</t>
        </is>
      </c>
      <c r="K655" s="2" t="inlineStr">
        <is>
          <t>shares</t>
        </is>
      </c>
    </row>
    <row r="656" ht="42" customHeight="1">
      <c r="A656" s="2" t="inlineStr">
        <is>
          <t>tbv-per-share</t>
        </is>
      </c>
      <c r="B656" s="2" t="inlineStr">
        <is>
          <t>2025-11-02</t>
        </is>
      </c>
      <c r="C656" s="2" t="inlineStr">
        <is>
          <t>tangible_book_value</t>
        </is>
      </c>
      <c r="D656" s="2" t="inlineStr">
        <is>
          <t>tangible-book-value</t>
        </is>
      </c>
      <c r="E656" s="2" t="inlineStr">
        <is>
          <t>2025-11-02</t>
        </is>
      </c>
      <c r="F656" s="3" t="n">
        <v>-48782000000</v>
      </c>
      <c r="G656" s="8" t="b">
        <v>0</v>
      </c>
      <c r="H656" s="2" t="inlineStr"/>
      <c r="I656" s="8" t="b">
        <v>0</v>
      </c>
      <c r="J656" s="2" t="inlineStr">
        <is>
          <t>Derived: tangible-book-value @ 2025-11-02; see Calculations and Calc inputs.</t>
        </is>
      </c>
      <c r="K656" s="2" t="inlineStr">
        <is>
          <t>USD</t>
        </is>
      </c>
    </row>
    <row r="657" ht="42" customHeight="1">
      <c r="A657" s="2" t="inlineStr">
        <is>
          <t>tbv-per-share</t>
        </is>
      </c>
      <c r="B657" s="2" t="inlineStr">
        <is>
          <t>2025-11-02</t>
        </is>
      </c>
      <c r="C657" s="2" t="inlineStr">
        <is>
          <t>shares_outstanding</t>
        </is>
      </c>
      <c r="D657" s="2" t="inlineStr">
        <is>
          <t>cover_shares_outstanding</t>
        </is>
      </c>
      <c r="E657" s="2" t="inlineStr">
        <is>
          <t>2026-08-28</t>
        </is>
      </c>
      <c r="F657" s="3" t="n">
        <v>4773629865</v>
      </c>
      <c r="G657" s="8" t="b">
        <v>0</v>
      </c>
      <c r="H657" s="2" t="inlineStr"/>
      <c r="I657" s="8" t="b">
        <v>0</v>
      </c>
      <c r="J657" s="2" t="inlineStr">
        <is>
          <t>https://www.sec.gov/Archives/edgar/data/1730168/000173016826000080/0001730168-26-000080-index.html</t>
        </is>
      </c>
      <c r="K657" s="2" t="inlineStr">
        <is>
          <t>shares</t>
        </is>
      </c>
    </row>
    <row r="658" ht="42" customHeight="1">
      <c r="A658" s="2" t="inlineStr">
        <is>
          <t>ncav-per-share</t>
        </is>
      </c>
      <c r="B658" s="2" t="inlineStr">
        <is>
          <t>2025-11-02</t>
        </is>
      </c>
      <c r="C658" s="2" t="inlineStr">
        <is>
          <t>ncav</t>
        </is>
      </c>
      <c r="D658" s="2" t="inlineStr">
        <is>
          <t>ncav</t>
        </is>
      </c>
      <c r="E658" s="2" t="inlineStr">
        <is>
          <t>2025-11-02</t>
        </is>
      </c>
      <c r="F658" s="3" t="n">
        <v>-58227000000</v>
      </c>
      <c r="G658" s="8" t="b">
        <v>0</v>
      </c>
      <c r="H658" s="2" t="inlineStr"/>
      <c r="I658" s="8" t="b">
        <v>0</v>
      </c>
      <c r="J658" s="2" t="inlineStr">
        <is>
          <t>Derived: ncav @ 2025-11-02; see Calculations and Calc inputs.</t>
        </is>
      </c>
      <c r="K658" s="2" t="inlineStr">
        <is>
          <t>USD</t>
        </is>
      </c>
    </row>
    <row r="659" ht="42" customHeight="1">
      <c r="A659" s="2" t="inlineStr">
        <is>
          <t>ncav-per-share</t>
        </is>
      </c>
      <c r="B659" s="2" t="inlineStr">
        <is>
          <t>2025-11-02</t>
        </is>
      </c>
      <c r="C659" s="2" t="inlineStr">
        <is>
          <t>shares_outstanding</t>
        </is>
      </c>
      <c r="D659" s="2" t="inlineStr">
        <is>
          <t>cover_shares_outstanding</t>
        </is>
      </c>
      <c r="E659" s="2" t="inlineStr">
        <is>
          <t>2026-08-28</t>
        </is>
      </c>
      <c r="F659" s="3" t="n">
        <v>4773629865</v>
      </c>
      <c r="G659" s="8" t="b">
        <v>0</v>
      </c>
      <c r="H659" s="2" t="inlineStr"/>
      <c r="I659" s="8" t="b">
        <v>0</v>
      </c>
      <c r="J659" s="2" t="inlineStr">
        <is>
          <t>https://www.sec.gov/Archives/edgar/data/1730168/000173016826000080/0001730168-26-000080-index.html</t>
        </is>
      </c>
      <c r="K659" s="2" t="inlineStr">
        <is>
          <t>shares</t>
        </is>
      </c>
    </row>
    <row r="660" ht="42" customHeight="1">
      <c r="A660" s="2" t="inlineStr">
        <is>
          <t>margin-of-safety-base</t>
        </is>
      </c>
      <c r="B660" s="2" t="inlineStr">
        <is>
          <t>2025-11-02</t>
        </is>
      </c>
      <c r="C660" s="2" t="inlineStr">
        <is>
          <t>value</t>
        </is>
      </c>
      <c r="D660" s="2" t="inlineStr">
        <is>
          <t>dcf-value-base</t>
        </is>
      </c>
      <c r="E660" s="2" t="inlineStr">
        <is>
          <t>2025-11-02</t>
        </is>
      </c>
      <c r="F660" s="3" t="n">
        <v>100.8275011282553</v>
      </c>
      <c r="G660" s="8" t="b">
        <v>0</v>
      </c>
      <c r="H660" s="2" t="inlineStr"/>
      <c r="I660" s="8" t="b">
        <v>0</v>
      </c>
      <c r="J660" s="2" t="inlineStr">
        <is>
          <t>Derived: dcf-value-base @ 2025-11-02; see Calculations and Calc inputs.</t>
        </is>
      </c>
      <c r="K660" s="2" t="inlineStr">
        <is>
          <t>USD</t>
        </is>
      </c>
    </row>
    <row r="661" ht="42" customHeight="1">
      <c r="A661" s="2" t="inlineStr">
        <is>
          <t>margin-of-safety-base</t>
        </is>
      </c>
      <c r="B661" s="2" t="inlineStr">
        <is>
          <t>2025-11-02</t>
        </is>
      </c>
      <c r="C661" s="2" t="inlineStr">
        <is>
          <t>price</t>
        </is>
      </c>
      <c r="D661" s="2" t="inlineStr">
        <is>
          <t>price</t>
        </is>
      </c>
      <c r="E661" s="2" t="inlineStr">
        <is>
          <t>2026-10-09</t>
        </is>
      </c>
      <c r="F661" s="3" t="n">
        <v>361.54</v>
      </c>
      <c r="G661" s="8" t="b">
        <v>0</v>
      </c>
      <c r="H661" s="2" t="inlineStr"/>
      <c r="I661" s="8" t="b">
        <v>0</v>
      </c>
      <c r="J661" s="2" t="inlineStr">
        <is>
          <t>User-supplied price, 2026-10-09</t>
        </is>
      </c>
      <c r="K661" s="2" t="inlineStr">
        <is>
          <t>USD/share</t>
        </is>
      </c>
    </row>
    <row r="662" ht="42" customHeight="1">
      <c r="A662" s="2" t="inlineStr">
        <is>
          <t>margin-of-safety-bear</t>
        </is>
      </c>
      <c r="B662" s="2" t="inlineStr">
        <is>
          <t>2025-11-02</t>
        </is>
      </c>
      <c r="C662" s="2" t="inlineStr">
        <is>
          <t>value</t>
        </is>
      </c>
      <c r="D662" s="2" t="inlineStr">
        <is>
          <t>dcf-value-bear</t>
        </is>
      </c>
      <c r="E662" s="2" t="inlineStr">
        <is>
          <t>2025-11-02</t>
        </is>
      </c>
      <c r="F662" s="3" t="n">
        <v>63.51194904948458</v>
      </c>
      <c r="G662" s="8" t="b">
        <v>0</v>
      </c>
      <c r="H662" s="2" t="inlineStr"/>
      <c r="I662" s="8" t="b">
        <v>0</v>
      </c>
      <c r="J662" s="2" t="inlineStr">
        <is>
          <t>Derived: dcf-value-bear @ 2025-11-02; see Calculations and Calc inputs.</t>
        </is>
      </c>
      <c r="K662" s="2" t="inlineStr">
        <is>
          <t>USD</t>
        </is>
      </c>
    </row>
    <row r="663" ht="42" customHeight="1">
      <c r="A663" s="2" t="inlineStr">
        <is>
          <t>margin-of-safety-bear</t>
        </is>
      </c>
      <c r="B663" s="2" t="inlineStr">
        <is>
          <t>2025-11-02</t>
        </is>
      </c>
      <c r="C663" s="2" t="inlineStr">
        <is>
          <t>price</t>
        </is>
      </c>
      <c r="D663" s="2" t="inlineStr">
        <is>
          <t>price</t>
        </is>
      </c>
      <c r="E663" s="2" t="inlineStr">
        <is>
          <t>2026-10-09</t>
        </is>
      </c>
      <c r="F663" s="3" t="n">
        <v>361.54</v>
      </c>
      <c r="G663" s="8" t="b">
        <v>0</v>
      </c>
      <c r="H663" s="2" t="inlineStr"/>
      <c r="I663" s="8" t="b">
        <v>0</v>
      </c>
      <c r="J663" s="2" t="inlineStr">
        <is>
          <t>User-supplied price, 2026-10-09</t>
        </is>
      </c>
      <c r="K663" s="2" t="inlineStr">
        <is>
          <t>USD/share</t>
        </is>
      </c>
    </row>
    <row r="664" ht="42" customHeight="1">
      <c r="A664" s="2" t="inlineStr">
        <is>
          <t>reported-tax-rate-annual</t>
        </is>
      </c>
      <c r="B664" s="2" t="inlineStr">
        <is>
          <t>2025-11-02</t>
        </is>
      </c>
      <c r="C664" s="2" t="inlineStr">
        <is>
          <t>income_tax</t>
        </is>
      </c>
      <c r="D664" s="2" t="inlineStr">
        <is>
          <t>income_tax</t>
        </is>
      </c>
      <c r="E664" s="2" t="inlineStr">
        <is>
          <t>2025-11-02</t>
        </is>
      </c>
      <c r="F664" s="3" t="n">
        <v>-397000000</v>
      </c>
      <c r="G664" s="8" t="b">
        <v>0</v>
      </c>
      <c r="H664" s="2" t="inlineStr"/>
      <c r="I664" s="8" t="b">
        <v>0</v>
      </c>
      <c r="J664" s="2" t="inlineStr">
        <is>
          <t>https://www.sec.gov/Archives/edgar/data/1730168/000173016825000121/0001730168-25-000121-index.html</t>
        </is>
      </c>
      <c r="K664" s="2" t="inlineStr">
        <is>
          <t>USD</t>
        </is>
      </c>
    </row>
    <row r="665" ht="42" customHeight="1">
      <c r="A665" s="2" t="inlineStr">
        <is>
          <t>reported-tax-rate-annual</t>
        </is>
      </c>
      <c r="B665" s="2" t="inlineStr">
        <is>
          <t>2025-11-02</t>
        </is>
      </c>
      <c r="C665" s="2" t="inlineStr">
        <is>
          <t>pretax_income</t>
        </is>
      </c>
      <c r="D665" s="2" t="inlineStr">
        <is>
          <t>pretax_income</t>
        </is>
      </c>
      <c r="E665" s="2" t="inlineStr">
        <is>
          <t>2025-11-02</t>
        </is>
      </c>
      <c r="F665" s="3" t="n">
        <v>22729000000</v>
      </c>
      <c r="G665" s="8" t="b">
        <v>0</v>
      </c>
      <c r="H665" s="2" t="inlineStr"/>
      <c r="I665" s="8" t="b">
        <v>0</v>
      </c>
      <c r="J665" s="2" t="inlineStr">
        <is>
          <t>https://www.sec.gov/Archives/edgar/data/1730168/000173016825000121/0001730168-25-000121-index.html</t>
        </is>
      </c>
      <c r="K665" s="2" t="inlineStr">
        <is>
          <t>USD</t>
        </is>
      </c>
    </row>
    <row r="666" ht="42" customHeight="1">
      <c r="A666" s="2" t="inlineStr">
        <is>
          <t>normalized-tax-rate-annual</t>
        </is>
      </c>
      <c r="B666" s="2" t="inlineStr">
        <is>
          <t>2025-11-02</t>
        </is>
      </c>
      <c r="C666" s="2" t="inlineStr">
        <is>
          <t>normalized_tax_rate</t>
        </is>
      </c>
      <c r="D666" s="2" t="inlineStr">
        <is>
          <t>normalized_tax_rate</t>
        </is>
      </c>
      <c r="E666" s="2" t="inlineStr">
        <is>
          <t>2025-11-02</t>
        </is>
      </c>
      <c r="F666" s="3" t="n">
        <v>0.21</v>
      </c>
      <c r="G666" s="8" t="b">
        <v>0</v>
      </c>
      <c r="H666" s="2" t="inlineStr">
        <is>
          <t>Illustrative normalized cash-tax estimate for comparison; sustainable company tax rate is not established.</t>
        </is>
      </c>
      <c r="I666" s="8" t="b">
        <v>0</v>
      </c>
      <c r="J666" s="2" t="inlineStr">
        <is>
          <t>Analyst assumption, 2026-10-11</t>
        </is>
      </c>
      <c r="K666" s="2" t="inlineStr">
        <is>
          <t>ratio (decimal)</t>
        </is>
      </c>
    </row>
    <row r="667" ht="42" customHeight="1">
      <c r="A667" s="2" t="inlineStr">
        <is>
          <t>normalized-nopat-annual</t>
        </is>
      </c>
      <c r="B667" s="2" t="inlineStr">
        <is>
          <t>2025-11-02</t>
        </is>
      </c>
      <c r="C667" s="2" t="inlineStr">
        <is>
          <t>operating_income</t>
        </is>
      </c>
      <c r="D667" s="2" t="inlineStr">
        <is>
          <t>operating_income</t>
        </is>
      </c>
      <c r="E667" s="2" t="inlineStr">
        <is>
          <t>2025-11-02</t>
        </is>
      </c>
      <c r="F667" s="3" t="n">
        <v>25484000000</v>
      </c>
      <c r="G667" s="8" t="b">
        <v>0</v>
      </c>
      <c r="H667" s="2" t="inlineStr"/>
      <c r="I667" s="8" t="b">
        <v>0</v>
      </c>
      <c r="J667" s="2" t="inlineStr">
        <is>
          <t>https://www.sec.gov/Archives/edgar/data/1730168/000173016825000121/0001730168-25-000121-index.html</t>
        </is>
      </c>
      <c r="K667" s="2" t="inlineStr">
        <is>
          <t>USD</t>
        </is>
      </c>
    </row>
    <row r="668" ht="42" customHeight="1">
      <c r="A668" s="2" t="inlineStr">
        <is>
          <t>normalized-nopat-annual</t>
        </is>
      </c>
      <c r="B668" s="2" t="inlineStr">
        <is>
          <t>2025-11-02</t>
        </is>
      </c>
      <c r="C668" s="2" t="inlineStr">
        <is>
          <t>tax</t>
        </is>
      </c>
      <c r="D668" s="2" t="inlineStr">
        <is>
          <t>normalized_tax_rate</t>
        </is>
      </c>
      <c r="E668" s="2" t="inlineStr">
        <is>
          <t>2025-11-02</t>
        </is>
      </c>
      <c r="F668" s="3" t="n">
        <v>0.21</v>
      </c>
      <c r="G668" s="8" t="b">
        <v>0</v>
      </c>
      <c r="H668" s="2" t="inlineStr">
        <is>
          <t>Illustrative normalized cash-tax estimate for comparison; sustainable company tax rate is not established.</t>
        </is>
      </c>
      <c r="I668" s="8" t="b">
        <v>0</v>
      </c>
      <c r="J668" s="2" t="inlineStr">
        <is>
          <t>Analyst assumption, 2026-10-11</t>
        </is>
      </c>
      <c r="K668" s="2" t="inlineStr">
        <is>
          <t>ratio (decimal)</t>
        </is>
      </c>
    </row>
    <row r="669" ht="42" customHeight="1">
      <c r="A669" s="2" t="inlineStr">
        <is>
          <t>normalized-roic-annual</t>
        </is>
      </c>
      <c r="B669" s="2" t="inlineStr">
        <is>
          <t>2025-11-02</t>
        </is>
      </c>
      <c r="C669" s="2" t="inlineStr">
        <is>
          <t>operating_income</t>
        </is>
      </c>
      <c r="D669" s="2" t="inlineStr">
        <is>
          <t>operating_income</t>
        </is>
      </c>
      <c r="E669" s="2" t="inlineStr">
        <is>
          <t>2025-11-02</t>
        </is>
      </c>
      <c r="F669" s="3" t="n">
        <v>25484000000</v>
      </c>
      <c r="G669" s="8" t="b">
        <v>0</v>
      </c>
      <c r="H669" s="2" t="inlineStr"/>
      <c r="I669" s="8" t="b">
        <v>0</v>
      </c>
      <c r="J669" s="2" t="inlineStr">
        <is>
          <t>https://www.sec.gov/Archives/edgar/data/1730168/000173016825000121/0001730168-25-000121-index.html</t>
        </is>
      </c>
      <c r="K669" s="2" t="inlineStr">
        <is>
          <t>USD</t>
        </is>
      </c>
    </row>
    <row r="670" ht="42" customHeight="1">
      <c r="A670" s="2" t="inlineStr">
        <is>
          <t>normalized-roic-annual</t>
        </is>
      </c>
      <c r="B670" s="2" t="inlineStr">
        <is>
          <t>2025-11-02</t>
        </is>
      </c>
      <c r="C670" s="2" t="inlineStr">
        <is>
          <t>tax</t>
        </is>
      </c>
      <c r="D670" s="2" t="inlineStr">
        <is>
          <t>normalized_tax_rate</t>
        </is>
      </c>
      <c r="E670" s="2" t="inlineStr">
        <is>
          <t>2025-11-02</t>
        </is>
      </c>
      <c r="F670" s="3" t="n">
        <v>0.21</v>
      </c>
      <c r="G670" s="8" t="b">
        <v>0</v>
      </c>
      <c r="H670" s="2" t="inlineStr">
        <is>
          <t>Illustrative normalized cash-tax estimate for comparison; sustainable company tax rate is not established.</t>
        </is>
      </c>
      <c r="I670" s="8" t="b">
        <v>0</v>
      </c>
      <c r="J670" s="2" t="inlineStr">
        <is>
          <t>Analyst assumption, 2026-10-11</t>
        </is>
      </c>
      <c r="K670" s="2" t="inlineStr">
        <is>
          <t>ratio (decimal)</t>
        </is>
      </c>
    </row>
    <row r="671" ht="42" customHeight="1">
      <c r="A671" s="2" t="inlineStr">
        <is>
          <t>normalized-roic-annual</t>
        </is>
      </c>
      <c r="B671" s="2" t="inlineStr">
        <is>
          <t>2025-11-02</t>
        </is>
      </c>
      <c r="C671" s="2" t="inlineStr">
        <is>
          <t>average_invested_capital</t>
        </is>
      </c>
      <c r="D671" s="2" t="inlineStr">
        <is>
          <t>average_invested_capital</t>
        </is>
      </c>
      <c r="E671" s="2" t="inlineStr">
        <is>
          <t>2025-11-02</t>
        </is>
      </c>
      <c r="F671" s="3" t="n">
        <v>128060000000</v>
      </c>
      <c r="G671" s="8" t="b">
        <v>0</v>
      </c>
      <c r="H671" s="2" t="inlineStr"/>
      <c r="I671" s="8" t="b">
        <v>0</v>
      </c>
      <c r="J671" s="2" t="inlineStr">
        <is>
          <t>Derived or model input; see parent calculation formula and model assumptions.</t>
        </is>
      </c>
      <c r="K671" s="2" t="inlineStr">
        <is>
          <t>USD</t>
        </is>
      </c>
    </row>
    <row r="672" ht="42" customHeight="1">
      <c r="A672" s="2" t="inlineStr">
        <is>
          <t>normalized-fcff-annual</t>
        </is>
      </c>
      <c r="B672" s="2" t="inlineStr">
        <is>
          <t>2025-11-02</t>
        </is>
      </c>
      <c r="C672" s="2" t="inlineStr">
        <is>
          <t>operating_income</t>
        </is>
      </c>
      <c r="D672" s="2" t="inlineStr">
        <is>
          <t>operating_income</t>
        </is>
      </c>
      <c r="E672" s="2" t="inlineStr">
        <is>
          <t>2025-11-02</t>
        </is>
      </c>
      <c r="F672" s="3" t="n">
        <v>25484000000</v>
      </c>
      <c r="G672" s="8" t="b">
        <v>0</v>
      </c>
      <c r="H672" s="2" t="inlineStr"/>
      <c r="I672" s="8" t="b">
        <v>0</v>
      </c>
      <c r="J672" s="2" t="inlineStr">
        <is>
          <t>https://www.sec.gov/Archives/edgar/data/1730168/000173016825000121/0001730168-25-000121-index.html</t>
        </is>
      </c>
      <c r="K672" s="2" t="inlineStr">
        <is>
          <t>USD</t>
        </is>
      </c>
    </row>
    <row r="673" ht="42" customHeight="1">
      <c r="A673" s="2" t="inlineStr">
        <is>
          <t>normalized-fcff-annual</t>
        </is>
      </c>
      <c r="B673" s="2" t="inlineStr">
        <is>
          <t>2025-11-02</t>
        </is>
      </c>
      <c r="C673" s="2" t="inlineStr">
        <is>
          <t>tax</t>
        </is>
      </c>
      <c r="D673" s="2" t="inlineStr">
        <is>
          <t>normalized_tax_rate</t>
        </is>
      </c>
      <c r="E673" s="2" t="inlineStr">
        <is>
          <t>2025-11-02</t>
        </is>
      </c>
      <c r="F673" s="3" t="n">
        <v>0.21</v>
      </c>
      <c r="G673" s="8" t="b">
        <v>0</v>
      </c>
      <c r="H673" s="2" t="inlineStr">
        <is>
          <t>Illustrative normalized cash-tax estimate for comparison; sustainable company tax rate is not established.</t>
        </is>
      </c>
      <c r="I673" s="8" t="b">
        <v>0</v>
      </c>
      <c r="J673" s="2" t="inlineStr">
        <is>
          <t>Analyst assumption, 2026-10-11</t>
        </is>
      </c>
      <c r="K673" s="2" t="inlineStr">
        <is>
          <t>ratio (decimal)</t>
        </is>
      </c>
    </row>
    <row r="674" ht="42" customHeight="1">
      <c r="A674" s="2" t="inlineStr">
        <is>
          <t>normalized-fcff-annual</t>
        </is>
      </c>
      <c r="B674" s="2" t="inlineStr">
        <is>
          <t>2025-11-02</t>
        </is>
      </c>
      <c r="C674" s="2" t="inlineStr">
        <is>
          <t>d_and_a</t>
        </is>
      </c>
      <c r="D674" s="2" t="inlineStr">
        <is>
          <t>d_and_a</t>
        </is>
      </c>
      <c r="E674" s="2" t="inlineStr">
        <is>
          <t>2025-11-02</t>
        </is>
      </c>
      <c r="F674" s="3" t="n">
        <v>8636000000</v>
      </c>
      <c r="G674" s="8" t="b">
        <v>0</v>
      </c>
      <c r="H674" s="2" t="inlineStr"/>
      <c r="I674" s="8" t="b">
        <v>0</v>
      </c>
      <c r="J674" s="2" t="inlineStr">
        <is>
          <t>https://www.sec.gov/Archives/edgar/data/1730168/000173016825000121/0001730168-25-000121-index.html</t>
        </is>
      </c>
      <c r="K674" s="2" t="inlineStr">
        <is>
          <t>USD</t>
        </is>
      </c>
    </row>
    <row r="675" ht="42" customHeight="1">
      <c r="A675" s="2" t="inlineStr">
        <is>
          <t>normalized-fcff-annual</t>
        </is>
      </c>
      <c r="B675" s="2" t="inlineStr">
        <is>
          <t>2025-11-02</t>
        </is>
      </c>
      <c r="C675" s="2" t="inlineStr">
        <is>
          <t>capex</t>
        </is>
      </c>
      <c r="D675" s="2" t="inlineStr">
        <is>
          <t>capex</t>
        </is>
      </c>
      <c r="E675" s="2" t="inlineStr">
        <is>
          <t>2025-11-02</t>
        </is>
      </c>
      <c r="F675" s="3" t="n">
        <v>623000000</v>
      </c>
      <c r="G675" s="8" t="b">
        <v>0</v>
      </c>
      <c r="H675" s="2" t="inlineStr"/>
      <c r="I675" s="8" t="b">
        <v>0</v>
      </c>
      <c r="J675" s="2" t="inlineStr">
        <is>
          <t>https://www.sec.gov/Archives/edgar/data/1730168/000173016825000121/0001730168-25-000121-index.html</t>
        </is>
      </c>
      <c r="K675" s="2" t="inlineStr">
        <is>
          <t>USD</t>
        </is>
      </c>
    </row>
    <row r="676" ht="42" customHeight="1">
      <c r="A676" s="2" t="inlineStr">
        <is>
          <t>normalized-fcff-annual</t>
        </is>
      </c>
      <c r="B676" s="2" t="inlineStr">
        <is>
          <t>2025-11-02</t>
        </is>
      </c>
      <c r="C676" s="2" t="inlineStr">
        <is>
          <t>change_in_owc</t>
        </is>
      </c>
      <c r="D676" s="2" t="inlineStr">
        <is>
          <t>change_in_owc</t>
        </is>
      </c>
      <c r="E676" s="2" t="inlineStr">
        <is>
          <t>2025-11-02</t>
        </is>
      </c>
      <c r="F676" s="3" t="n">
        <v>3341000000</v>
      </c>
      <c r="G676" s="8" t="b">
        <v>0</v>
      </c>
      <c r="H676" s="2" t="inlineStr"/>
      <c r="I676" s="8" t="b">
        <v>0</v>
      </c>
      <c r="J676" s="2" t="inlineStr">
        <is>
          <t>Derived or model input; see parent calculation formula and model assumptions.</t>
        </is>
      </c>
      <c r="K676" s="2" t="inlineStr">
        <is>
          <t>USD</t>
        </is>
      </c>
    </row>
    <row r="677" ht="42" customHeight="1">
      <c r="A677" s="2" t="inlineStr">
        <is>
          <t>normalized-owner-earnings-annual</t>
        </is>
      </c>
      <c r="B677" s="2" t="inlineStr">
        <is>
          <t>2025-11-02</t>
        </is>
      </c>
      <c r="C677" s="2" t="inlineStr">
        <is>
          <t>net_income</t>
        </is>
      </c>
      <c r="D677" s="2" t="inlineStr">
        <is>
          <t>net_income</t>
        </is>
      </c>
      <c r="E677" s="2" t="inlineStr">
        <is>
          <t>2025-11-02</t>
        </is>
      </c>
      <c r="F677" s="3" t="n">
        <v>23126000000</v>
      </c>
      <c r="G677" s="8" t="b">
        <v>0</v>
      </c>
      <c r="H677" s="2" t="inlineStr"/>
      <c r="I677" s="8" t="b">
        <v>0</v>
      </c>
      <c r="J677" s="2" t="inlineStr">
        <is>
          <t>https://www.sec.gov/Archives/edgar/data/1730168/000173016825000121/0001730168-25-000121-index.html</t>
        </is>
      </c>
      <c r="K677" s="2" t="inlineStr">
        <is>
          <t>USD</t>
        </is>
      </c>
    </row>
    <row r="678" ht="42" customHeight="1">
      <c r="A678" s="2" t="inlineStr">
        <is>
          <t>normalized-owner-earnings-annual</t>
        </is>
      </c>
      <c r="B678" s="2" t="inlineStr">
        <is>
          <t>2025-11-02</t>
        </is>
      </c>
      <c r="C678" s="2" t="inlineStr">
        <is>
          <t>reported_tax</t>
        </is>
      </c>
      <c r="D678" s="2" t="inlineStr">
        <is>
          <t>income_tax</t>
        </is>
      </c>
      <c r="E678" s="2" t="inlineStr">
        <is>
          <t>2025-11-02</t>
        </is>
      </c>
      <c r="F678" s="3" t="n">
        <v>-397000000</v>
      </c>
      <c r="G678" s="8" t="b">
        <v>0</v>
      </c>
      <c r="H678" s="2" t="inlineStr"/>
      <c r="I678" s="8" t="b">
        <v>0</v>
      </c>
      <c r="J678" s="2" t="inlineStr">
        <is>
          <t>https://www.sec.gov/Archives/edgar/data/1730168/000173016825000121/0001730168-25-000121-index.html</t>
        </is>
      </c>
      <c r="K678" s="2" t="inlineStr">
        <is>
          <t>USD</t>
        </is>
      </c>
    </row>
    <row r="679" ht="42" customHeight="1">
      <c r="A679" s="2" t="inlineStr">
        <is>
          <t>normalized-owner-earnings-annual</t>
        </is>
      </c>
      <c r="B679" s="2" t="inlineStr">
        <is>
          <t>2025-11-02</t>
        </is>
      </c>
      <c r="C679" s="2" t="inlineStr">
        <is>
          <t>pretax_income</t>
        </is>
      </c>
      <c r="D679" s="2" t="inlineStr">
        <is>
          <t>pretax_income</t>
        </is>
      </c>
      <c r="E679" s="2" t="inlineStr">
        <is>
          <t>2025-11-02</t>
        </is>
      </c>
      <c r="F679" s="3" t="n">
        <v>22729000000</v>
      </c>
      <c r="G679" s="8" t="b">
        <v>0</v>
      </c>
      <c r="H679" s="2" t="inlineStr"/>
      <c r="I679" s="8" t="b">
        <v>0</v>
      </c>
      <c r="J679" s="2" t="inlineStr">
        <is>
          <t>https://www.sec.gov/Archives/edgar/data/1730168/000173016825000121/0001730168-25-000121-index.html</t>
        </is>
      </c>
      <c r="K679" s="2" t="inlineStr">
        <is>
          <t>USD</t>
        </is>
      </c>
    </row>
    <row r="680" ht="42" customHeight="1">
      <c r="A680" s="2" t="inlineStr">
        <is>
          <t>normalized-owner-earnings-annual</t>
        </is>
      </c>
      <c r="B680" s="2" t="inlineStr">
        <is>
          <t>2025-11-02</t>
        </is>
      </c>
      <c r="C680" s="2" t="inlineStr">
        <is>
          <t>tax</t>
        </is>
      </c>
      <c r="D680" s="2" t="inlineStr">
        <is>
          <t>normalized_tax_rate</t>
        </is>
      </c>
      <c r="E680" s="2" t="inlineStr">
        <is>
          <t>2025-11-02</t>
        </is>
      </c>
      <c r="F680" s="3" t="n">
        <v>0.21</v>
      </c>
      <c r="G680" s="8" t="b">
        <v>0</v>
      </c>
      <c r="H680" s="2" t="inlineStr">
        <is>
          <t>Illustrative normalized cash-tax estimate for comparison; sustainable company tax rate is not established.</t>
        </is>
      </c>
      <c r="I680" s="8" t="b">
        <v>0</v>
      </c>
      <c r="J680" s="2" t="inlineStr">
        <is>
          <t>Analyst assumption, 2026-10-11</t>
        </is>
      </c>
      <c r="K680" s="2" t="inlineStr">
        <is>
          <t>ratio (decimal)</t>
        </is>
      </c>
    </row>
    <row r="681" ht="42" customHeight="1">
      <c r="A681" s="2" t="inlineStr">
        <is>
          <t>normalized-owner-earnings-annual</t>
        </is>
      </c>
      <c r="B681" s="2" t="inlineStr">
        <is>
          <t>2025-11-02</t>
        </is>
      </c>
      <c r="C681" s="2" t="inlineStr">
        <is>
          <t>d_and_a</t>
        </is>
      </c>
      <c r="D681" s="2" t="inlineStr">
        <is>
          <t>d_and_a</t>
        </is>
      </c>
      <c r="E681" s="2" t="inlineStr">
        <is>
          <t>2025-11-02</t>
        </is>
      </c>
      <c r="F681" s="3" t="n">
        <v>8636000000</v>
      </c>
      <c r="G681" s="8" t="b">
        <v>0</v>
      </c>
      <c r="H681" s="2" t="inlineStr"/>
      <c r="I681" s="8" t="b">
        <v>0</v>
      </c>
      <c r="J681" s="2" t="inlineStr">
        <is>
          <t>https://www.sec.gov/Archives/edgar/data/1730168/000173016825000121/0001730168-25-000121-index.html</t>
        </is>
      </c>
      <c r="K681" s="2" t="inlineStr">
        <is>
          <t>USD</t>
        </is>
      </c>
    </row>
    <row r="682" ht="42" customHeight="1">
      <c r="A682" s="2" t="inlineStr">
        <is>
          <t>normalized-owner-earnings-annual</t>
        </is>
      </c>
      <c r="B682" s="2" t="inlineStr">
        <is>
          <t>2025-11-02</t>
        </is>
      </c>
      <c r="C682" s="2" t="inlineStr">
        <is>
          <t>maintenance_capex</t>
        </is>
      </c>
      <c r="D682" s="2" t="inlineStr">
        <is>
          <t>depreciation</t>
        </is>
      </c>
      <c r="E682" s="2" t="inlineStr">
        <is>
          <t>2025-11-02</t>
        </is>
      </c>
      <c r="F682" s="3" t="n">
        <v>574000000</v>
      </c>
      <c r="G682" s="8" t="b">
        <v>0</v>
      </c>
      <c r="H682" s="2" t="inlineStr"/>
      <c r="I682" s="8" t="b">
        <v>0</v>
      </c>
      <c r="J682" s="2" t="inlineStr">
        <is>
          <t>https://www.sec.gov/Archives/edgar/data/1730168/000173016825000121/0001730168-25-000121-index.html</t>
        </is>
      </c>
      <c r="K682" s="2" t="inlineStr">
        <is>
          <t>USD</t>
        </is>
      </c>
    </row>
    <row r="683" ht="42" customHeight="1">
      <c r="A683" s="2" t="inlineStr">
        <is>
          <t>normalized-owner-earnings-annual</t>
        </is>
      </c>
      <c r="B683" s="2" t="inlineStr">
        <is>
          <t>2025-11-02</t>
        </is>
      </c>
      <c r="C683" s="2" t="inlineStr">
        <is>
          <t>change_in_owc</t>
        </is>
      </c>
      <c r="D683" s="2" t="inlineStr">
        <is>
          <t>change_in_owc</t>
        </is>
      </c>
      <c r="E683" s="2" t="inlineStr">
        <is>
          <t>2025-11-02</t>
        </is>
      </c>
      <c r="F683" s="3" t="n">
        <v>3341000000</v>
      </c>
      <c r="G683" s="8" t="b">
        <v>0</v>
      </c>
      <c r="H683" s="2" t="inlineStr"/>
      <c r="I683" s="8" t="b">
        <v>0</v>
      </c>
      <c r="J683" s="2" t="inlineStr">
        <is>
          <t>Derived or model input; see parent calculation formula and model assumptions.</t>
        </is>
      </c>
      <c r="K683" s="2" t="inlineStr">
        <is>
          <t>USD</t>
        </is>
      </c>
    </row>
    <row r="684" ht="42" customHeight="1">
      <c r="A684" s="2" t="inlineStr">
        <is>
          <t>reported-tax-rate-ttm</t>
        </is>
      </c>
      <c r="B684" s="2" t="inlineStr">
        <is>
          <t>2026-08-02</t>
        </is>
      </c>
      <c r="C684" s="2" t="inlineStr">
        <is>
          <t>income_tax</t>
        </is>
      </c>
      <c r="D684" s="2" t="inlineStr">
        <is>
          <t>income_tax</t>
        </is>
      </c>
      <c r="E684" s="2" t="inlineStr">
        <is>
          <t>2026-08-02</t>
        </is>
      </c>
      <c r="F684" s="3" t="n">
        <v>2204000000</v>
      </c>
      <c r="G684" s="8" t="b">
        <v>0</v>
      </c>
      <c r="H684" s="2" t="inlineStr"/>
      <c r="I684" s="8" t="b">
        <v>0</v>
      </c>
      <c r="J684" s="2" t="inlineStr">
        <is>
          <t>https://www.sec.gov/Archives/edgar/data/1730168/000173016825000121/0001730168-25-000121-index.html
https://www.sec.gov/Archives/edgar/data/1730168/000173016826000080/0001730168-26-000080-index.html</t>
        </is>
      </c>
      <c r="K684" s="2" t="inlineStr">
        <is>
          <t>USD</t>
        </is>
      </c>
    </row>
    <row r="685" ht="42" customHeight="1">
      <c r="A685" s="2" t="inlineStr">
        <is>
          <t>reported-tax-rate-ttm</t>
        </is>
      </c>
      <c r="B685" s="2" t="inlineStr">
        <is>
          <t>2026-08-02</t>
        </is>
      </c>
      <c r="C685" s="2" t="inlineStr">
        <is>
          <t>pretax_income</t>
        </is>
      </c>
      <c r="D685" s="2" t="inlineStr">
        <is>
          <t>pretax_income</t>
        </is>
      </c>
      <c r="E685" s="2" t="inlineStr">
        <is>
          <t>2026-08-02</t>
        </is>
      </c>
      <c r="F685" s="3" t="n">
        <v>40469000000</v>
      </c>
      <c r="G685" s="8" t="b">
        <v>0</v>
      </c>
      <c r="H685" s="2" t="inlineStr"/>
      <c r="I685" s="8" t="b">
        <v>0</v>
      </c>
      <c r="J685" s="2" t="inlineStr">
        <is>
          <t>https://www.sec.gov/Archives/edgar/data/1730168/000173016825000121/0001730168-25-000121-index.html
https://www.sec.gov/Archives/edgar/data/1730168/000173016826000080/0001730168-26-000080-index.html</t>
        </is>
      </c>
      <c r="K685" s="2" t="inlineStr">
        <is>
          <t>USD</t>
        </is>
      </c>
    </row>
    <row r="686" ht="42" customHeight="1">
      <c r="A686" s="2" t="inlineStr">
        <is>
          <t>ttm-revenue</t>
        </is>
      </c>
      <c r="B686" s="2" t="inlineStr">
        <is>
          <t>2026-08-02</t>
        </is>
      </c>
      <c r="C686" s="2" t="inlineStr">
        <is>
          <t>revenue</t>
        </is>
      </c>
      <c r="D686" s="2" t="inlineStr">
        <is>
          <t>revenue</t>
        </is>
      </c>
      <c r="E686" s="2" t="inlineStr">
        <is>
          <t>2026-08-02</t>
        </is>
      </c>
      <c r="F686" s="3" t="n">
        <v>89104000000</v>
      </c>
      <c r="G686" s="8" t="b">
        <v>0</v>
      </c>
      <c r="H686" s="2" t="inlineStr"/>
      <c r="I686" s="8" t="b">
        <v>0</v>
      </c>
      <c r="J686" s="2" t="inlineStr">
        <is>
          <t>https://www.sec.gov/Archives/edgar/data/1730168/000173016825000121/0001730168-25-000121-index.html
https://www.sec.gov/Archives/edgar/data/1730168/000173016826000080/0001730168-26-000080-index.html</t>
        </is>
      </c>
      <c r="K686" s="2" t="inlineStr">
        <is>
          <t>USD</t>
        </is>
      </c>
    </row>
    <row r="687" ht="42" customHeight="1">
      <c r="A687" s="2" t="inlineStr">
        <is>
          <t>ttm-net-income</t>
        </is>
      </c>
      <c r="B687" s="2" t="inlineStr">
        <is>
          <t>2026-08-02</t>
        </is>
      </c>
      <c r="C687" s="2" t="inlineStr">
        <is>
          <t>net_income</t>
        </is>
      </c>
      <c r="D687" s="2" t="inlineStr">
        <is>
          <t>net_income</t>
        </is>
      </c>
      <c r="E687" s="2" t="inlineStr">
        <is>
          <t>2026-08-02</t>
        </is>
      </c>
      <c r="F687" s="3" t="n">
        <v>38265000000</v>
      </c>
      <c r="G687" s="8" t="b">
        <v>0</v>
      </c>
      <c r="H687" s="2" t="inlineStr"/>
      <c r="I687" s="8" t="b">
        <v>0</v>
      </c>
      <c r="J687" s="2" t="inlineStr">
        <is>
          <t>https://www.sec.gov/Archives/edgar/data/1730168/000173016825000121/0001730168-25-000121-index.html
https://www.sec.gov/Archives/edgar/data/1730168/000173016826000080/0001730168-26-000080-index.html</t>
        </is>
      </c>
      <c r="K687" s="2" t="inlineStr">
        <is>
          <t>USD</t>
        </is>
      </c>
    </row>
    <row r="688" ht="42" customHeight="1">
      <c r="A688" s="2" t="inlineStr">
        <is>
          <t>ttm-fcf</t>
        </is>
      </c>
      <c r="B688" s="2" t="inlineStr">
        <is>
          <t>2026-08-02</t>
        </is>
      </c>
      <c r="C688" s="2" t="inlineStr">
        <is>
          <t>ocf</t>
        </is>
      </c>
      <c r="D688" s="2" t="inlineStr">
        <is>
          <t>ocf</t>
        </is>
      </c>
      <c r="E688" s="2" t="inlineStr">
        <is>
          <t>2026-08-02</t>
        </is>
      </c>
      <c r="F688" s="3" t="n">
        <v>40653000000</v>
      </c>
      <c r="G688" s="8" t="b">
        <v>0</v>
      </c>
      <c r="H688" s="2" t="inlineStr"/>
      <c r="I688" s="8" t="b">
        <v>0</v>
      </c>
      <c r="J688" s="2" t="inlineStr">
        <is>
          <t>https://www.sec.gov/Archives/edgar/data/1730168/000173016825000121/0001730168-25-000121-index.html
https://www.sec.gov/Archives/edgar/data/1730168/000173016826000080/0001730168-26-000080-index.html</t>
        </is>
      </c>
      <c r="K688" s="2" t="inlineStr">
        <is>
          <t>USD</t>
        </is>
      </c>
    </row>
    <row r="689" ht="42" customHeight="1">
      <c r="A689" s="2" t="inlineStr">
        <is>
          <t>ttm-fcf</t>
        </is>
      </c>
      <c r="B689" s="2" t="inlineStr">
        <is>
          <t>2026-08-02</t>
        </is>
      </c>
      <c r="C689" s="2" t="inlineStr">
        <is>
          <t>capex</t>
        </is>
      </c>
      <c r="D689" s="2" t="inlineStr">
        <is>
          <t>capex</t>
        </is>
      </c>
      <c r="E689" s="2" t="inlineStr">
        <is>
          <t>2026-08-02</t>
        </is>
      </c>
      <c r="F689" s="3" t="n">
        <v>1250000000</v>
      </c>
      <c r="G689" s="8" t="b">
        <v>0</v>
      </c>
      <c r="H689" s="2" t="inlineStr"/>
      <c r="I689" s="8" t="b">
        <v>0</v>
      </c>
      <c r="J689" s="2" t="inlineStr">
        <is>
          <t>https://www.sec.gov/Archives/edgar/data/1730168/000173016825000121/0001730168-25-000121-index.html
https://www.sec.gov/Archives/edgar/data/1730168/000173016826000080/0001730168-26-000080-index.html</t>
        </is>
      </c>
      <c r="K689" s="2" t="inlineStr">
        <is>
          <t>USD</t>
        </is>
      </c>
    </row>
    <row r="690" ht="42" customHeight="1">
      <c r="A690" s="2" t="inlineStr">
        <is>
          <t>ttm-fcff</t>
        </is>
      </c>
      <c r="B690" s="2" t="inlineStr">
        <is>
          <t>2026-08-02</t>
        </is>
      </c>
      <c r="C690" s="2" t="inlineStr">
        <is>
          <t>ocf</t>
        </is>
      </c>
      <c r="D690" s="2" t="inlineStr">
        <is>
          <t>ocf</t>
        </is>
      </c>
      <c r="E690" s="2" t="inlineStr">
        <is>
          <t>2026-08-02</t>
        </is>
      </c>
      <c r="F690" s="3" t="n">
        <v>40653000000</v>
      </c>
      <c r="G690" s="8" t="b">
        <v>0</v>
      </c>
      <c r="H690" s="2" t="inlineStr"/>
      <c r="I690" s="8" t="b">
        <v>0</v>
      </c>
      <c r="J690" s="2" t="inlineStr">
        <is>
          <t>https://www.sec.gov/Archives/edgar/data/1730168/000173016825000121/0001730168-25-000121-index.html
https://www.sec.gov/Archives/edgar/data/1730168/000173016826000080/0001730168-26-000080-index.html</t>
        </is>
      </c>
      <c r="K690" s="2" t="inlineStr">
        <is>
          <t>USD</t>
        </is>
      </c>
    </row>
    <row r="691" ht="42" customHeight="1">
      <c r="A691" s="2" t="inlineStr">
        <is>
          <t>ttm-fcff</t>
        </is>
      </c>
      <c r="B691" s="2" t="inlineStr">
        <is>
          <t>2026-08-02</t>
        </is>
      </c>
      <c r="C691" s="2" t="inlineStr">
        <is>
          <t>interest</t>
        </is>
      </c>
      <c r="D691" s="2" t="inlineStr">
        <is>
          <t>interest_expense</t>
        </is>
      </c>
      <c r="E691" s="2" t="inlineStr">
        <is>
          <t>2026-08-02</t>
        </is>
      </c>
      <c r="F691" s="3" t="n">
        <v>3116000000</v>
      </c>
      <c r="G691" s="8" t="b">
        <v>0</v>
      </c>
      <c r="H691" s="2" t="inlineStr"/>
      <c r="I691" s="8" t="b">
        <v>0</v>
      </c>
      <c r="J691" s="2" t="inlineStr">
        <is>
          <t>https://www.sec.gov/Archives/edgar/data/1730168/000173016825000121/0001730168-25-000121-index.html
https://www.sec.gov/Archives/edgar/data/1730168/000173016826000080/0001730168-26-000080-index.html</t>
        </is>
      </c>
      <c r="K691" s="2" t="inlineStr">
        <is>
          <t>USD</t>
        </is>
      </c>
    </row>
    <row r="692" ht="42" customHeight="1">
      <c r="A692" s="2" t="inlineStr">
        <is>
          <t>ttm-fcff</t>
        </is>
      </c>
      <c r="B692" s="2" t="inlineStr">
        <is>
          <t>2026-08-02</t>
        </is>
      </c>
      <c r="C692" s="2" t="inlineStr">
        <is>
          <t>tax</t>
        </is>
      </c>
      <c r="D692" s="2" t="inlineStr">
        <is>
          <t>tax_rate</t>
        </is>
      </c>
      <c r="E692" s="2" t="inlineStr">
        <is>
          <t>2026-08-02</t>
        </is>
      </c>
      <c r="F692" s="3" t="n">
        <v>0.05446143962045022</v>
      </c>
      <c r="G692" s="8" t="b">
        <v>0</v>
      </c>
      <c r="H692" s="2" t="inlineStr">
        <is>
          <t>Legacy cash-flow tax shield proxy, clipped to 0–35%; not normalized cash taxes</t>
        </is>
      </c>
      <c r="I692" s="8" t="b">
        <v>0</v>
      </c>
      <c r="J692" s="2" t="inlineStr">
        <is>
          <t>Derived or model input; see parent calculation formula and model assumptions.</t>
        </is>
      </c>
      <c r="K692" s="2" t="inlineStr">
        <is>
          <t>ratio (decimal)</t>
        </is>
      </c>
    </row>
    <row r="693" ht="42" customHeight="1">
      <c r="A693" s="2" t="inlineStr">
        <is>
          <t>ttm-fcff</t>
        </is>
      </c>
      <c r="B693" s="2" t="inlineStr">
        <is>
          <t>2026-08-02</t>
        </is>
      </c>
      <c r="C693" s="2" t="inlineStr">
        <is>
          <t>capex</t>
        </is>
      </c>
      <c r="D693" s="2" t="inlineStr">
        <is>
          <t>capex</t>
        </is>
      </c>
      <c r="E693" s="2" t="inlineStr">
        <is>
          <t>2026-08-02</t>
        </is>
      </c>
      <c r="F693" s="3" t="n">
        <v>1250000000</v>
      </c>
      <c r="G693" s="8" t="b">
        <v>0</v>
      </c>
      <c r="H693" s="2" t="inlineStr"/>
      <c r="I693" s="8" t="b">
        <v>0</v>
      </c>
      <c r="J693" s="2" t="inlineStr">
        <is>
          <t>https://www.sec.gov/Archives/edgar/data/1730168/000173016825000121/0001730168-25-000121-index.html
https://www.sec.gov/Archives/edgar/data/1730168/000173016826000080/0001730168-26-000080-index.html</t>
        </is>
      </c>
      <c r="K693" s="2" t="inlineStr">
        <is>
          <t>USD</t>
        </is>
      </c>
    </row>
    <row r="694" ht="42" customHeight="1">
      <c r="A694" s="2" t="inlineStr">
        <is>
          <t>ttm-fcff</t>
        </is>
      </c>
      <c r="B694" s="2" t="inlineStr">
        <is>
          <t>2026-08-02</t>
        </is>
      </c>
      <c r="C694" s="2" t="inlineStr">
        <is>
          <t>sbc</t>
        </is>
      </c>
      <c r="D694" s="2" t="inlineStr">
        <is>
          <t>sbc</t>
        </is>
      </c>
      <c r="E694" s="2" t="inlineStr">
        <is>
          <t>2026-08-02</t>
        </is>
      </c>
      <c r="F694" s="3" t="n">
        <v>8482000000</v>
      </c>
      <c r="G694" s="8" t="b">
        <v>0</v>
      </c>
      <c r="H694" s="2" t="inlineStr"/>
      <c r="I694" s="8" t="b">
        <v>0</v>
      </c>
      <c r="J694" s="2" t="inlineStr">
        <is>
          <t>https://www.sec.gov/Archives/edgar/data/1730168/000173016825000121/0001730168-25-000121-index.html
https://www.sec.gov/Archives/edgar/data/1730168/000173016826000080/0001730168-26-000080-index.html</t>
        </is>
      </c>
      <c r="K694" s="2" t="inlineStr">
        <is>
          <t>USD</t>
        </is>
      </c>
    </row>
    <row r="695" ht="42" customHeight="1">
      <c r="A695" s="2" t="inlineStr">
        <is>
          <t>ttm-ebitda</t>
        </is>
      </c>
      <c r="B695" s="2" t="inlineStr">
        <is>
          <t>2026-08-02</t>
        </is>
      </c>
      <c r="C695" s="2" t="inlineStr">
        <is>
          <t>operating_income</t>
        </is>
      </c>
      <c r="D695" s="2" t="inlineStr">
        <is>
          <t>operating_income</t>
        </is>
      </c>
      <c r="E695" s="2" t="inlineStr">
        <is>
          <t>2026-08-02</t>
        </is>
      </c>
      <c r="F695" s="3" t="n">
        <v>42814000000</v>
      </c>
      <c r="G695" s="8" t="b">
        <v>0</v>
      </c>
      <c r="H695" s="2" t="inlineStr"/>
      <c r="I695" s="8" t="b">
        <v>0</v>
      </c>
      <c r="J695" s="2" t="inlineStr">
        <is>
          <t>https://www.sec.gov/Archives/edgar/data/1730168/000173016825000121/0001730168-25-000121-index.html
https://www.sec.gov/Archives/edgar/data/1730168/000173016826000080/0001730168-26-000080-index.html</t>
        </is>
      </c>
      <c r="K695" s="2" t="inlineStr">
        <is>
          <t>USD</t>
        </is>
      </c>
    </row>
    <row r="696" ht="42" customHeight="1">
      <c r="A696" s="2" t="inlineStr">
        <is>
          <t>ttm-ebitda</t>
        </is>
      </c>
      <c r="B696" s="2" t="inlineStr">
        <is>
          <t>2026-08-02</t>
        </is>
      </c>
      <c r="C696" s="2" t="inlineStr">
        <is>
          <t>d_and_a</t>
        </is>
      </c>
      <c r="D696" s="2" t="inlineStr">
        <is>
          <t>d_and_a</t>
        </is>
      </c>
      <c r="E696" s="2" t="inlineStr">
        <is>
          <t>2026-08-02</t>
        </is>
      </c>
      <c r="F696" s="3" t="n">
        <v>8626000000</v>
      </c>
      <c r="G696" s="8" t="b">
        <v>0</v>
      </c>
      <c r="H696" s="2" t="inlineStr"/>
      <c r="I696" s="8" t="b">
        <v>0</v>
      </c>
      <c r="J696" s="2" t="inlineStr">
        <is>
          <t>https://www.sec.gov/Archives/edgar/data/1730168/000173016825000121/0001730168-25-000121-index.html
https://www.sec.gov/Archives/edgar/data/1730168/000173016826000080/0001730168-26-000080-index.html</t>
        </is>
      </c>
      <c r="K696" s="2" t="inlineStr">
        <is>
          <t>USD</t>
        </is>
      </c>
    </row>
    <row r="697" ht="42" customHeight="1">
      <c r="A697" s="2" t="inlineStr">
        <is>
          <t>ttm-pe</t>
        </is>
      </c>
      <c r="B697" s="2" t="inlineStr">
        <is>
          <t>2026-08-02</t>
        </is>
      </c>
      <c r="C697" s="2" t="inlineStr">
        <is>
          <t>market_cap</t>
        </is>
      </c>
      <c r="D697" s="2" t="inlineStr">
        <is>
          <t>market-cap</t>
        </is>
      </c>
      <c r="E697" s="2" t="inlineStr">
        <is>
          <t>2026-10-09</t>
        </is>
      </c>
      <c r="F697" s="3" t="n">
        <v>1725858141392.1</v>
      </c>
      <c r="G697" s="8" t="b">
        <v>0</v>
      </c>
      <c r="H697" s="2" t="inlineStr"/>
      <c r="I697" s="8" t="b">
        <v>0</v>
      </c>
      <c r="J697" s="2" t="inlineStr">
        <is>
          <t>Derived or model input; see parent calculation formula and model assumptions.</t>
        </is>
      </c>
      <c r="K697" s="2" t="inlineStr">
        <is>
          <t>USD</t>
        </is>
      </c>
    </row>
    <row r="698" ht="42" customHeight="1">
      <c r="A698" s="2" t="inlineStr">
        <is>
          <t>ttm-pe</t>
        </is>
      </c>
      <c r="B698" s="2" t="inlineStr">
        <is>
          <t>2026-08-02</t>
        </is>
      </c>
      <c r="C698" s="2" t="inlineStr">
        <is>
          <t>net_income</t>
        </is>
      </c>
      <c r="D698" s="2" t="inlineStr">
        <is>
          <t>net_income</t>
        </is>
      </c>
      <c r="E698" s="2" t="inlineStr">
        <is>
          <t>2026-08-02</t>
        </is>
      </c>
      <c r="F698" s="3" t="n">
        <v>38265000000</v>
      </c>
      <c r="G698" s="8" t="b">
        <v>0</v>
      </c>
      <c r="H698" s="2" t="inlineStr"/>
      <c r="I698" s="8" t="b">
        <v>0</v>
      </c>
      <c r="J698" s="2" t="inlineStr">
        <is>
          <t>https://www.sec.gov/Archives/edgar/data/1730168/000173016825000121/0001730168-25-000121-index.html
https://www.sec.gov/Archives/edgar/data/1730168/000173016826000080/0001730168-26-000080-index.html</t>
        </is>
      </c>
      <c r="K698" s="2" t="inlineStr">
        <is>
          <t>USD</t>
        </is>
      </c>
    </row>
    <row r="699" ht="42" customHeight="1">
      <c r="A699" s="2" t="inlineStr">
        <is>
          <t>ttm-fcf-margin</t>
        </is>
      </c>
      <c r="B699" s="2" t="inlineStr">
        <is>
          <t>2026-08-02</t>
        </is>
      </c>
      <c r="C699" s="2" t="inlineStr">
        <is>
          <t>fcf</t>
        </is>
      </c>
      <c r="D699" s="2" t="inlineStr">
        <is>
          <t>ttm-fcf</t>
        </is>
      </c>
      <c r="E699" s="2" t="inlineStr">
        <is>
          <t>2026-08-02</t>
        </is>
      </c>
      <c r="F699" s="3" t="n">
        <v>39403000000</v>
      </c>
      <c r="G699" s="8" t="b">
        <v>0</v>
      </c>
      <c r="H699" s="2" t="inlineStr"/>
      <c r="I699" s="8" t="b">
        <v>0</v>
      </c>
      <c r="J699" s="2" t="inlineStr">
        <is>
          <t>Derived: ttm-fcf @ 2026-08-02; see Calculations and Calc inputs.</t>
        </is>
      </c>
      <c r="K699" s="2" t="inlineStr">
        <is>
          <t>USD</t>
        </is>
      </c>
    </row>
    <row r="700" ht="42" customHeight="1">
      <c r="A700" s="2" t="inlineStr">
        <is>
          <t>ttm-fcf-margin</t>
        </is>
      </c>
      <c r="B700" s="2" t="inlineStr">
        <is>
          <t>2026-08-02</t>
        </is>
      </c>
      <c r="C700" s="2" t="inlineStr">
        <is>
          <t>revenue</t>
        </is>
      </c>
      <c r="D700" s="2" t="inlineStr">
        <is>
          <t>ttm-revenue</t>
        </is>
      </c>
      <c r="E700" s="2" t="inlineStr">
        <is>
          <t>2026-08-02</t>
        </is>
      </c>
      <c r="F700" s="3" t="n">
        <v>89104000000</v>
      </c>
      <c r="G700" s="8" t="b">
        <v>0</v>
      </c>
      <c r="H700" s="2" t="inlineStr"/>
      <c r="I700" s="8" t="b">
        <v>0</v>
      </c>
      <c r="J700" s="2" t="inlineStr">
        <is>
          <t>Derived: ttm-revenue @ 2026-08-02; see Calculations and Calc inputs.</t>
        </is>
      </c>
      <c r="K700" s="2" t="inlineStr">
        <is>
          <t>USD</t>
        </is>
      </c>
    </row>
    <row r="701" ht="42" customHeight="1">
      <c r="A701" s="2" t="inlineStr">
        <is>
          <t>ttm-fcf-yield</t>
        </is>
      </c>
      <c r="B701" s="2" t="inlineStr">
        <is>
          <t>2026-08-02</t>
        </is>
      </c>
      <c r="C701" s="2" t="inlineStr">
        <is>
          <t>fcf</t>
        </is>
      </c>
      <c r="D701" s="2" t="inlineStr">
        <is>
          <t>ttm-fcf</t>
        </is>
      </c>
      <c r="E701" s="2" t="inlineStr">
        <is>
          <t>2026-08-02</t>
        </is>
      </c>
      <c r="F701" s="3" t="n">
        <v>39403000000</v>
      </c>
      <c r="G701" s="8" t="b">
        <v>0</v>
      </c>
      <c r="H701" s="2" t="inlineStr"/>
      <c r="I701" s="8" t="b">
        <v>0</v>
      </c>
      <c r="J701" s="2" t="inlineStr">
        <is>
          <t>Derived: ttm-fcf @ 2026-08-02; see Calculations and Calc inputs.</t>
        </is>
      </c>
      <c r="K701" s="2" t="inlineStr">
        <is>
          <t>USD</t>
        </is>
      </c>
    </row>
    <row r="702" ht="42" customHeight="1">
      <c r="A702" s="2" t="inlineStr">
        <is>
          <t>ttm-fcf-yield</t>
        </is>
      </c>
      <c r="B702" s="2" t="inlineStr">
        <is>
          <t>2026-08-02</t>
        </is>
      </c>
      <c r="C702" s="2" t="inlineStr">
        <is>
          <t>market_cap</t>
        </is>
      </c>
      <c r="D702" s="2" t="inlineStr">
        <is>
          <t>market-cap</t>
        </is>
      </c>
      <c r="E702" s="2" t="inlineStr">
        <is>
          <t>2026-10-09</t>
        </is>
      </c>
      <c r="F702" s="3" t="n">
        <v>1725858141392.1</v>
      </c>
      <c r="G702" s="8" t="b">
        <v>0</v>
      </c>
      <c r="H702" s="2" t="inlineStr"/>
      <c r="I702" s="8" t="b">
        <v>0</v>
      </c>
      <c r="J702" s="2" t="inlineStr">
        <is>
          <t>Derived or model input; see parent calculation formula and model assumptions.</t>
        </is>
      </c>
      <c r="K702" s="2" t="inlineStr">
        <is>
          <t>USD</t>
        </is>
      </c>
    </row>
    <row r="703" ht="42" customHeight="1">
      <c r="A703" s="2" t="inlineStr">
        <is>
          <t>ttm-ev-ebitda</t>
        </is>
      </c>
      <c r="B703" s="2" t="inlineStr">
        <is>
          <t>2026-08-02</t>
        </is>
      </c>
      <c r="C703" s="2" t="inlineStr">
        <is>
          <t>ev</t>
        </is>
      </c>
      <c r="D703" s="2" t="inlineStr">
        <is>
          <t>enterprise-value</t>
        </is>
      </c>
      <c r="E703" s="2" t="inlineStr">
        <is>
          <t>2025-11-02</t>
        </is>
      </c>
      <c r="F703" s="3" t="n">
        <v>1761302141392.1</v>
      </c>
      <c r="G703" s="8" t="b">
        <v>0</v>
      </c>
      <c r="H703" s="2" t="inlineStr"/>
      <c r="I703" s="8" t="b">
        <v>0</v>
      </c>
      <c r="J703" s="2" t="inlineStr">
        <is>
          <t>Derived: enterprise-value @ 2025-11-02; see Calculations and Calc inputs.</t>
        </is>
      </c>
      <c r="K703" s="2" t="inlineStr">
        <is>
          <t>USD</t>
        </is>
      </c>
    </row>
    <row r="704" ht="42" customHeight="1">
      <c r="A704" s="2" t="inlineStr">
        <is>
          <t>ttm-ev-ebitda</t>
        </is>
      </c>
      <c r="B704" s="2" t="inlineStr">
        <is>
          <t>2026-08-02</t>
        </is>
      </c>
      <c r="C704" s="2" t="inlineStr">
        <is>
          <t>ebitda</t>
        </is>
      </c>
      <c r="D704" s="2" t="inlineStr">
        <is>
          <t>ttm-ebitda</t>
        </is>
      </c>
      <c r="E704" s="2" t="inlineStr">
        <is>
          <t>2026-08-02</t>
        </is>
      </c>
      <c r="F704" s="3" t="n">
        <v>51440000000</v>
      </c>
      <c r="G704" s="8" t="b">
        <v>0</v>
      </c>
      <c r="H704" s="2" t="inlineStr"/>
      <c r="I704" s="8" t="b">
        <v>0</v>
      </c>
      <c r="J704" s="2" t="inlineStr">
        <is>
          <t>Derived: ttm-ebitda @ 2026-08-02; see Calculations and Calc inputs.</t>
        </is>
      </c>
      <c r="K704" s="2" t="inlineStr">
        <is>
          <t>USD</t>
        </is>
      </c>
    </row>
    <row r="705" ht="42" customHeight="1">
      <c r="A705" s="2" t="inlineStr">
        <is>
          <t>normalized-tax-rate-ttm</t>
        </is>
      </c>
      <c r="B705" s="2" t="inlineStr">
        <is>
          <t>2026-08-02</t>
        </is>
      </c>
      <c r="C705" s="2" t="inlineStr">
        <is>
          <t>normalized_tax_rate</t>
        </is>
      </c>
      <c r="D705" s="2" t="inlineStr">
        <is>
          <t>normalized_tax_rate</t>
        </is>
      </c>
      <c r="E705" s="2" t="inlineStr">
        <is>
          <t>2026-08-02</t>
        </is>
      </c>
      <c r="F705" s="3" t="n">
        <v>0.21</v>
      </c>
      <c r="G705" s="8" t="b">
        <v>0</v>
      </c>
      <c r="H705" s="2" t="inlineStr">
        <is>
          <t>Illustrative normalized cash-tax estimate for comparison; sustainable company tax rate is not established.</t>
        </is>
      </c>
      <c r="I705" s="8" t="b">
        <v>0</v>
      </c>
      <c r="J705" s="2" t="inlineStr">
        <is>
          <t>Analyst assumption, 2026-10-11</t>
        </is>
      </c>
      <c r="K705" s="2" t="inlineStr">
        <is>
          <t>ratio (decimal)</t>
        </is>
      </c>
    </row>
    <row r="706" ht="42" customHeight="1">
      <c r="A706" s="2" t="inlineStr">
        <is>
          <t>normalized-nopat-ttm</t>
        </is>
      </c>
      <c r="B706" s="2" t="inlineStr">
        <is>
          <t>2026-08-02</t>
        </is>
      </c>
      <c r="C706" s="2" t="inlineStr">
        <is>
          <t>operating_income</t>
        </is>
      </c>
      <c r="D706" s="2" t="inlineStr">
        <is>
          <t>operating_income</t>
        </is>
      </c>
      <c r="E706" s="2" t="inlineStr">
        <is>
          <t>2026-08-02</t>
        </is>
      </c>
      <c r="F706" s="3" t="n">
        <v>42814000000</v>
      </c>
      <c r="G706" s="8" t="b">
        <v>0</v>
      </c>
      <c r="H706" s="2" t="inlineStr"/>
      <c r="I706" s="8" t="b">
        <v>0</v>
      </c>
      <c r="J706" s="2" t="inlineStr">
        <is>
          <t>https://www.sec.gov/Archives/edgar/data/1730168/000173016825000121/0001730168-25-000121-index.html
https://www.sec.gov/Archives/edgar/data/1730168/000173016826000080/0001730168-26-000080-index.html</t>
        </is>
      </c>
      <c r="K706" s="2" t="inlineStr">
        <is>
          <t>USD</t>
        </is>
      </c>
    </row>
    <row r="707" ht="42" customHeight="1">
      <c r="A707" s="2" t="inlineStr">
        <is>
          <t>normalized-nopat-ttm</t>
        </is>
      </c>
      <c r="B707" s="2" t="inlineStr">
        <is>
          <t>2026-08-02</t>
        </is>
      </c>
      <c r="C707" s="2" t="inlineStr">
        <is>
          <t>tax</t>
        </is>
      </c>
      <c r="D707" s="2" t="inlineStr">
        <is>
          <t>normalized_tax_rate</t>
        </is>
      </c>
      <c r="E707" s="2" t="inlineStr">
        <is>
          <t>2026-08-02</t>
        </is>
      </c>
      <c r="F707" s="3" t="n">
        <v>0.21</v>
      </c>
      <c r="G707" s="8" t="b">
        <v>0</v>
      </c>
      <c r="H707" s="2" t="inlineStr">
        <is>
          <t>Illustrative normalized cash-tax estimate for comparison; sustainable company tax rate is not established.</t>
        </is>
      </c>
      <c r="I707" s="8" t="b">
        <v>0</v>
      </c>
      <c r="J707" s="2" t="inlineStr">
        <is>
          <t>Analyst assumption, 2026-10-11</t>
        </is>
      </c>
      <c r="K707" s="2" t="inlineStr">
        <is>
          <t>ratio (decimal)</t>
        </is>
      </c>
    </row>
    <row r="708" ht="42" customHeight="1">
      <c r="A708" s="2" t="inlineStr">
        <is>
          <t>normalized-roic-ttm</t>
        </is>
      </c>
      <c r="B708" s="2" t="inlineStr">
        <is>
          <t>2026-08-02</t>
        </is>
      </c>
      <c r="C708" s="2" t="inlineStr">
        <is>
          <t>operating_income</t>
        </is>
      </c>
      <c r="D708" s="2" t="inlineStr">
        <is>
          <t>operating_income</t>
        </is>
      </c>
      <c r="E708" s="2" t="inlineStr">
        <is>
          <t>2026-08-02</t>
        </is>
      </c>
      <c r="F708" s="3" t="n">
        <v>42814000000</v>
      </c>
      <c r="G708" s="8" t="b">
        <v>0</v>
      </c>
      <c r="H708" s="2" t="inlineStr"/>
      <c r="I708" s="8" t="b">
        <v>0</v>
      </c>
      <c r="J708" s="2" t="inlineStr">
        <is>
          <t>https://www.sec.gov/Archives/edgar/data/1730168/000173016825000121/0001730168-25-000121-index.html
https://www.sec.gov/Archives/edgar/data/1730168/000173016826000080/0001730168-26-000080-index.html</t>
        </is>
      </c>
      <c r="K708" s="2" t="inlineStr">
        <is>
          <t>USD</t>
        </is>
      </c>
    </row>
    <row r="709" ht="42" customHeight="1">
      <c r="A709" s="2" t="inlineStr">
        <is>
          <t>normalized-roic-ttm</t>
        </is>
      </c>
      <c r="B709" s="2" t="inlineStr">
        <is>
          <t>2026-08-02</t>
        </is>
      </c>
      <c r="C709" s="2" t="inlineStr">
        <is>
          <t>tax</t>
        </is>
      </c>
      <c r="D709" s="2" t="inlineStr">
        <is>
          <t>normalized_tax_rate</t>
        </is>
      </c>
      <c r="E709" s="2" t="inlineStr">
        <is>
          <t>2026-08-02</t>
        </is>
      </c>
      <c r="F709" s="3" t="n">
        <v>0.21</v>
      </c>
      <c r="G709" s="8" t="b">
        <v>0</v>
      </c>
      <c r="H709" s="2" t="inlineStr">
        <is>
          <t>Illustrative normalized cash-tax estimate for comparison; sustainable company tax rate is not established.</t>
        </is>
      </c>
      <c r="I709" s="8" t="b">
        <v>0</v>
      </c>
      <c r="J709" s="2" t="inlineStr">
        <is>
          <t>Analyst assumption, 2026-10-11</t>
        </is>
      </c>
      <c r="K709" s="2" t="inlineStr">
        <is>
          <t>ratio (decimal)</t>
        </is>
      </c>
    </row>
    <row r="710" ht="42" customHeight="1">
      <c r="A710" s="2" t="inlineStr">
        <is>
          <t>normalized-roic-ttm</t>
        </is>
      </c>
      <c r="B710" s="2" t="inlineStr">
        <is>
          <t>2026-08-02</t>
        </is>
      </c>
      <c r="C710" s="2" t="inlineStr">
        <is>
          <t>average_invested_capital</t>
        </is>
      </c>
      <c r="D710" s="2" t="inlineStr">
        <is>
          <t>average_invested_capital</t>
        </is>
      </c>
      <c r="E710" s="2" t="inlineStr">
        <is>
          <t>2026-08-02</t>
        </is>
      </c>
      <c r="F710" s="3" t="n">
        <v>130961000000</v>
      </c>
      <c r="G710" s="8" t="b">
        <v>0</v>
      </c>
      <c r="H710" s="2" t="inlineStr"/>
      <c r="I710" s="8" t="b">
        <v>0</v>
      </c>
      <c r="J710" s="2" t="inlineStr">
        <is>
          <t>Derived or model input; see parent calculation formula and model assumptions.</t>
        </is>
      </c>
      <c r="K710" s="2" t="inlineStr">
        <is>
          <t>USD</t>
        </is>
      </c>
    </row>
    <row r="711" ht="42" customHeight="1">
      <c r="A711" s="2" t="inlineStr">
        <is>
          <t>normalized-fcff-ttm</t>
        </is>
      </c>
      <c r="B711" s="2" t="inlineStr">
        <is>
          <t>2026-08-02</t>
        </is>
      </c>
      <c r="C711" s="2" t="inlineStr">
        <is>
          <t>operating_income</t>
        </is>
      </c>
      <c r="D711" s="2" t="inlineStr">
        <is>
          <t>operating_income</t>
        </is>
      </c>
      <c r="E711" s="2" t="inlineStr">
        <is>
          <t>2026-08-02</t>
        </is>
      </c>
      <c r="F711" s="3" t="n">
        <v>42814000000</v>
      </c>
      <c r="G711" s="8" t="b">
        <v>0</v>
      </c>
      <c r="H711" s="2" t="inlineStr"/>
      <c r="I711" s="8" t="b">
        <v>0</v>
      </c>
      <c r="J711" s="2" t="inlineStr">
        <is>
          <t>https://www.sec.gov/Archives/edgar/data/1730168/000173016825000121/0001730168-25-000121-index.html
https://www.sec.gov/Archives/edgar/data/1730168/000173016826000080/0001730168-26-000080-index.html</t>
        </is>
      </c>
      <c r="K711" s="2" t="inlineStr">
        <is>
          <t>USD</t>
        </is>
      </c>
    </row>
    <row r="712" ht="42" customHeight="1">
      <c r="A712" s="2" t="inlineStr">
        <is>
          <t>normalized-fcff-ttm</t>
        </is>
      </c>
      <c r="B712" s="2" t="inlineStr">
        <is>
          <t>2026-08-02</t>
        </is>
      </c>
      <c r="C712" s="2" t="inlineStr">
        <is>
          <t>tax</t>
        </is>
      </c>
      <c r="D712" s="2" t="inlineStr">
        <is>
          <t>normalized_tax_rate</t>
        </is>
      </c>
      <c r="E712" s="2" t="inlineStr">
        <is>
          <t>2026-08-02</t>
        </is>
      </c>
      <c r="F712" s="3" t="n">
        <v>0.21</v>
      </c>
      <c r="G712" s="8" t="b">
        <v>0</v>
      </c>
      <c r="H712" s="2" t="inlineStr">
        <is>
          <t>Illustrative normalized cash-tax estimate for comparison; sustainable company tax rate is not established.</t>
        </is>
      </c>
      <c r="I712" s="8" t="b">
        <v>0</v>
      </c>
      <c r="J712" s="2" t="inlineStr">
        <is>
          <t>Analyst assumption, 2026-10-11</t>
        </is>
      </c>
      <c r="K712" s="2" t="inlineStr">
        <is>
          <t>ratio (decimal)</t>
        </is>
      </c>
    </row>
    <row r="713" ht="42" customHeight="1">
      <c r="A713" s="2" t="inlineStr">
        <is>
          <t>normalized-fcff-ttm</t>
        </is>
      </c>
      <c r="B713" s="2" t="inlineStr">
        <is>
          <t>2026-08-02</t>
        </is>
      </c>
      <c r="C713" s="2" t="inlineStr">
        <is>
          <t>d_and_a</t>
        </is>
      </c>
      <c r="D713" s="2" t="inlineStr">
        <is>
          <t>d_and_a</t>
        </is>
      </c>
      <c r="E713" s="2" t="inlineStr">
        <is>
          <t>2026-08-02</t>
        </is>
      </c>
      <c r="F713" s="3" t="n">
        <v>8626000000</v>
      </c>
      <c r="G713" s="8" t="b">
        <v>0</v>
      </c>
      <c r="H713" s="2" t="inlineStr"/>
      <c r="I713" s="8" t="b">
        <v>0</v>
      </c>
      <c r="J713" s="2" t="inlineStr">
        <is>
          <t>https://www.sec.gov/Archives/edgar/data/1730168/000173016825000121/0001730168-25-000121-index.html
https://www.sec.gov/Archives/edgar/data/1730168/000173016826000080/0001730168-26-000080-index.html</t>
        </is>
      </c>
      <c r="K713" s="2" t="inlineStr">
        <is>
          <t>USD</t>
        </is>
      </c>
    </row>
    <row r="714" ht="42" customHeight="1">
      <c r="A714" s="2" t="inlineStr">
        <is>
          <t>normalized-fcff-ttm</t>
        </is>
      </c>
      <c r="B714" s="2" t="inlineStr">
        <is>
          <t>2026-08-02</t>
        </is>
      </c>
      <c r="C714" s="2" t="inlineStr">
        <is>
          <t>capex</t>
        </is>
      </c>
      <c r="D714" s="2" t="inlineStr">
        <is>
          <t>capex</t>
        </is>
      </c>
      <c r="E714" s="2" t="inlineStr">
        <is>
          <t>2026-08-02</t>
        </is>
      </c>
      <c r="F714" s="3" t="n">
        <v>1250000000</v>
      </c>
      <c r="G714" s="8" t="b">
        <v>0</v>
      </c>
      <c r="H714" s="2" t="inlineStr"/>
      <c r="I714" s="8" t="b">
        <v>0</v>
      </c>
      <c r="J714" s="2" t="inlineStr">
        <is>
          <t>https://www.sec.gov/Archives/edgar/data/1730168/000173016825000121/0001730168-25-000121-index.html
https://www.sec.gov/Archives/edgar/data/1730168/000173016826000080/0001730168-26-000080-index.html</t>
        </is>
      </c>
      <c r="K714" s="2" t="inlineStr">
        <is>
          <t>USD</t>
        </is>
      </c>
    </row>
    <row r="715" ht="42" customHeight="1">
      <c r="A715" s="2" t="inlineStr">
        <is>
          <t>normalized-fcff-ttm</t>
        </is>
      </c>
      <c r="B715" s="2" t="inlineStr">
        <is>
          <t>2026-08-02</t>
        </is>
      </c>
      <c r="C715" s="2" t="inlineStr">
        <is>
          <t>change_in_owc</t>
        </is>
      </c>
      <c r="D715" s="2" t="inlineStr">
        <is>
          <t>change_in_owc</t>
        </is>
      </c>
      <c r="E715" s="2" t="inlineStr">
        <is>
          <t>2026-08-02</t>
        </is>
      </c>
      <c r="F715" s="3" t="n">
        <v>6988000000</v>
      </c>
      <c r="G715" s="8" t="b">
        <v>0</v>
      </c>
      <c r="H715" s="2" t="inlineStr"/>
      <c r="I715" s="8" t="b">
        <v>0</v>
      </c>
      <c r="J715" s="2" t="inlineStr">
        <is>
          <t>Derived or model input; see parent calculation formula and model assumptions.</t>
        </is>
      </c>
      <c r="K715" s="2" t="inlineStr">
        <is>
          <t>USD</t>
        </is>
      </c>
    </row>
    <row r="716" ht="42" customHeight="1">
      <c r="A716" s="2" t="inlineStr">
        <is>
          <t>normalized-owner-earnings-ttm</t>
        </is>
      </c>
      <c r="B716" s="2" t="inlineStr">
        <is>
          <t>2026-08-02</t>
        </is>
      </c>
      <c r="C716" s="2" t="inlineStr">
        <is>
          <t>net_income</t>
        </is>
      </c>
      <c r="D716" s="2" t="inlineStr">
        <is>
          <t>net_income</t>
        </is>
      </c>
      <c r="E716" s="2" t="inlineStr">
        <is>
          <t>2026-08-02</t>
        </is>
      </c>
      <c r="F716" s="3" t="n">
        <v>38265000000</v>
      </c>
      <c r="G716" s="8" t="b">
        <v>0</v>
      </c>
      <c r="H716" s="2" t="inlineStr"/>
      <c r="I716" s="8" t="b">
        <v>0</v>
      </c>
      <c r="J716" s="2" t="inlineStr">
        <is>
          <t>https://www.sec.gov/Archives/edgar/data/1730168/000173016825000121/0001730168-25-000121-index.html
https://www.sec.gov/Archives/edgar/data/1730168/000173016826000080/0001730168-26-000080-index.html</t>
        </is>
      </c>
      <c r="K716" s="2" t="inlineStr">
        <is>
          <t>USD</t>
        </is>
      </c>
    </row>
    <row r="717" ht="42" customHeight="1">
      <c r="A717" s="2" t="inlineStr">
        <is>
          <t>normalized-owner-earnings-ttm</t>
        </is>
      </c>
      <c r="B717" s="2" t="inlineStr">
        <is>
          <t>2026-08-02</t>
        </is>
      </c>
      <c r="C717" s="2" t="inlineStr">
        <is>
          <t>reported_tax</t>
        </is>
      </c>
      <c r="D717" s="2" t="inlineStr">
        <is>
          <t>income_tax</t>
        </is>
      </c>
      <c r="E717" s="2" t="inlineStr">
        <is>
          <t>2026-08-02</t>
        </is>
      </c>
      <c r="F717" s="3" t="n">
        <v>2204000000</v>
      </c>
      <c r="G717" s="8" t="b">
        <v>0</v>
      </c>
      <c r="H717" s="2" t="inlineStr"/>
      <c r="I717" s="8" t="b">
        <v>0</v>
      </c>
      <c r="J717" s="2" t="inlineStr">
        <is>
          <t>https://www.sec.gov/Archives/edgar/data/1730168/000173016825000121/0001730168-25-000121-index.html
https://www.sec.gov/Archives/edgar/data/1730168/000173016826000080/0001730168-26-000080-index.html</t>
        </is>
      </c>
      <c r="K717" s="2" t="inlineStr">
        <is>
          <t>USD</t>
        </is>
      </c>
    </row>
    <row r="718" ht="42" customHeight="1">
      <c r="A718" s="2" t="inlineStr">
        <is>
          <t>normalized-owner-earnings-ttm</t>
        </is>
      </c>
      <c r="B718" s="2" t="inlineStr">
        <is>
          <t>2026-08-02</t>
        </is>
      </c>
      <c r="C718" s="2" t="inlineStr">
        <is>
          <t>pretax_income</t>
        </is>
      </c>
      <c r="D718" s="2" t="inlineStr">
        <is>
          <t>pretax_income</t>
        </is>
      </c>
      <c r="E718" s="2" t="inlineStr">
        <is>
          <t>2026-08-02</t>
        </is>
      </c>
      <c r="F718" s="3" t="n">
        <v>40469000000</v>
      </c>
      <c r="G718" s="8" t="b">
        <v>0</v>
      </c>
      <c r="H718" s="2" t="inlineStr"/>
      <c r="I718" s="8" t="b">
        <v>0</v>
      </c>
      <c r="J718" s="2" t="inlineStr">
        <is>
          <t>https://www.sec.gov/Archives/edgar/data/1730168/000173016825000121/0001730168-25-000121-index.html
https://www.sec.gov/Archives/edgar/data/1730168/000173016826000080/0001730168-26-000080-index.html</t>
        </is>
      </c>
      <c r="K718" s="2" t="inlineStr">
        <is>
          <t>USD</t>
        </is>
      </c>
    </row>
    <row r="719" ht="42" customHeight="1">
      <c r="A719" s="2" t="inlineStr">
        <is>
          <t>normalized-owner-earnings-ttm</t>
        </is>
      </c>
      <c r="B719" s="2" t="inlineStr">
        <is>
          <t>2026-08-02</t>
        </is>
      </c>
      <c r="C719" s="2" t="inlineStr">
        <is>
          <t>tax</t>
        </is>
      </c>
      <c r="D719" s="2" t="inlineStr">
        <is>
          <t>normalized_tax_rate</t>
        </is>
      </c>
      <c r="E719" s="2" t="inlineStr">
        <is>
          <t>2026-08-02</t>
        </is>
      </c>
      <c r="F719" s="3" t="n">
        <v>0.21</v>
      </c>
      <c r="G719" s="8" t="b">
        <v>0</v>
      </c>
      <c r="H719" s="2" t="inlineStr">
        <is>
          <t>Illustrative normalized cash-tax estimate for comparison; sustainable company tax rate is not established.</t>
        </is>
      </c>
      <c r="I719" s="8" t="b">
        <v>0</v>
      </c>
      <c r="J719" s="2" t="inlineStr">
        <is>
          <t>Analyst assumption, 2026-10-11</t>
        </is>
      </c>
      <c r="K719" s="2" t="inlineStr">
        <is>
          <t>ratio (decimal)</t>
        </is>
      </c>
    </row>
    <row r="720" ht="42" customHeight="1">
      <c r="A720" s="2" t="inlineStr">
        <is>
          <t>normalized-owner-earnings-ttm</t>
        </is>
      </c>
      <c r="B720" s="2" t="inlineStr">
        <is>
          <t>2026-08-02</t>
        </is>
      </c>
      <c r="C720" s="2" t="inlineStr">
        <is>
          <t>d_and_a</t>
        </is>
      </c>
      <c r="D720" s="2" t="inlineStr">
        <is>
          <t>d_and_a</t>
        </is>
      </c>
      <c r="E720" s="2" t="inlineStr">
        <is>
          <t>2026-08-02</t>
        </is>
      </c>
      <c r="F720" s="3" t="n">
        <v>8626000000</v>
      </c>
      <c r="G720" s="8" t="b">
        <v>0</v>
      </c>
      <c r="H720" s="2" t="inlineStr"/>
      <c r="I720" s="8" t="b">
        <v>0</v>
      </c>
      <c r="J720" s="2" t="inlineStr">
        <is>
          <t>https://www.sec.gov/Archives/edgar/data/1730168/000173016825000121/0001730168-25-000121-index.html
https://www.sec.gov/Archives/edgar/data/1730168/000173016826000080/0001730168-26-000080-index.html</t>
        </is>
      </c>
      <c r="K720" s="2" t="inlineStr">
        <is>
          <t>USD</t>
        </is>
      </c>
    </row>
    <row r="721" ht="42" customHeight="1">
      <c r="A721" s="2" t="inlineStr">
        <is>
          <t>normalized-owner-earnings-ttm</t>
        </is>
      </c>
      <c r="B721" s="2" t="inlineStr">
        <is>
          <t>2026-08-02</t>
        </is>
      </c>
      <c r="C721" s="2" t="inlineStr">
        <is>
          <t>maintenance_capex</t>
        </is>
      </c>
      <c r="D721" s="2" t="inlineStr">
        <is>
          <t>depreciation</t>
        </is>
      </c>
      <c r="E721" s="2" t="inlineStr">
        <is>
          <t>2026-08-02</t>
        </is>
      </c>
      <c r="F721" s="3" t="n">
        <v>632000000</v>
      </c>
      <c r="G721" s="8" t="b">
        <v>0</v>
      </c>
      <c r="H721" s="2" t="inlineStr"/>
      <c r="I721" s="8" t="b">
        <v>0</v>
      </c>
      <c r="J721" s="2" t="inlineStr">
        <is>
          <t>https://www.sec.gov/Archives/edgar/data/1730168/000173016825000121/0001730168-25-000121-index.html
https://www.sec.gov/Archives/edgar/data/1730168/000173016826000080/0001730168-26-000080-index.html</t>
        </is>
      </c>
      <c r="K721" s="2" t="inlineStr">
        <is>
          <t>USD</t>
        </is>
      </c>
    </row>
    <row r="722" ht="42" customHeight="1">
      <c r="A722" s="2" t="inlineStr">
        <is>
          <t>normalized-owner-earnings-ttm</t>
        </is>
      </c>
      <c r="B722" s="2" t="inlineStr">
        <is>
          <t>2026-08-02</t>
        </is>
      </c>
      <c r="C722" s="2" t="inlineStr">
        <is>
          <t>change_in_owc</t>
        </is>
      </c>
      <c r="D722" s="2" t="inlineStr">
        <is>
          <t>change_in_owc</t>
        </is>
      </c>
      <c r="E722" s="2" t="inlineStr">
        <is>
          <t>2026-08-02</t>
        </is>
      </c>
      <c r="F722" s="3" t="n">
        <v>6988000000</v>
      </c>
      <c r="G722" s="8" t="b">
        <v>0</v>
      </c>
      <c r="H722" s="2" t="inlineStr"/>
      <c r="I722" s="8" t="b">
        <v>0</v>
      </c>
      <c r="J722" s="2" t="inlineStr">
        <is>
          <t>Derived or model input; see parent calculation formula and model assumptions.</t>
        </is>
      </c>
      <c r="K722" s="2" t="inlineStr">
        <is>
          <t>USD</t>
        </is>
      </c>
    </row>
  </sheetData>
  <autoFilter ref="A1:K722"/>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15"/>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75" customWidth="1" min="5" max="5"/>
    <col width="25" customWidth="1" min="6" max="6"/>
    <col width="110" customWidth="1" min="7" max="7"/>
  </cols>
  <sheetData>
    <row r="1" ht="32" customHeight="1">
      <c r="A1" s="1" t="inlineStr">
        <is>
          <t>Item</t>
        </is>
      </c>
      <c r="B1" s="1" t="inlineStr">
        <is>
          <t>Period end</t>
        </is>
      </c>
      <c r="C1" s="1" t="inlineStr">
        <is>
          <t>Value (raw filing units)</t>
        </is>
      </c>
      <c r="D1" s="1" t="inlineStr">
        <is>
          <t>Source</t>
        </is>
      </c>
      <c r="E1" s="1" t="inlineStr">
        <is>
          <t>Source URL</t>
        </is>
      </c>
      <c r="F1" s="1" t="inlineStr">
        <is>
          <t>Section</t>
        </is>
      </c>
      <c r="G1" s="1" t="inlineStr">
        <is>
          <t>Exact quote</t>
        </is>
      </c>
    </row>
    <row r="2" ht="42" customHeight="1">
      <c r="A2" s="2" t="inlineStr">
        <is>
          <t>receivables_concentration</t>
        </is>
      </c>
      <c r="B2" s="2" t="inlineStr">
        <is>
          <t>2025-11-02</t>
        </is>
      </c>
      <c r="C2" s="3" t="n">
        <v>44</v>
      </c>
      <c r="D2" s="2" t="inlineStr">
        <is>
          <t>10-K 0001730168-25-000121</t>
        </is>
      </c>
      <c r="E2" s="2" t="inlineStr">
        <is>
          <t>https://www.sec.gov/Archives/edgar/data/1730168/000173016825000121/0001730168-25-000121-index.html</t>
        </is>
      </c>
      <c r="F2" s="2" t="inlineStr">
        <is>
          <t>item8.txt</t>
        </is>
      </c>
      <c r="G2" s="2" t="inlineStr">
        <is>
          <t>One customer accounted for 44% and 18% of our net accounts receivable balance as of November 2, 2025 and November 3, 2024, respectively.</t>
        </is>
      </c>
    </row>
    <row r="3" ht="42" customHeight="1">
      <c r="A3" s="2" t="inlineStr">
        <is>
          <t>income_tax_benefit</t>
        </is>
      </c>
      <c r="B3" s="2" t="inlineStr">
        <is>
          <t>2025-11-02</t>
        </is>
      </c>
      <c r="C3" s="3" t="n">
        <v>397000000</v>
      </c>
      <c r="D3" s="2" t="inlineStr">
        <is>
          <t>10-K 0001730168-25-000121</t>
        </is>
      </c>
      <c r="E3" s="2" t="inlineStr">
        <is>
          <t>https://www.sec.gov/Archives/edgar/data/1730168/000173016825000121/0001730168-25-000121-index.html</t>
        </is>
      </c>
      <c r="F3" s="2" t="inlineStr">
        <is>
          <t>item7.txt</t>
        </is>
      </c>
      <c r="G3" s="2" t="inlineStr">
        <is>
          <t>The benefit from income taxes was $397 million for fiscal year 2025</t>
        </is>
      </c>
    </row>
    <row r="4" ht="42" customHeight="1">
      <c r="A4" s="2" t="inlineStr">
        <is>
          <t>top_customer_share</t>
        </is>
      </c>
      <c r="B4" s="2" t="inlineStr">
        <is>
          <t>2025-11-02</t>
        </is>
      </c>
      <c r="C4" s="3" t="n">
        <v>32</v>
      </c>
      <c r="D4" s="2" t="inlineStr">
        <is>
          <t>10-K 0001730168-25-000121</t>
        </is>
      </c>
      <c r="E4" s="2" t="inlineStr">
        <is>
          <t>https://www.sec.gov/Archives/edgar/data/1730168/000173016825000121/0001730168-25-000121-index.html</t>
        </is>
      </c>
      <c r="F4" s="2" t="inlineStr">
        <is>
          <t>item7.txt</t>
        </is>
      </c>
      <c r="G4" s="2" t="inlineStr">
        <is>
          <t>Direct sales to one semiconductor solutions customer, which is a distributor, accounted for 32% and 28% of our net revenue for fiscal years 2025 and 2024, respectively.</t>
        </is>
      </c>
    </row>
    <row r="5" ht="42" customHeight="1">
      <c r="A5" s="2" t="inlineStr">
        <is>
          <t>top_five_customers_share</t>
        </is>
      </c>
      <c r="B5" s="2" t="inlineStr">
        <is>
          <t>2025-11-02</t>
        </is>
      </c>
      <c r="C5" s="3" t="n">
        <v>40</v>
      </c>
      <c r="D5" s="2" t="inlineStr">
        <is>
          <t>10-K 0001730168-25-000121</t>
        </is>
      </c>
      <c r="E5" s="2" t="inlineStr">
        <is>
          <t>https://www.sec.gov/Archives/edgar/data/1730168/000173016825000121/0001730168-25-000121-index.html</t>
        </is>
      </c>
      <c r="F5" s="2" t="inlineStr">
        <is>
          <t>item1a.txt</t>
        </is>
      </c>
      <c r="G5" s="2" t="inlineStr">
        <is>
          <t>We believe aggregate sales, through all channels, to our top five end customers accounted for approximately 40% of our net revenue for fiscal year 2025.</t>
        </is>
      </c>
    </row>
    <row r="6" ht="42" customHeight="1">
      <c r="A6" s="2" t="inlineStr">
        <is>
          <t>ai_semiconductor_revenue</t>
        </is>
      </c>
      <c r="B6" s="2" t="inlineStr">
        <is>
          <t>2025-11-02</t>
        </is>
      </c>
      <c r="C6" s="3" t="n">
        <v>20200000000</v>
      </c>
      <c r="D6" s="2" t="inlineStr">
        <is>
          <t>DEF 14A 0001193125-26-085691</t>
        </is>
      </c>
      <c r="E6" s="2" t="inlineStr">
        <is>
          <t>https://www.sec.gov/Archives/edgar/data/1730168/000119312526085691/0001193125-26-085691-index.html</t>
        </is>
      </c>
      <c r="F6" s="2" t="inlineStr">
        <is>
          <t>proxy_pay.txt</t>
        </is>
      </c>
      <c r="G6" s="2" t="inlineStr">
        <is>
          <t>our AI semiconductor revenue increased 65% from $12.2 billion in fiscal 2024 to $20.2 billion in fiscal 2025</t>
        </is>
      </c>
    </row>
    <row r="7" ht="42" customHeight="1">
      <c r="A7" s="2" t="inlineStr">
        <is>
          <t>ceo_variable_pay_share</t>
        </is>
      </c>
      <c r="B7" s="2" t="inlineStr">
        <is>
          <t>2025-11-02</t>
        </is>
      </c>
      <c r="C7" s="3" t="n">
        <v>96</v>
      </c>
      <c r="D7" s="2" t="inlineStr">
        <is>
          <t>DEF 14A 0001193125-26-085691</t>
        </is>
      </c>
      <c r="E7" s="2" t="inlineStr">
        <is>
          <t>https://www.sec.gov/Archives/edgar/data/1730168/000119312526085691/0001193125-26-085691-index.html</t>
        </is>
      </c>
      <c r="F7" s="2" t="inlineStr">
        <is>
          <t>proxy_pay.txt</t>
        </is>
      </c>
      <c r="G7" s="2" t="inlineStr">
        <is>
          <t>96% of our Chief Executive Officer’s (“CEO”) and 95% of our other named executive officers’ (“NEOs”) average annualized target total compensation in fiscal 2025 is comprised of variable compensation</t>
        </is>
      </c>
    </row>
    <row r="8" ht="42" customHeight="1">
      <c r="A8" s="2" t="inlineStr">
        <is>
          <t>segment_revenue_semiconductor</t>
        </is>
      </c>
      <c r="B8" s="2" t="inlineStr">
        <is>
          <t>2025-11-02</t>
        </is>
      </c>
      <c r="C8" s="3" t="n">
        <v>36858000000</v>
      </c>
      <c r="D8" s="2" t="inlineStr">
        <is>
          <t>10-K 0001730168-25-000121</t>
        </is>
      </c>
      <c r="E8" s="2" t="inlineStr">
        <is>
          <t>https://www.sec.gov/Archives/edgar/data/1730168/000173016825000121/0001730168-25-000121-index.html</t>
        </is>
      </c>
      <c r="F8" s="2" t="inlineStr">
        <is>
          <t>item7.txt</t>
        </is>
      </c>
      <c r="G8" s="2" t="inlineStr">
        <is>
          <t>Semiconductor solutions $ 36,858 $30,096</t>
        </is>
      </c>
    </row>
    <row r="9" ht="42" customHeight="1">
      <c r="A9" s="2" t="inlineStr">
        <is>
          <t>segment_revenue_software</t>
        </is>
      </c>
      <c r="B9" s="2" t="inlineStr">
        <is>
          <t>2025-11-02</t>
        </is>
      </c>
      <c r="C9" s="3" t="n">
        <v>27029000000</v>
      </c>
      <c r="D9" s="2" t="inlineStr">
        <is>
          <t>10-K 0001730168-25-000121</t>
        </is>
      </c>
      <c r="E9" s="2" t="inlineStr">
        <is>
          <t>https://www.sec.gov/Archives/edgar/data/1730168/000173016825000121/0001730168-25-000121-index.html</t>
        </is>
      </c>
      <c r="F9" s="2" t="inlineStr">
        <is>
          <t>item7.txt</t>
        </is>
      </c>
      <c r="G9" s="2" t="inlineStr">
        <is>
          <t>Infrastructure software 27,029 21,478</t>
        </is>
      </c>
    </row>
    <row r="10" ht="42" customHeight="1">
      <c r="A10" s="2" t="inlineStr">
        <is>
          <t>segment_operating_income_semiconductor</t>
        </is>
      </c>
      <c r="B10" s="2" t="inlineStr">
        <is>
          <t>2025-11-02</t>
        </is>
      </c>
      <c r="C10" s="3" t="n">
        <v>21232000000</v>
      </c>
      <c r="D10" s="2" t="inlineStr">
        <is>
          <t>10-K 0001730168-25-000121</t>
        </is>
      </c>
      <c r="E10" s="2" t="inlineStr">
        <is>
          <t>https://www.sec.gov/Archives/edgar/data/1730168/000173016825000121/0001730168-25-000121-index.html</t>
        </is>
      </c>
      <c r="F10" s="2" t="inlineStr">
        <is>
          <t>item7.txt</t>
        </is>
      </c>
      <c r="G10" s="2" t="inlineStr">
        <is>
          <t>Semiconductor solutions $ 21,232 $ 16,759</t>
        </is>
      </c>
    </row>
    <row r="11" ht="42" customHeight="1">
      <c r="A11" s="2" t="inlineStr">
        <is>
          <t>segment_operating_income_software</t>
        </is>
      </c>
      <c r="B11" s="2" t="inlineStr">
        <is>
          <t>2025-11-02</t>
        </is>
      </c>
      <c r="C11" s="3" t="n">
        <v>20765000000</v>
      </c>
      <c r="D11" s="2" t="inlineStr">
        <is>
          <t>10-K 0001730168-25-000121</t>
        </is>
      </c>
      <c r="E11" s="2" t="inlineStr">
        <is>
          <t>https://www.sec.gov/Archives/edgar/data/1730168/000173016825000121/0001730168-25-000121-index.html</t>
        </is>
      </c>
      <c r="F11" s="2" t="inlineStr">
        <is>
          <t>item7.txt</t>
        </is>
      </c>
      <c r="G11" s="2" t="inlineStr">
        <is>
          <t>Infrastructure software 20,765 13,977</t>
        </is>
      </c>
    </row>
    <row r="12" ht="42" customHeight="1">
      <c r="A12" s="2" t="inlineStr">
        <is>
          <t>segment_revenue_semiconductor</t>
        </is>
      </c>
      <c r="B12" s="2" t="inlineStr">
        <is>
          <t>2026-08-02</t>
        </is>
      </c>
      <c r="C12" s="3" t="n">
        <v>48363000000</v>
      </c>
      <c r="D12" s="2" t="inlineStr">
        <is>
          <t>10-Q 0001730168-26-000080</t>
        </is>
      </c>
      <c r="E12" s="2" t="inlineStr">
        <is>
          <t>https://www.sec.gov/Archives/edgar/data/1730168/000173016826000080/0001730168-26-000080-index.html</t>
        </is>
      </c>
      <c r="F12" s="2" t="inlineStr">
        <is>
          <t>latest_10q.txt</t>
        </is>
      </c>
      <c r="G12" s="2" t="inlineStr">
        <is>
          <t>Semiconductor solutions $ 20,839 $9,166 $11,673 127% $ 48,363 $25,786 $22,577 88%</t>
        </is>
      </c>
    </row>
    <row r="13" ht="42" customHeight="1">
      <c r="A13" s="2" t="inlineStr">
        <is>
          <t>segment_revenue_semiconductor</t>
        </is>
      </c>
      <c r="B13" s="2" t="inlineStr">
        <is>
          <t>2025-08-03</t>
        </is>
      </c>
      <c r="C13" s="3" t="n">
        <v>25786000000</v>
      </c>
      <c r="D13" s="2" t="inlineStr">
        <is>
          <t>10-Q 0001730168-26-000080</t>
        </is>
      </c>
      <c r="E13" s="2" t="inlineStr">
        <is>
          <t>https://www.sec.gov/Archives/edgar/data/1730168/000173016826000080/0001730168-26-000080-index.html</t>
        </is>
      </c>
      <c r="F13" s="2" t="inlineStr">
        <is>
          <t>latest_10q.txt</t>
        </is>
      </c>
      <c r="G13" s="2" t="inlineStr">
        <is>
          <t>Semiconductor solutions $ 20,839 $9,166 $11,673 127% $ 48,363 $25,786 $22,577 88%</t>
        </is>
      </c>
    </row>
    <row r="14" ht="42" customHeight="1">
      <c r="A14" s="2" t="inlineStr">
        <is>
          <t>segment_revenue_software</t>
        </is>
      </c>
      <c r="B14" s="2" t="inlineStr">
        <is>
          <t>2026-08-02</t>
        </is>
      </c>
      <c r="C14" s="3" t="n">
        <v>22726000000</v>
      </c>
      <c r="D14" s="2" t="inlineStr">
        <is>
          <t>10-Q 0001730168-26-000080</t>
        </is>
      </c>
      <c r="E14" s="2" t="inlineStr">
        <is>
          <t>https://www.sec.gov/Archives/edgar/data/1730168/000173016826000080/0001730168-26-000080-index.html</t>
        </is>
      </c>
      <c r="F14" s="2" t="inlineStr">
        <is>
          <t>latest_10q.txt</t>
        </is>
      </c>
      <c r="G14" s="2" t="inlineStr">
        <is>
          <t>Infrastructure software 8,752 6,786 1,966 29% 22,726 20,086 2,640 13%</t>
        </is>
      </c>
    </row>
    <row r="15" ht="42" customHeight="1">
      <c r="A15" s="2" t="inlineStr">
        <is>
          <t>segment_revenue_software</t>
        </is>
      </c>
      <c r="B15" s="2" t="inlineStr">
        <is>
          <t>2025-08-03</t>
        </is>
      </c>
      <c r="C15" s="3" t="n">
        <v>20086000000</v>
      </c>
      <c r="D15" s="2" t="inlineStr">
        <is>
          <t>10-Q 0001730168-26-000080</t>
        </is>
      </c>
      <c r="E15" s="2" t="inlineStr">
        <is>
          <t>https://www.sec.gov/Archives/edgar/data/1730168/000173016826000080/0001730168-26-000080-index.html</t>
        </is>
      </c>
      <c r="F15" s="2" t="inlineStr">
        <is>
          <t>latest_10q.txt</t>
        </is>
      </c>
      <c r="G15" s="2" t="inlineStr">
        <is>
          <t>Infrastructure software 8,752 6,786 1,966 29% 22,726 20,086 2,640 13%</t>
        </is>
      </c>
    </row>
  </sheetData>
  <autoFilter ref="A1:G15"/>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N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32" customWidth="1" min="3" max="3"/>
    <col width="25" customWidth="1" min="4" max="4"/>
    <col width="70" customWidth="1" min="5" max="5"/>
    <col width="48" customWidth="1" min="6" max="6"/>
    <col width="45" customWidth="1" min="7" max="7"/>
    <col width="80" customWidth="1" min="8" max="8"/>
    <col width="100" customWidth="1" min="9" max="9"/>
    <col width="100" customWidth="1" min="10" max="10"/>
    <col width="100" customWidth="1" min="11" max="11"/>
    <col width="70" customWidth="1" min="12" max="12"/>
    <col width="70" customWidth="1" min="13" max="13"/>
    <col width="110" customWidth="1" min="14" max="14"/>
  </cols>
  <sheetData>
    <row r="1" ht="32" customHeight="1">
      <c r="A1" s="1" t="inlineStr">
        <is>
          <t>Card ID</t>
        </is>
      </c>
      <c r="B1" s="1" t="inlineStr">
        <is>
          <t>English title</t>
        </is>
      </c>
      <c r="C1" s="1" t="inlineStr">
        <is>
          <t>Hebrew title</t>
        </is>
      </c>
      <c r="D1" s="1" t="inlineStr">
        <is>
          <t>Section</t>
        </is>
      </c>
      <c r="E1" s="1" t="inlineStr">
        <is>
          <t>AVGO coverage</t>
        </is>
      </c>
      <c r="F1" s="1" t="inlineStr">
        <is>
          <t>Metric keys</t>
        </is>
      </c>
      <c r="G1" s="1" t="inlineStr">
        <is>
          <t>Fact items</t>
        </is>
      </c>
      <c r="H1" s="1" t="inlineStr">
        <is>
          <t>Handbook formula</t>
        </is>
      </c>
      <c r="I1" s="1" t="inlineStr">
        <is>
          <t>Meaning</t>
        </is>
      </c>
      <c r="J1" s="1" t="inlineStr">
        <is>
          <t>Interpretation</t>
        </is>
      </c>
      <c r="K1" s="1" t="inlineStr">
        <is>
          <t>Cautions</t>
        </is>
      </c>
      <c r="L1" s="1" t="inlineStr">
        <is>
          <t>Where to find</t>
        </is>
      </c>
      <c r="M1" s="1" t="inlineStr">
        <is>
          <t>Related cards</t>
        </is>
      </c>
      <c r="N1" s="1" t="inlineStr">
        <is>
          <t>Additional guidance</t>
        </is>
      </c>
    </row>
    <row r="2" ht="42" customHeight="1">
      <c r="A2" s="2" t="inlineStr">
        <is>
          <t>business-model</t>
        </is>
      </c>
      <c r="B2" s="2" t="inlineStr">
        <is>
          <t>Business Model</t>
        </is>
      </c>
      <c r="C2" s="2" t="inlineStr">
        <is>
          <t>המודל העסקי</t>
        </is>
      </c>
      <c r="D2" s="2" t="inlineStr">
        <is>
          <t>business</t>
        </is>
      </c>
      <c r="E2" s="2" t="inlineStr">
        <is>
          <t>No direct company-specific mapping; use handbook guidance and add your own evidence.</t>
        </is>
      </c>
      <c r="F2" s="2" t="inlineStr"/>
      <c r="G2" s="2" t="inlineStr"/>
      <c r="H2" s="2" t="inlineStr">
        <is>
          <t>Not a single numerical formula</t>
        </is>
      </c>
      <c r="I2" s="2" t="inlineStr">
        <is>
          <t>A description of  what  the company sells,  to whom ,  how  it delivers it, and  how it gets paid . If you can’t explain it in two sentences, you don’t understand it yet.</t>
        </is>
      </c>
      <c r="J2" s="2" t="inlineStr">
        <is>
          <t>The business model determines margins, capital needs, cyclicality and how durable revenue is.</t>
        </is>
      </c>
      <c r="K2" s="2" t="inlineStr">
        <is>
          <t>Management’s description can be marketing. Check it against where the revenue and profit actually come from (segment data).</t>
        </is>
      </c>
      <c r="L2" s="2" t="inlineStr">
        <is>
          <t>10-K Item 1 “Business”; investor presentations.</t>
        </is>
      </c>
      <c r="M2" s="2" t="inlineStr">
        <is>
          <t>revenue-model, segments, moat, circle-of-competence</t>
        </is>
      </c>
      <c r="N2" s="2" t="inlineStr"/>
    </row>
    <row r="3" ht="42" customHeight="1">
      <c r="A3" s="2" t="inlineStr">
        <is>
          <t>revenue-model</t>
        </is>
      </c>
      <c r="B3" s="2" t="inlineStr">
        <is>
          <t>Revenue Model</t>
        </is>
      </c>
      <c r="C3" s="2" t="inlineStr">
        <is>
          <t>מודל ההכנסות</t>
        </is>
      </c>
      <c r="D3" s="2" t="inlineStr">
        <is>
          <t>business</t>
        </is>
      </c>
      <c r="E3" s="2" t="inlineStr">
        <is>
          <t>No direct company-specific mapping; use handbook guidance and add your own evidence.</t>
        </is>
      </c>
      <c r="F3" s="2" t="inlineStr"/>
      <c r="G3" s="2" t="inlineStr"/>
      <c r="H3" s="2" t="inlineStr">
        <is>
          <t>Not a single numerical formula</t>
        </is>
      </c>
      <c r="I3" s="2" t="inlineStr">
        <is>
          <t>The mechanism by which the company earns revenue:  one-time sales ,  recurring subscriptions ,  usage-based  fees,  transaction  take-rates,  advertising ,  licensing ,  hardware + services .</t>
        </is>
      </c>
      <c r="J3" s="2" t="inlineStr">
        <is>
          <t>Recurring and contractual revenue is more predictable and usually valued at higher multiples than one-off or project revenue.</t>
        </is>
      </c>
      <c r="K3" s="2" t="inlineStr">
        <is>
          <t>“Recurring” is sometimes stretched to cover repeat-but-uncontracted purchases.</t>
        </is>
      </c>
      <c r="L3" s="2" t="inlineStr">
        <is>
          <t>10-K revenue-recognition note; “Disaggregation of revenue”.</t>
        </is>
      </c>
      <c r="M3" s="2" t="inlineStr">
        <is>
          <t>business-model, revenue-mix</t>
        </is>
      </c>
      <c r="N3" s="2" t="inlineStr"/>
    </row>
    <row r="4" ht="42" customHeight="1">
      <c r="A4" s="2" t="inlineStr">
        <is>
          <t>segments</t>
        </is>
      </c>
      <c r="B4" s="2" t="inlineStr">
        <is>
          <t>Business Segments</t>
        </is>
      </c>
      <c r="C4" s="2" t="inlineStr">
        <is>
          <t>מגזרי פעילות</t>
        </is>
      </c>
      <c r="D4" s="2" t="inlineStr">
        <is>
          <t>business</t>
        </is>
      </c>
      <c r="E4" s="2" t="inlineStr">
        <is>
          <t>8 text facts; Discussed in steps 0, 4</t>
        </is>
      </c>
      <c r="F4" s="2" t="inlineStr"/>
      <c r="G4" s="2" t="inlineStr">
        <is>
          <t>segment_revenue_semiconductor, segment_revenue_software, segment_operating_income_semiconductor, segment_operating_income_software</t>
        </is>
      </c>
      <c r="H4" s="2" t="inlineStr">
        <is>
          <t>Not a single numerical formula</t>
        </is>
      </c>
      <c r="I4" s="2" t="inlineStr">
        <is>
          <t>The distinct parts of the company that management reports separately (by product line or geography), each with its own revenue and usually operating profit.</t>
        </is>
      </c>
      <c r="J4" s="2" t="inlineStr">
        <is>
          <t>Segments often have very different growth, margins and risk. A great segment can be hidden inside a mediocre consolidated number — or vice versa.</t>
        </is>
      </c>
      <c r="K4" s="2" t="inlineStr">
        <is>
          <t>Corporate costs are often not allocated to segments, so segment profits add up to more than total operating income.</t>
        </is>
      </c>
      <c r="L4" s="2" t="inlineStr">
        <is>
          <t>10-K “Segment information” note.</t>
        </is>
      </c>
      <c r="M4" s="2" t="inlineStr">
        <is>
          <t>revenue-mix, business-model</t>
        </is>
      </c>
      <c r="N4" s="2" t="inlineStr"/>
    </row>
    <row r="5" ht="42" customHeight="1">
      <c r="A5" s="2" t="inlineStr">
        <is>
          <t>revenue-mix</t>
        </is>
      </c>
      <c r="B5" s="2" t="inlineStr">
        <is>
          <t>Revenue Mix</t>
        </is>
      </c>
      <c r="C5" s="2" t="inlineStr">
        <is>
          <t>תמהיל ההכנסות</t>
        </is>
      </c>
      <c r="D5" s="2" t="inlineStr">
        <is>
          <t>business</t>
        </is>
      </c>
      <c r="E5" s="2" t="inlineStr">
        <is>
          <t>No direct company-specific mapping; use handbook guidance and add your own evidence.</t>
        </is>
      </c>
      <c r="F5" s="2" t="inlineStr"/>
      <c r="G5" s="2" t="inlineStr"/>
      <c r="H5" s="2" t="inlineStr">
        <is>
          <t>Not a single numerical formula</t>
        </is>
      </c>
      <c r="I5" s="2" t="inlineStr">
        <is>
          <t>How total revenue splits across products, segments, geographies, customer types, or recurring vs one-off.</t>
        </is>
      </c>
      <c r="J5" s="2" t="inlineStr">
        <is>
          <t>A shift in mix toward higher-margin products raises overall margins even if nothing else changes (“mix shift”).</t>
        </is>
      </c>
      <c r="K5" s="2" t="inlineStr">
        <is>
          <t>Margin improvement from mix shift is not the same as improvement in each business.</t>
        </is>
      </c>
      <c r="L5" s="2" t="inlineStr">
        <is>
          <t>10-K revenue disaggregation and segment notes.</t>
        </is>
      </c>
      <c r="M5" s="2" t="inlineStr">
        <is>
          <t>segments, gross-margin, revenue-model</t>
        </is>
      </c>
      <c r="N5" s="2" t="inlineStr"/>
    </row>
    <row r="6" ht="42" customHeight="1">
      <c r="A6" s="2" t="inlineStr">
        <is>
          <t>growth-drivers</t>
        </is>
      </c>
      <c r="B6" s="2" t="inlineStr">
        <is>
          <t>Growth Drivers</t>
        </is>
      </c>
      <c r="C6" s="2" t="inlineStr">
        <is>
          <t>מנועי צמיחה</t>
        </is>
      </c>
      <c r="D6" s="2" t="inlineStr">
        <is>
          <t>business</t>
        </is>
      </c>
      <c r="E6" s="2" t="inlineStr">
        <is>
          <t>No direct company-specific mapping; use handbook guidance and add your own evidence.</t>
        </is>
      </c>
      <c r="F6" s="2" t="inlineStr"/>
      <c r="G6" s="2" t="inlineStr"/>
      <c r="H6" s="2" t="inlineStr">
        <is>
          <t>Revenue = Customers × Revenue per Customer
(or Units × Price)</t>
        </is>
      </c>
      <c r="I6" s="2" t="inlineStr">
        <is>
          <t>The specific levers that can grow revenue:  market expansion ,  price increases ,  customer growth ,  more spend per customer ,  new products ,  geographic expansion ,  acquisitions .</t>
        </is>
      </c>
      <c r="J6" s="2" t="inlineStr">
        <is>
          <t>Good analysis names the  one or two drivers that matter most  and checks the evidence for each.</t>
        </is>
      </c>
      <c r="K6" s="2" t="inlineStr">
        <is>
          <t>Growth bought via acquisitions or driven by price alone can fade; organic volume growth is usually higher quality.</t>
        </is>
      </c>
      <c r="L6" s="2" t="inlineStr">
        <is>
          <t>10-K MD&amp;A; earnings calls.</t>
        </is>
      </c>
      <c r="M6" s="2" t="inlineStr">
        <is>
          <t>tam, revenue, market-share</t>
        </is>
      </c>
      <c r="N6" s="2" t="inlineStr"/>
    </row>
    <row r="7" ht="42" customHeight="1">
      <c r="A7" s="2" t="inlineStr">
        <is>
          <t>competitive-advantage</t>
        </is>
      </c>
      <c r="B7" s="2" t="inlineStr">
        <is>
          <t>Competitive Advantage</t>
        </is>
      </c>
      <c r="C7" s="2" t="inlineStr">
        <is>
          <t>יתרון תחרותי</t>
        </is>
      </c>
      <c r="D7" s="2" t="inlineStr">
        <is>
          <t>business</t>
        </is>
      </c>
      <c r="E7" s="2" t="inlineStr">
        <is>
          <t>No direct company-specific mapping; use handbook guidance and add your own evidence.</t>
        </is>
      </c>
      <c r="F7" s="2" t="inlineStr"/>
      <c r="G7" s="2" t="inlineStr"/>
      <c r="H7" s="2" t="inlineStr">
        <is>
          <t>Not a single numerical formula</t>
        </is>
      </c>
      <c r="I7" s="2" t="inlineStr">
        <is>
          <t>Anything that lets a company win customers or earn better economics than competitors: better product, lower cost, brand, distribution, technology.</t>
        </is>
      </c>
      <c r="J7" s="2" t="inlineStr">
        <is>
          <t>A competitive advantage becomes a  moat  only when it is  durable  — hard for competitors to copy for many years.</t>
        </is>
      </c>
      <c r="K7" s="2" t="inlineStr">
        <is>
          <t>A temporary lead (a hot product) is not the same as a durable structural advantage.</t>
        </is>
      </c>
      <c r="L7" s="2" t="inlineStr">
        <is>
          <t>10-K Item 1 “Competition”.</t>
        </is>
      </c>
      <c r="M7" s="2" t="inlineStr">
        <is>
          <t>moat, competition</t>
        </is>
      </c>
      <c r="N7" s="2" t="inlineStr"/>
    </row>
    <row r="8" ht="42" customHeight="1">
      <c r="A8" s="2" t="inlineStr">
        <is>
          <t>moat</t>
        </is>
      </c>
      <c r="B8" s="2" t="inlineStr">
        <is>
          <t>Economic Moat</t>
        </is>
      </c>
      <c r="C8" s="2" t="inlineStr">
        <is>
          <t>חפיר כלכלי</t>
        </is>
      </c>
      <c r="D8" s="2" t="inlineStr">
        <is>
          <t>business</t>
        </is>
      </c>
      <c r="E8" s="2" t="inlineStr">
        <is>
          <t>Discussed in steps 2</t>
        </is>
      </c>
      <c r="F8" s="2" t="inlineStr"/>
      <c r="G8" s="2" t="inlineStr"/>
      <c r="H8" s="2" t="inlineStr">
        <is>
          <t>Not a single numerical formula</t>
        </is>
      </c>
      <c r="I8" s="2" t="inlineStr">
        <is>
          <t>A  durable  structural advantage that protects a company’s profits and returns on capital from competition over many years — like a moat protecting a castle.</t>
        </is>
      </c>
      <c r="J8" s="2" t="inlineStr">
        <is>
          <t>The financial evidence of a moat is  high ROIC sustained for many years , stable or rising margins, and pricing power.</t>
        </is>
      </c>
      <c r="K8" s="2" t="inlineStr">
        <is>
          <t>“No competition” is NOT automatically a moat.  The important question is:  WHY is competition difficult?  If high profits exist and nothing stops others from copying, competitors will come.</t>
        </is>
      </c>
      <c r="L8" s="2" t="inlineStr">
        <is>
          <t>Inferred: 10-K + financial history (ROIC, margins).</t>
        </is>
      </c>
      <c r="M8" s="2" t="inlineStr">
        <is>
          <t>roic, competition, market-share, business-model, competitive-advantage, ev-revenue</t>
        </is>
      </c>
      <c r="N8" s="2" t="inlineStr">
        <is>
          <t>Source of moat  What it means  Typical examples    
           Network Effects   Each new user makes the product more valuable for others.  Marketplaces, payment networks, social platforms  
           Switching Costs   Leaving is painful, risky or expensive.  ERP software, core banking, embedded workflows  
           Economies of Scale   Unit costs fall with size; small rivals can’t match prices profitably.  Warehouse retail, cloud infrastructure, chips  
           Brand   Customers pay more or choose by default because of trust/status.  Luxury goods, beverages, consumer tech  
           Intellectual Property   Patents, trade secrets, proprietary technology.  Pharma, semiconductor design  
           Cost Advantage   Structurally lower costs from process, location or resources.  Low-cost producers, unique mines  
           Distribution   Owns the channel or shelf; reaches customers cheaper.  Consumer staples, app stores  
           Vertical Integration   Controls key parts of the value chain → cost, speed, quality.  EVs, aerospace, fashion  
           Regulatory Barriers   Licenses or laws limit who can compete.  Utilities, exchanges, defence, rating agencies  
           Data Advantage   Proprietary data improves the product and compounds with usage.  Search, credit scoring, mapping</t>
        </is>
      </c>
    </row>
    <row r="9" ht="42" customHeight="1">
      <c r="A9" s="2" t="inlineStr">
        <is>
          <t>market-share</t>
        </is>
      </c>
      <c r="B9" s="2" t="inlineStr">
        <is>
          <t>Market Share</t>
        </is>
      </c>
      <c r="C9" s="2" t="inlineStr">
        <is>
          <t>נתח שוק</t>
        </is>
      </c>
      <c r="D9" s="2" t="inlineStr">
        <is>
          <t>business</t>
        </is>
      </c>
      <c r="E9" s="2" t="inlineStr">
        <is>
          <t>No direct company-specific mapping; use handbook guidance and add your own evidence.</t>
        </is>
      </c>
      <c r="F9" s="2" t="inlineStr"/>
      <c r="G9" s="2" t="inlineStr"/>
      <c r="H9" s="2" t="inlineStr">
        <is>
          <t>Market Share = Company Revenue / Total Market Revenue</t>
        </is>
      </c>
      <c r="I9" s="2" t="inlineStr">
        <is>
          <t>The company’s portion of total sales in its market.</t>
        </is>
      </c>
      <c r="J9" s="2" t="inlineStr">
        <is>
          <t>Rising share = winning against competitors. Leading share can bring scale advantages.</t>
        </is>
      </c>
      <c r="K9" s="2" t="inlineStr">
        <is>
          <t>Depends heavily on how you define “the market”. Share can be bought with unprofitable price cuts.</t>
        </is>
      </c>
      <c r="L9" s="2" t="inlineStr">
        <is>
          <t>Industry reports, company presentations.</t>
        </is>
      </c>
      <c r="M9" s="2" t="inlineStr">
        <is>
          <t>tam, competition, growth-drivers, moat, embedded-expectations</t>
        </is>
      </c>
      <c r="N9" s="2" t="inlineStr"/>
    </row>
    <row r="10" ht="42" customHeight="1">
      <c r="A10" s="2" t="inlineStr">
        <is>
          <t>tam</t>
        </is>
      </c>
      <c r="B10" s="2" t="inlineStr">
        <is>
          <t>TAM</t>
        </is>
      </c>
      <c r="C10" s="2" t="inlineStr">
        <is>
          <t>השוק הכולל הנגיש</t>
        </is>
      </c>
      <c r="D10" s="2" t="inlineStr">
        <is>
          <t>business</t>
        </is>
      </c>
      <c r="E10" s="2" t="inlineStr">
        <is>
          <t>No direct company-specific mapping; use handbook guidance and add your own evidence.</t>
        </is>
      </c>
      <c r="F10" s="2" t="inlineStr"/>
      <c r="G10" s="2" t="inlineStr"/>
      <c r="H10" s="2" t="inlineStr">
        <is>
          <t>Not a single numerical formula</t>
        </is>
      </c>
      <c r="I10" s="2" t="inlineStr">
        <is>
          <t>The total annual revenue available for a product if the company captured the entire market. Related:  SAM  (serviceable) and  SOM  (realistically obtainable).</t>
        </is>
      </c>
      <c r="J10" s="2" t="inlineStr">
        <is>
          <t>TAM sets the ceiling on long-term growth. A small company in a big, growing TAM has a long runway.</t>
        </is>
      </c>
      <c r="K10" s="2" t="inlineStr">
        <is>
          <t>Company-presented TAMs are often hugely inflated. Build your own bottom-up estimate.</t>
        </is>
      </c>
      <c r="L10" s="2" t="inlineStr">
        <is>
          <t>Investor presentations, industry research.</t>
        </is>
      </c>
      <c r="M10" s="2" t="inlineStr">
        <is>
          <t>growth-drivers, market-share, revenue, embedded-expectations</t>
        </is>
      </c>
      <c r="N10" s="2" t="inlineStr"/>
    </row>
    <row r="11" ht="42" customHeight="1">
      <c r="A11" s="2" t="inlineStr">
        <is>
          <t>competition</t>
        </is>
      </c>
      <c r="B11" s="2" t="inlineStr">
        <is>
          <t>Competition</t>
        </is>
      </c>
      <c r="C11" s="2" t="inlineStr">
        <is>
          <t>תחרות</t>
        </is>
      </c>
      <c r="D11" s="2" t="inlineStr">
        <is>
          <t>business</t>
        </is>
      </c>
      <c r="E11" s="2" t="inlineStr">
        <is>
          <t>No direct company-specific mapping; use handbook guidance and add your own evidence.</t>
        </is>
      </c>
      <c r="F11" s="2" t="inlineStr"/>
      <c r="G11" s="2" t="inlineStr"/>
      <c r="H11" s="2" t="inlineStr">
        <is>
          <t>Not a single numerical formula</t>
        </is>
      </c>
      <c r="I11" s="2" t="inlineStr">
        <is>
          <t>The other companies (and substitutes) competing for the same customers, and how they compete: price, product, distribution, brand.</t>
        </is>
      </c>
      <c r="J11" s="2" t="inlineStr">
        <is>
          <t>Intense competition pushes margins and returns down toward the cost of capital unless a moat protects the company.</t>
        </is>
      </c>
      <c r="K11" s="2" t="inlineStr">
        <is>
          <t>New entrants and substitutes from other industries are often missed.</t>
        </is>
      </c>
      <c r="L11" s="2" t="inlineStr">
        <is>
          <t>10-K Item 1 “Competition”; competitors’ filings.</t>
        </is>
      </c>
      <c r="M11" s="2" t="inlineStr">
        <is>
          <t>moat, market-share, competitive-advantage</t>
        </is>
      </c>
      <c r="N11" s="2" t="inlineStr"/>
    </row>
    <row r="12" ht="42" customHeight="1">
      <c r="A12" s="2" t="inlineStr">
        <is>
          <t>customer-concentration</t>
        </is>
      </c>
      <c r="B12" s="2" t="inlineStr">
        <is>
          <t>Customer Concentration</t>
        </is>
      </c>
      <c r="C12" s="2" t="inlineStr">
        <is>
          <t>ריכוזיות לקוחות</t>
        </is>
      </c>
      <c r="D12" s="2" t="inlineStr">
        <is>
          <t>business</t>
        </is>
      </c>
      <c r="E12" s="2" t="inlineStr">
        <is>
          <t>3 text facts; Discussed in steps 2</t>
        </is>
      </c>
      <c r="F12" s="2" t="inlineStr"/>
      <c r="G12" s="2" t="inlineStr">
        <is>
          <t>receivables_concentration, top_customer_share, top_five_customers_share</t>
        </is>
      </c>
      <c r="H12" s="2" t="inlineStr">
        <is>
          <t>Not a single numerical formula</t>
        </is>
      </c>
      <c r="I12" s="2" t="inlineStr">
        <is>
          <t>The share of revenue coming from the largest customers. Companies must disclose customers above 10% of revenue.</t>
        </is>
      </c>
      <c r="J12" s="2" t="inlineStr">
        <is>
          <t>High concentration gives big customers bargaining power and creates a cliff risk if one leaves.</t>
        </is>
      </c>
      <c r="K12" s="2" t="inlineStr">
        <is>
          <t>Concentration can rise quietly as a big customer grows faster than others.</t>
        </is>
      </c>
      <c r="L12" s="2" t="inlineStr">
        <is>
          <t>10-K segment / concentration note, Risk Factors.</t>
        </is>
      </c>
      <c r="M12" s="2" t="inlineStr">
        <is>
          <t>risk-factors, backlog-quality</t>
        </is>
      </c>
      <c r="N12" s="2" t="inlineStr"/>
    </row>
    <row r="13" ht="42" customHeight="1">
      <c r="A13" s="2" t="inlineStr">
        <is>
          <t>cyclicality</t>
        </is>
      </c>
      <c r="B13" s="2" t="inlineStr">
        <is>
          <t>Cyclicality</t>
        </is>
      </c>
      <c r="C13" s="2" t="inlineStr">
        <is>
          <t>מחזוריות</t>
        </is>
      </c>
      <c r="D13" s="2" t="inlineStr">
        <is>
          <t>business</t>
        </is>
      </c>
      <c r="E13" s="2" t="inlineStr">
        <is>
          <t>Discussed in steps 2</t>
        </is>
      </c>
      <c r="F13" s="2" t="inlineStr"/>
      <c r="G13" s="2" t="inlineStr"/>
      <c r="H13" s="2" t="inlineStr">
        <is>
          <t>Not a single numerical formula</t>
        </is>
      </c>
      <c r="I13" s="2" t="inlineStr">
        <is>
          <t>The tendency of revenue and profits to rise and fall with the economy or an industry cycle (commodities, autos, semiconductors, housing, airlines).</t>
        </is>
      </c>
      <c r="J13" s="2" t="inlineStr">
        <is>
          <t>For cyclicals, today’s earnings may be at a peak or trough — so valuation on current earnings can mislead.</t>
        </is>
      </c>
      <c r="K13" s="2" t="inlineStr">
        <is>
          <t>Cyclicals often look  cheapest (low P/E) at the peak  and most expensive at the bottom.</t>
        </is>
      </c>
      <c r="L13" s="2" t="inlineStr">
        <is>
          <t>Multi-year financial history.</t>
        </is>
      </c>
      <c r="M13" s="2" t="inlineStr">
        <is>
          <t>pe, risk-factors, normalized-earnings</t>
        </is>
      </c>
      <c r="N13" s="2" t="inlineStr"/>
    </row>
    <row r="14" ht="42" customHeight="1">
      <c r="A14" s="2" t="inlineStr">
        <is>
          <t>catalysts</t>
        </is>
      </c>
      <c r="B14" s="2" t="inlineStr">
        <is>
          <t>Catalysts</t>
        </is>
      </c>
      <c r="C14" s="2" t="inlineStr">
        <is>
          <t>זרזים להצפת ערך</t>
        </is>
      </c>
      <c r="D14" s="2" t="inlineStr">
        <is>
          <t>business</t>
        </is>
      </c>
      <c r="E14" s="2" t="inlineStr">
        <is>
          <t>No direct company-specific mapping; use handbook guidance and add your own evidence.</t>
        </is>
      </c>
      <c r="F14" s="2" t="inlineStr"/>
      <c r="G14" s="2" t="inlineStr"/>
      <c r="H14" s="2" t="inlineStr">
        <is>
          <t>Not a single numerical formula</t>
        </is>
      </c>
      <c r="I14" s="2" t="inlineStr">
        <is>
          <t>Specific, ideally dated, events that could change how the market sees the company: earnings, product launches, margin inflection, spin-offs, buybacks, regulatory decisions, index inclusion.</t>
        </is>
      </c>
      <c r="J14" s="2" t="inlineStr">
        <is>
          <t>Without a catalyst, an undervalued stock can stay undervalued for a long time. That delay alone is not a value trap; investigate whether lasting economic damage undermines the valuation.</t>
        </is>
      </c>
      <c r="K14" s="2" t="inlineStr">
        <is>
          <t>Catalysts that everyone already knows about are usually priced in.</t>
        </is>
      </c>
      <c r="L14" s="2" t="inlineStr">
        <is>
          <t>Earnings calls, company guidance, news.</t>
        </is>
      </c>
      <c r="M14" s="2" t="inlineStr">
        <is>
          <t>thesis-def, value-trap</t>
        </is>
      </c>
      <c r="N14" s="2" t="inlineStr"/>
    </row>
    <row r="15" ht="42" customHeight="1">
      <c r="A15" s="2" t="inlineStr">
        <is>
          <t>risk-factors</t>
        </is>
      </c>
      <c r="B15" s="2" t="inlineStr">
        <is>
          <t>Risk Factors</t>
        </is>
      </c>
      <c r="C15" s="2" t="inlineStr">
        <is>
          <t>גורמי סיכון</t>
        </is>
      </c>
      <c r="D15" s="2" t="inlineStr">
        <is>
          <t>business</t>
        </is>
      </c>
      <c r="E15" s="2" t="inlineStr">
        <is>
          <t>No direct company-specific mapping; use handbook guidance and add your own evidence.</t>
        </is>
      </c>
      <c r="F15" s="2" t="inlineStr"/>
      <c r="G15" s="2" t="inlineStr"/>
      <c r="H15" s="2" t="inlineStr">
        <is>
          <t>Not a single numerical formula</t>
        </is>
      </c>
      <c r="I15" s="2" t="inlineStr">
        <is>
          <t>The main things that could hurt the business or the stock:  competition, technology disruption, regulation, debt, customer concentration, margin compression, dilution, cyclicality, execution risk .</t>
        </is>
      </c>
      <c r="J15" s="2" t="inlineStr">
        <is>
          <t>The 10-K Risk Factors list is long and legalistic; your job is to pick the 3–5 that actually matter and how likely/severe they are.</t>
        </is>
      </c>
      <c r="K15" s="2" t="inlineStr">
        <is>
          <t>The risk that sinks a company is often not on the list — think about what could disrupt the model.</t>
        </is>
      </c>
      <c r="L15" s="2" t="inlineStr">
        <is>
          <t>10-K Item 1A “Risk Factors”.</t>
        </is>
      </c>
      <c r="M15" s="2" t="inlineStr">
        <is>
          <t>invalidation, customer-concentration, debt, cyclicality, thesis-def, circle-of-competence, required-return</t>
        </is>
      </c>
      <c r="N15" s="2" t="inlineStr"/>
    </row>
    <row r="16" ht="42" customHeight="1">
      <c r="A16" s="2" t="inlineStr">
        <is>
          <t>revenue</t>
        </is>
      </c>
      <c r="B16" s="2" t="inlineStr">
        <is>
          <t>Revenue</t>
        </is>
      </c>
      <c r="C16" s="2" t="inlineStr">
        <is>
          <t>הכנסות</t>
        </is>
      </c>
      <c r="D16" s="2" t="inlineStr">
        <is>
          <t>income</t>
        </is>
      </c>
      <c r="E16" s="2" t="inlineStr">
        <is>
          <t>13 calculated records; 11 reported records (includes unavailable rows)</t>
        </is>
      </c>
      <c r="F16" s="2" t="inlineStr">
        <is>
          <t>revenue-growth, revenue-cagr-5, revenue-cagr-9, ttm-revenue</t>
        </is>
      </c>
      <c r="G16" s="2" t="inlineStr">
        <is>
          <t>revenue</t>
        </is>
      </c>
      <c r="H16" s="2" t="inlineStr">
        <is>
          <t>Revenue Growth = (Current Revenue − Previous Revenue) / Previous Revenue</t>
        </is>
      </c>
      <c r="I16" s="2" t="inlineStr">
        <is>
          <t>The total amount a company earns from selling its products or services during a period,  before any expenses  are subtracted. The first line of the income statement — the “top line”.</t>
        </is>
      </c>
      <c r="J16" s="2" t="inlineStr">
        <is>
          <t>YoY (Year over Year)  compares a period with the same period a year earlier (Q2 2026 vs Q2 2025) — removes seasonality.  QoQ (Quarter over Quarter)  compares with the immediately preceding quarter (Q2 vs Q1) — shows momentum but is distorted by seasonality.</t>
        </is>
      </c>
      <c r="K16" s="2" t="inlineStr">
        <is>
          <t>Revenue ≠ Profit.  Growth can be inflated by acquisitions, currency moves, price-only increases, or one-off contracts. High growth with deep losses can destroy value.</t>
        </is>
      </c>
      <c r="L16" s="2" t="inlineStr">
        <is>
          <t>First line of the income statement.</t>
        </is>
      </c>
      <c r="M16" s="2" t="inlineStr">
        <is>
          <t>cogs, growth-drivers, tam, profitable-growth, backlog, revenue-recognition</t>
        </is>
      </c>
      <c r="N16" s="2" t="inlineStr"/>
    </row>
    <row r="17" ht="42" customHeight="1">
      <c r="A17" s="2" t="inlineStr">
        <is>
          <t>cogs</t>
        </is>
      </c>
      <c r="B17" s="2" t="inlineStr">
        <is>
          <t>Cost of Revenue</t>
        </is>
      </c>
      <c r="C17" s="2" t="inlineStr">
        <is>
          <t>עלות ההכנסות</t>
        </is>
      </c>
      <c r="D17" s="2" t="inlineStr">
        <is>
          <t>income</t>
        </is>
      </c>
      <c r="E17" s="2" t="inlineStr">
        <is>
          <t>11 reported records (includes unavailable rows)</t>
        </is>
      </c>
      <c r="F17" s="2" t="inlineStr"/>
      <c r="G17" s="2" t="inlineStr">
        <is>
          <t>cost_of_revenue</t>
        </is>
      </c>
      <c r="H17" s="2" t="inlineStr">
        <is>
          <t>Not a single numerical formula</t>
        </is>
      </c>
      <c r="I17" s="2" t="inlineStr">
        <is>
          <t>The  direct  costs associated with generating revenue — costs that rise and fall with each unit sold. “COGS” is used for physical goods; “Cost of Revenue” is the broader term that also covers services.</t>
        </is>
      </c>
      <c r="J17" s="2" t="inlineStr">
        <is>
          <t>Revenue − Cost of Revenue = Gross Profit. The lower COGS is relative to revenue, the more each sale contributes to everything else.</t>
        </is>
      </c>
      <c r="K17" s="2" t="inlineStr">
        <is>
          <t>Companies classify costs differently (e.g. shipping, support), which makes peer comparisons tricky.</t>
        </is>
      </c>
      <c r="L17" s="2" t="inlineStr">
        <is>
          <t>Line directly below Revenue.</t>
        </is>
      </c>
      <c r="M17" s="2" t="inlineStr">
        <is>
          <t>gross-profit, opex, revenue</t>
        </is>
      </c>
      <c r="N17" s="2" t="inlineStr"/>
    </row>
    <row r="18" ht="42" customHeight="1">
      <c r="A18" s="2" t="inlineStr">
        <is>
          <t>gross-profit</t>
        </is>
      </c>
      <c r="B18" s="2" t="inlineStr">
        <is>
          <t>Gross Profit</t>
        </is>
      </c>
      <c r="C18" s="2" t="inlineStr">
        <is>
          <t>רווח גולמי</t>
        </is>
      </c>
      <c r="D18" s="2" t="inlineStr">
        <is>
          <t>income</t>
        </is>
      </c>
      <c r="E18" s="2" t="inlineStr">
        <is>
          <t>11 reported records (includes unavailable rows)</t>
        </is>
      </c>
      <c r="F18" s="2" t="inlineStr"/>
      <c r="G18" s="2" t="inlineStr">
        <is>
          <t>gross_profit</t>
        </is>
      </c>
      <c r="H18" s="2" t="inlineStr">
        <is>
          <t>Gross Profit = Revenue − Cost of Revenue</t>
        </is>
      </c>
      <c r="I18" s="2" t="inlineStr">
        <is>
          <t>What remains from revenue after paying the direct costs of producing the product or service. It is the pool of money that must pay for R&amp;D, sales, administration, interest, taxes — and profit.</t>
        </is>
      </c>
      <c r="J18" s="2" t="inlineStr">
        <is>
          <t>Gross profit should grow at least as fast as revenue. If it grows slower, direct costs are rising faster than prices.</t>
        </is>
      </c>
      <c r="K18" s="2" t="inlineStr">
        <is>
          <t>A big gross profit does not mean the company is profitable — operating expenses can consume all of it.</t>
        </is>
      </c>
      <c r="L18" s="2" t="inlineStr">
        <is>
          <t>Often shown directly; otherwise Revenue − Cost of Revenue.</t>
        </is>
      </c>
      <c r="M18" s="2" t="inlineStr">
        <is>
          <t>gross-margin, cogs, operating-income</t>
        </is>
      </c>
      <c r="N18" s="2" t="inlineStr"/>
    </row>
    <row r="19" ht="42" customHeight="1">
      <c r="A19" s="2" t="inlineStr">
        <is>
          <t>opex</t>
        </is>
      </c>
      <c r="B19" s="2" t="inlineStr">
        <is>
          <t>Operating Expenses</t>
        </is>
      </c>
      <c r="C19" s="2" t="inlineStr">
        <is>
          <t>הוצאות תפעול</t>
        </is>
      </c>
      <c r="D19" s="2" t="inlineStr">
        <is>
          <t>income</t>
        </is>
      </c>
      <c r="E19" s="2" t="inlineStr">
        <is>
          <t>22 reported records (includes unavailable rows)</t>
        </is>
      </c>
      <c r="F19" s="2" t="inlineStr"/>
      <c r="G19" s="2" t="inlineStr">
        <is>
          <t>rd, sga</t>
        </is>
      </c>
      <c r="H19" s="2" t="inlineStr">
        <is>
          <t>Operating Income = Gross Profit − Operating Expenses</t>
        </is>
      </c>
      <c r="I19" s="2" t="inlineStr">
        <is>
          <t>Costs of running and growing the business that are  not directly tied to each unit sold :  R&amp;D  — Research &amp; Development: engineers, new products, technology.  S&amp;M  — Sales &amp; Marketing: salespeople, advertising, commissions, customer acquisition.  G&amp;A  — General &amp; Administrative: executives, finance, legal, HR, offices. (S&amp;M + G&amp;A are often reported together as  SG&amp;A .)</t>
        </is>
      </c>
      <c r="J19" s="2" t="inlineStr">
        <is>
          <t>Cost of Revenue vs OpEx:  Cost of Revenue scales with each unit sold (direct). OpEx is the cost of the organisation — it can grow slower than revenue, which creates operating leverage.</t>
        </is>
      </c>
      <c r="K19" s="2" t="inlineStr">
        <is>
          <t>DO NOT subtract Cost of Revenue twice.  Gross Profit already has Cost of Revenue removed. Some data sites show “Total operating expenses” that  includes  COGS — check before using it.</t>
        </is>
      </c>
      <c r="L19" s="2" t="inlineStr">
        <is>
          <t>Lines between Gross Profit and Operating Income.</t>
        </is>
      </c>
      <c r="M19" s="2" t="inlineStr">
        <is>
          <t>operating-income, operating-leverage, cogs</t>
        </is>
      </c>
      <c r="N19" s="2" t="inlineStr"/>
    </row>
    <row r="20" ht="42" customHeight="1">
      <c r="A20" s="2" t="inlineStr">
        <is>
          <t>operating-income</t>
        </is>
      </c>
      <c r="B20" s="2" t="inlineStr">
        <is>
          <t>Operating Income</t>
        </is>
      </c>
      <c r="C20" s="2" t="inlineStr">
        <is>
          <t>רווח תפעולי</t>
        </is>
      </c>
      <c r="D20" s="2" t="inlineStr">
        <is>
          <t>income</t>
        </is>
      </c>
      <c r="E20" s="2" t="inlineStr">
        <is>
          <t>11 reported records (includes unavailable rows)</t>
        </is>
      </c>
      <c r="F20" s="2" t="inlineStr"/>
      <c r="G20" s="2" t="inlineStr">
        <is>
          <t>operating_income</t>
        </is>
      </c>
      <c r="H20" s="2" t="inlineStr">
        <is>
          <t>Operating Income = Gross Profit − Operating Expenses</t>
        </is>
      </c>
      <c r="I20" s="2" t="inlineStr">
        <is>
          <t>Profit from the company’s core business after all operating costs,  before  interest and taxes. It measures how profitable the operations are, regardless of how the company is financed.</t>
        </is>
      </c>
      <c r="J20" s="2" t="inlineStr">
        <is>
          <t>Strictly,  EBIT  (Earnings Before Interest and Taxes) also includes non-operating income; in practice the two are often used interchangeably.</t>
        </is>
      </c>
      <c r="K20" s="2" t="inlineStr">
        <is>
          <t>One-off items (restructuring, impairments, legal settlements) can distort it. Check “adjusted” figures against GAAP.</t>
        </is>
      </c>
      <c r="L20" s="2" t="inlineStr">
        <is>
          <t>Labelled “Operating income” or “Income from operations”.</t>
        </is>
      </c>
      <c r="M20" s="2" t="inlineStr">
        <is>
          <t>operating-margin, nopat, ebitda, gross-profit, opex</t>
        </is>
      </c>
      <c r="N20" s="2" t="inlineStr"/>
    </row>
    <row r="21" ht="42" customHeight="1">
      <c r="A21" s="2" t="inlineStr">
        <is>
          <t>net-income</t>
        </is>
      </c>
      <c r="B21" s="2" t="inlineStr">
        <is>
          <t>Net Income</t>
        </is>
      </c>
      <c r="C21" s="2" t="inlineStr">
        <is>
          <t>רווח נקי</t>
        </is>
      </c>
      <c r="D21" s="2" t="inlineStr">
        <is>
          <t>income</t>
        </is>
      </c>
      <c r="E21" s="2" t="inlineStr">
        <is>
          <t>1 calculated records; 11 reported records (includes unavailable rows)</t>
        </is>
      </c>
      <c r="F21" s="2" t="inlineStr">
        <is>
          <t>ttm-net-income</t>
        </is>
      </c>
      <c r="G21" s="2" t="inlineStr">
        <is>
          <t>net_income</t>
        </is>
      </c>
      <c r="H21" s="2" t="inlineStr">
        <is>
          <t>Net Income = Operating Income − Interest ± Other Income/Expenses − Taxes</t>
        </is>
      </c>
      <c r="I21" s="2" t="inlineStr">
        <is>
          <t>What remains after  operating expenses ,  interest ,  taxes , and  other income/expenses . The “bottom line”, attributable to shareholders.</t>
        </is>
      </c>
      <c r="J21" s="2" t="inlineStr">
        <is>
          <t>Net income is  accounting profit , not cash. It includes non-cash items (depreciation, stock-based compensation) and timing differences (receivables).</t>
        </is>
      </c>
      <c r="K21" s="2" t="inlineStr">
        <is>
          <t>One-off gains (selling a business, investment gains, tax benefits) can inflate it.  Profit ≠ Cash Flow.</t>
        </is>
      </c>
      <c r="L21" s="2" t="inlineStr">
        <is>
          <t>Last main line of the income statement.</t>
        </is>
      </c>
      <c r="M21" s="2" t="inlineStr">
        <is>
          <t>net-margin, eps, profit-vs-cash, ocf</t>
        </is>
      </c>
      <c r="N21" s="2" t="inlineStr"/>
    </row>
    <row r="22" ht="42" customHeight="1">
      <c r="A22" s="2" t="inlineStr">
        <is>
          <t>gross-margin</t>
        </is>
      </c>
      <c r="B22" s="2" t="inlineStr">
        <is>
          <t>Gross Margin</t>
        </is>
      </c>
      <c r="C22" s="2" t="inlineStr">
        <is>
          <t>שיעור רווח גולמי</t>
        </is>
      </c>
      <c r="D22" s="2" t="inlineStr">
        <is>
          <t>margins</t>
        </is>
      </c>
      <c r="E22" s="2" t="inlineStr">
        <is>
          <t>10 calculated records; Discussed in steps 2</t>
        </is>
      </c>
      <c r="F22" s="2" t="inlineStr">
        <is>
          <t>gross-margin</t>
        </is>
      </c>
      <c r="G22" s="2" t="inlineStr"/>
      <c r="H22" s="2" t="inlineStr">
        <is>
          <t>Gross Margin = Gross Profit / Revenue</t>
        </is>
      </c>
      <c r="I22" s="2" t="inlineStr">
        <is>
          <t>Gross Margin shows how much of a company’s revenue remains after paying the direct costs required to produce its products or services.</t>
        </is>
      </c>
      <c r="J22" s="2" t="inlineStr">
        <is>
          <t>For every $100 in revenue, the company retains $60 after direct production/service costs. High gross margin often signals pricing power or a differentiated product.</t>
        </is>
      </c>
      <c r="K22" s="2" t="inlineStr">
        <is>
          <t>Different industries naturally have very different Gross Margins. A supermarket (~25%) and a software company (~75%) should not be compared directly.</t>
        </is>
      </c>
      <c r="L22" s="2" t="inlineStr">
        <is>
          <t>Calculated from the Income Statement.</t>
        </is>
      </c>
      <c r="M22" s="2" t="inlineStr">
        <is>
          <t>gross-profit, operating-margin, revenue-mix, ev-revenue, profitable-growth, backlog-quality</t>
        </is>
      </c>
      <c r="N22" s="2" t="inlineStr"/>
    </row>
    <row r="23" ht="42" customHeight="1">
      <c r="A23" s="2" t="inlineStr">
        <is>
          <t>operating-margin</t>
        </is>
      </c>
      <c r="B23" s="2" t="inlineStr">
        <is>
          <t>Operating Margin</t>
        </is>
      </c>
      <c r="C23" s="2" t="inlineStr">
        <is>
          <t>שיעור רווח תפעולי</t>
        </is>
      </c>
      <c r="D23" s="2" t="inlineStr">
        <is>
          <t>margins</t>
        </is>
      </c>
      <c r="E23" s="2" t="inlineStr">
        <is>
          <t>10 calculated records; Discussed in steps 2</t>
        </is>
      </c>
      <c r="F23" s="2" t="inlineStr">
        <is>
          <t>operating-margin</t>
        </is>
      </c>
      <c r="G23" s="2" t="inlineStr"/>
      <c r="H23" s="2" t="inlineStr">
        <is>
          <t>Operating Margin = Operating Income / Revenue</t>
        </is>
      </c>
      <c r="I23" s="2" t="inlineStr">
        <is>
          <t>The share of revenue left as operating profit after  all  operating costs — direct costs  and  R&amp;D, sales and administration.</t>
        </is>
      </c>
      <c r="J23" s="2" t="inlineStr">
        <is>
          <t>Gross vs Operating margin:  gross margin shows product economics; operating margin shows the economics of the whole company. A company can have  high gross margin but low or negative operating margin  if it invests heavily in R&amp;D, sales or infrastructure.</t>
        </is>
      </c>
      <c r="K23" s="2" t="inlineStr">
        <is>
          <t>Gross Margin ≠ Operating Margin.  One-off charges, capitalised costs, or excluding stock-based compensation (“adjusted”) can flatter it.</t>
        </is>
      </c>
      <c r="L23" s="2" t="inlineStr">
        <is>
          <t>Calculated from the Income Statement.</t>
        </is>
      </c>
      <c r="M23" s="2" t="inlineStr">
        <is>
          <t>operating-income, operating-leverage, gross-margin, net-margin, fcf-margin, ev-revenue, profitable-growth, operating-margin-trend</t>
        </is>
      </c>
      <c r="N23" s="2" t="inlineStr"/>
    </row>
    <row r="24" ht="42" customHeight="1">
      <c r="A24" s="2" t="inlineStr">
        <is>
          <t>operating-leverage</t>
        </is>
      </c>
      <c r="B24" s="2" t="inlineStr">
        <is>
          <t>Operating Leverage</t>
        </is>
      </c>
      <c r="C24" s="2" t="inlineStr">
        <is>
          <t>מינוף תפעולי</t>
        </is>
      </c>
      <c r="D24" s="2" t="inlineStr">
        <is>
          <t>margins</t>
        </is>
      </c>
      <c r="E24" s="2" t="inlineStr">
        <is>
          <t>No direct company-specific mapping; use handbook guidance and add your own evidence.</t>
        </is>
      </c>
      <c r="F24" s="2" t="inlineStr"/>
      <c r="G24" s="2" t="inlineStr"/>
      <c r="H24" s="2" t="inlineStr">
        <is>
          <t>Not a single numerical formula</t>
        </is>
      </c>
      <c r="I24" s="2" t="inlineStr">
        <is>
          <t>The effect of fixed costs: when a large part of costs is fixed, revenue growth produces  proportionally larger  growth in operating income — margins expand. It also works in reverse when revenue falls.</t>
        </is>
      </c>
      <c r="J24" s="2" t="inlineStr">
        <is>
          <t>Revenue grew 20% but operating income more than doubled. This is why investors tolerate low margins in scaling businesses. Negative operating leverage occurs when operating expenses grow faster than revenue and squeeze Operating Margin, other things equal. Check Gross Margin as well: revenue outgrowing operating expenses alone does not guarantee better margins.</t>
        </is>
      </c>
      <c r="K24" s="2" t="inlineStr">
        <is>
          <t>Expected operating leverage often fails to appear if the company keeps raising spending.</t>
        </is>
      </c>
      <c r="L24" s="2" t="inlineStr">
        <is>
          <t>Observed over several years of income statements.</t>
        </is>
      </c>
      <c r="M24" s="2" t="inlineStr">
        <is>
          <t>operating-margin, opex, operating-margin-trend, capex-efficiency</t>
        </is>
      </c>
      <c r="N24" s="2" t="inlineStr">
        <is>
          <t>Revenue ↑  Operating Expenses ↑ more slowly  Operating Margin ↑ (assuming stable Gross Margin)   Illustrative path with 60% Gross Margin; amounts in $m. Expenses keep rising while losses turn into profits.     Metric  Year 1  Year 2  Year 3    Revenue  100  150  200    COGS  40  60  80    Operating Expenses  70  80  90    Operating Income  −10  10  30    Operating Margin  −10%  6.7%  15%</t>
        </is>
      </c>
    </row>
    <row r="25" ht="42" customHeight="1">
      <c r="A25" s="2" t="inlineStr">
        <is>
          <t>net-margin</t>
        </is>
      </c>
      <c r="B25" s="2" t="inlineStr">
        <is>
          <t>Net Profit Margin</t>
        </is>
      </c>
      <c r="C25" s="2" t="inlineStr">
        <is>
          <t>שיעור רווח נקי</t>
        </is>
      </c>
      <c r="D25" s="2" t="inlineStr">
        <is>
          <t>margins</t>
        </is>
      </c>
      <c r="E25" s="2" t="inlineStr">
        <is>
          <t>10 calculated records</t>
        </is>
      </c>
      <c r="F25" s="2" t="inlineStr">
        <is>
          <t>net-margin</t>
        </is>
      </c>
      <c r="G25" s="2" t="inlineStr"/>
      <c r="H25" s="2" t="inlineStr">
        <is>
          <t>Net Margin = Net Income / Revenue</t>
        </is>
      </c>
      <c r="I25" s="2" t="inlineStr">
        <is>
          <t>The share of revenue that ends up as net income for shareholders.</t>
        </is>
      </c>
      <c r="J25" s="2" t="inlineStr">
        <is>
          <t>The company keeps $5 of net profit for every $100 of revenue.</t>
        </is>
      </c>
      <c r="K25" s="2" t="inlineStr">
        <is>
          <t>Affected by interest, taxes, one-off gains and losses — less “pure” than operating margin.</t>
        </is>
      </c>
      <c r="L25" s="2" t="inlineStr">
        <is>
          <t>Calculated from the Income Statement.</t>
        </is>
      </c>
      <c r="M25" s="2" t="inlineStr">
        <is>
          <t>net-income, operating-margin</t>
        </is>
      </c>
      <c r="N25" s="2" t="inlineStr"/>
    </row>
    <row r="26" ht="42" customHeight="1">
      <c r="A26" s="2" t="inlineStr">
        <is>
          <t>profit-vs-cash</t>
        </is>
      </c>
      <c r="B26" s="2" t="inlineStr">
        <is>
          <t>PROFIT ≠ CASH</t>
        </is>
      </c>
      <c r="C26" s="2" t="inlineStr">
        <is>
          <t>רווח אינו מזומן</t>
        </is>
      </c>
      <c r="D26" s="2" t="inlineStr">
        <is>
          <t>cashflow</t>
        </is>
      </c>
      <c r="E26" s="2" t="inlineStr">
        <is>
          <t>No direct company-specific mapping; use handbook guidance and add your own evidence.</t>
        </is>
      </c>
      <c r="F26" s="2" t="inlineStr"/>
      <c r="G26" s="2" t="inlineStr"/>
      <c r="H26" s="2" t="inlineStr">
        <is>
          <t>Not a single numerical formula</t>
        </is>
      </c>
      <c r="I26" s="2" t="inlineStr">
        <is>
          <t>Net income follows  accrual accounting : revenue is recorded when earned and costs when incurred — not when cash moves. So a  profitable company can have weak cash flow  (customers haven’t paid, inventory piling up, heavy CapEx), and a company can  temporarily generate cash despite weak earnings  (customers prepay, suppliers paid later, large non-cash charges).</t>
        </is>
      </c>
      <c r="J26" s="2" t="inlineStr">
        <is>
          <t>Over many years, good businesses convert most of their net income into free cash flow. Persistent gaps need an explanation.</t>
        </is>
      </c>
      <c r="K26" s="2" t="inlineStr">
        <is>
          <t>Net income consistently above operating cash flow can signal aggressive accounting (receivables growing faster than sales). FCF that ignores SBC overstates owner cash.</t>
        </is>
      </c>
      <c r="L26" s="2" t="inlineStr">
        <is>
          <t>Reconciliation at the top of the Cash Flow Statement.</t>
        </is>
      </c>
      <c r="M26" s="2" t="inlineStr">
        <is>
          <t>working-capital, ocf, fcf, net-income, receivables, payables, earnings-quality</t>
        </is>
      </c>
      <c r="N26" s="2" t="inlineStr">
        <is>
          <t>Item  Beginner explanation  Cash vs profit    
           Depreciation   An old equipment purchase is expensed gradually over its life. The expense reduces profit, but no cash leaves today (it left when the asset was bought).  Cash &gt; Profit  
           Accounts Receivable   You sold on credit: revenue and profit are booked, but the customer hasn’t paid yet.  Cash &lt; Profit  
           Accounts Payable   You received goods but haven’t paid the supplier yet — the cost is booked, cash is still in the bank.  Cash &gt; Profit  
           Working Capital   The cash tied up in day-to-day operations (inventory + receivables − payables). When it grows, it absorbs cash.  Either way  
           Stock-Based Compensation   Employees paid in shares: an expense with no cash out — but it dilutes shareholders. It is a real cost.  Cash &gt; Profit  
           CapEx   Buying equipment is cash out today, but only reaches the income statement slowly as depreciation.  Cash &lt; Profit</t>
        </is>
      </c>
    </row>
    <row r="27" ht="42" customHeight="1">
      <c r="A27" s="2" t="inlineStr">
        <is>
          <t>working-capital</t>
        </is>
      </c>
      <c r="B27" s="2" t="inlineStr">
        <is>
          <t>Working Capital</t>
        </is>
      </c>
      <c r="C27" s="2" t="inlineStr">
        <is>
          <t>הון חוזר</t>
        </is>
      </c>
      <c r="D27" s="2" t="inlineStr">
        <is>
          <t>cashflow</t>
        </is>
      </c>
      <c r="E27" s="2" t="inlineStr">
        <is>
          <t>No direct company-specific mapping; use handbook guidance and add your own evidence.</t>
        </is>
      </c>
      <c r="F27" s="2" t="inlineStr"/>
      <c r="G27" s="2" t="inlineStr"/>
      <c r="H27" s="2" t="inlineStr">
        <is>
          <t>Working Capital = Current Assets − Current Liabilities</t>
        </is>
      </c>
      <c r="I27" s="2" t="inlineStr">
        <is>
          <t>The money tied up in running the business day to day. Accounting definition: current assets − current liabilities. Operating version: receivables + inventory − payables.</t>
        </is>
      </c>
      <c r="J27" s="2" t="inlineStr">
        <is>
          <t>An  increase  in working capital uses cash (reduces operating cash flow); a decrease releases cash.</t>
        </is>
      </c>
      <c r="K27" s="2" t="inlineStr">
        <is>
          <t>One-time working-capital releases can make a single year’s cash flow look unusually strong.</t>
        </is>
      </c>
      <c r="L27" s="2" t="inlineStr">
        <is>
          <t>Balance Sheet (levels); Cash Flow Statement (changes).</t>
        </is>
      </c>
      <c r="M27" s="2" t="inlineStr">
        <is>
          <t>profit-vs-cash, current-ratio, receivables, inventory, payables, earnings-quality</t>
        </is>
      </c>
      <c r="N27" s="2" t="inlineStr"/>
    </row>
    <row r="28" ht="42" customHeight="1">
      <c r="A28" s="2" t="inlineStr">
        <is>
          <t>cfs</t>
        </is>
      </c>
      <c r="B28" s="2" t="inlineStr">
        <is>
          <t>Cash Flow Statement</t>
        </is>
      </c>
      <c r="C28" s="2" t="inlineStr">
        <is>
          <t>דוח תזרים מזומנים</t>
        </is>
      </c>
      <c r="D28" s="2" t="inlineStr">
        <is>
          <t>cashflow</t>
        </is>
      </c>
      <c r="E28" s="2" t="inlineStr">
        <is>
          <t>No direct company-specific mapping; use handbook guidance and add your own evidence.</t>
        </is>
      </c>
      <c r="F28" s="2" t="inlineStr"/>
      <c r="G28" s="2" t="inlineStr"/>
      <c r="H28" s="2" t="inlineStr">
        <is>
          <t>Not a single numerical formula</t>
        </is>
      </c>
      <c r="I28" s="2" t="inlineStr">
        <is>
          <t>Shows the actual cash coming in and going out, split into three sections:</t>
        </is>
      </c>
      <c r="J28" s="2" t="inlineStr">
        <is>
          <t>A healthy mature company: strongly positive OCF, negative investing (reinvesting), negative financing (returning cash / repaying debt).</t>
        </is>
      </c>
      <c r="K28" s="2" t="inlineStr">
        <is>
          <t>Positive financing cash flow every year means the company depends on outside money.</t>
        </is>
      </c>
      <c r="L28" s="2" t="inlineStr">
        <is>
          <t>Third main financial statement.</t>
        </is>
      </c>
      <c r="M28" s="2" t="inlineStr">
        <is>
          <t>ocf, capex, fcf</t>
        </is>
      </c>
      <c r="N28" s="2" t="inlineStr">
        <is>
          <t>Operating Cash Flow (OCF)  Cash from normal business operations.   Cash collected from customers  Paid to suppliers &amp; employees  Interest &amp; taxes paid   
          Investing Cash Flow  Spending on (or selling) long-term assets.   CapEx: factories, servers, equipment  Acquisitions  Buying/selling investments   
          Financing Cash Flow  Cash to/from owners and lenders.   Borrowing / repaying debt  Issuing shares  Buybacks  Dividends</t>
        </is>
      </c>
    </row>
    <row r="29" ht="42" customHeight="1">
      <c r="A29" s="2" t="inlineStr">
        <is>
          <t>ocf</t>
        </is>
      </c>
      <c r="B29" s="2" t="inlineStr">
        <is>
          <t>Operating Cash Flow</t>
        </is>
      </c>
      <c r="C29" s="2" t="inlineStr">
        <is>
          <t>תזרים מזומנים מפעילות שוטפת</t>
        </is>
      </c>
      <c r="D29" s="2" t="inlineStr">
        <is>
          <t>cashflow</t>
        </is>
      </c>
      <c r="E29" s="2" t="inlineStr">
        <is>
          <t>11 reported records (includes unavailable rows)</t>
        </is>
      </c>
      <c r="F29" s="2" t="inlineStr"/>
      <c r="G29" s="2" t="inlineStr">
        <is>
          <t>ocf</t>
        </is>
      </c>
      <c r="H29" s="2" t="inlineStr">
        <is>
          <t>OCF ≈ Net Income + Depreciation &amp; Amortization + SBC ± Change in Working Capital</t>
        </is>
      </c>
      <c r="I29" s="2" t="inlineStr">
        <is>
          <t>The cash a company generates from its normal operations during a period. It starts from net income, adds back non-cash expenses (depreciation, SBC), and adjusts for working-capital changes.</t>
        </is>
      </c>
      <c r="J29" s="2" t="inlineStr">
        <is>
          <t>Strong, growing OCF (above net income) suggests high-quality earnings and a business that funds itself.</t>
        </is>
      </c>
      <c r="K29" s="2" t="inlineStr">
        <is>
          <t>OCF can be boosted temporarily by delaying supplier payments or selling receivables. SBC is added back even though it dilutes owners.</t>
        </is>
      </c>
      <c r="L29" s="2" t="inlineStr">
        <is>
          <t>“Net cash provided by operating activities” in the Cash Flow Statement.</t>
        </is>
      </c>
      <c r="M29" s="2" t="inlineStr">
        <is>
          <t>fcf, net-income, profit-vs-cash, cfs, deferred-revenue</t>
        </is>
      </c>
      <c r="N29" s="2" t="inlineStr"/>
    </row>
    <row r="30" ht="42" customHeight="1">
      <c r="A30" s="2" t="inlineStr">
        <is>
          <t>capex</t>
        </is>
      </c>
      <c r="B30" s="2" t="inlineStr">
        <is>
          <t>CapEx</t>
        </is>
      </c>
      <c r="C30" s="2" t="inlineStr">
        <is>
          <t>השקעות הוניות</t>
        </is>
      </c>
      <c r="D30" s="2" t="inlineStr">
        <is>
          <t>cashflow</t>
        </is>
      </c>
      <c r="E30" s="2" t="inlineStr">
        <is>
          <t>11 reported records (includes unavailable rows)</t>
        </is>
      </c>
      <c r="F30" s="2" t="inlineStr"/>
      <c r="G30" s="2" t="inlineStr">
        <is>
          <t>capex</t>
        </is>
      </c>
      <c r="H30" s="2" t="inlineStr">
        <is>
          <t>Not a single numerical formula</t>
        </is>
      </c>
      <c r="I30" s="2" t="inlineStr">
        <is>
          <t>Cash spent buying or upgrading long-lived assets:  factories, servers, data centres, machinery, vehicles, infrastructure .  Maintenance CapEx  — needed just to keep the existing business running (replacing worn-out assets).  Growth CapEx  — spending to expand capacity and future revenue.</t>
        </is>
      </c>
      <c r="J30" s="2" t="inlineStr">
        <is>
          <t>Growth investment can reduce current FCF below a no-growth cash-generation estimate. Do not remove that spending while retaining the future growth it supports.</t>
        </is>
      </c>
      <c r="K30" s="2" t="inlineStr">
        <is>
          <t>High CapEx is not automatically bad  — the company may be investing in future growth. The maintenance/growth split is often an estimate. Depreciation allocates historical costs; inflation, technology changes, and deferred upkeep can make it a poor estimate of required maintenance.</t>
        </is>
      </c>
      <c r="L30" s="2" t="inlineStr">
        <is>
          <t>Investing section of the Cash Flow Statement (shown as a negative number).</t>
        </is>
      </c>
      <c r="M30" s="2" t="inlineStr">
        <is>
          <t>maintenance-capex, owner-earnings, fcf, roic, ebitda, cfs, ppe, capex-efficiency, profitable-growth, invested-capital</t>
        </is>
      </c>
      <c r="N30" s="2" t="inlineStr"/>
    </row>
    <row r="31" ht="42" customHeight="1">
      <c r="A31" s="2" t="inlineStr">
        <is>
          <t>fcf</t>
        </is>
      </c>
      <c r="B31" s="2" t="inlineStr">
        <is>
          <t>Free Cash Flow</t>
        </is>
      </c>
      <c r="C31" s="2" t="inlineStr">
        <is>
          <t>תזרים מזומנים חופשי</t>
        </is>
      </c>
      <c r="D31" s="2" t="inlineStr">
        <is>
          <t>cashflow</t>
        </is>
      </c>
      <c r="E31" s="2" t="inlineStr">
        <is>
          <t>11 calculated records</t>
        </is>
      </c>
      <c r="F31" s="2" t="inlineStr">
        <is>
          <t>fcf, ttm-fcf</t>
        </is>
      </c>
      <c r="G31" s="2" t="inlineStr"/>
      <c r="H31" s="2" t="inlineStr">
        <is>
          <t>FCF = Operating Cash Flow − CapEx</t>
        </is>
      </c>
      <c r="I31" s="2" t="inlineStr">
        <is>
          <t>The cash generated after paying for the investment needed to maintain and grow the business — the cash truly available to owners.</t>
        </is>
      </c>
      <c r="J31" s="2" t="inlineStr">
        <is>
          <t>Investors care because FCF is what a company can use to:  reinvest ,  pay debt ,  buy back shares ,  pay dividends ,  acquire companies , or  hold cash . A business is ultimately worth the FCF it will generate (see DCF).</t>
        </is>
      </c>
      <c r="K31" s="2" t="inlineStr">
        <is>
          <t>FCF ignores stock-based compensation (a real cost). Cutting CapEx raises FCF short term but may hurt growth. FCF must be understood in the context of growth investment.</t>
        </is>
      </c>
      <c r="L31" s="2" t="inlineStr">
        <is>
          <t>Calculated from the Cash Flow Statement.</t>
        </is>
      </c>
      <c r="M31" s="2" t="inlineStr">
        <is>
          <t>fcf-margin, fcf-yield, dcf-intro, profit-vs-cash, cfs, ocf, capex, ebitda, price-fcf, owner-earnings, interest-coverage, ev-revenue, profitable-growth, backlog-quality, capex-efficiency</t>
        </is>
      </c>
      <c r="N31" s="2" t="inlineStr"/>
    </row>
    <row r="32" ht="42" customHeight="1">
      <c r="A32" s="2" t="inlineStr">
        <is>
          <t>fcf-margin</t>
        </is>
      </c>
      <c r="B32" s="2" t="inlineStr">
        <is>
          <t>FCF Margin</t>
        </is>
      </c>
      <c r="C32" s="2" t="inlineStr">
        <is>
          <t>שיעור תזרים חופשי</t>
        </is>
      </c>
      <c r="D32" s="2" t="inlineStr">
        <is>
          <t>cashflow</t>
        </is>
      </c>
      <c r="E32" s="2" t="inlineStr">
        <is>
          <t>11 calculated records</t>
        </is>
      </c>
      <c r="F32" s="2" t="inlineStr">
        <is>
          <t>fcf-margin, ttm-fcf-margin</t>
        </is>
      </c>
      <c r="G32" s="2" t="inlineStr"/>
      <c r="H32" s="2" t="inlineStr">
        <is>
          <t>FCF Margin = FCF / Revenue</t>
        </is>
      </c>
      <c r="I32" s="2" t="inlineStr">
        <is>
          <t>Free cash flow as a percentage of revenue.</t>
        </is>
      </c>
      <c r="J32" s="2" t="inlineStr">
        <is>
          <t>For every $100 of sales, $12 becomes free cash. Compare with operating margin: much lower FCF margin → heavy CapEx or working capital; higher → strong cash conversion (e.g. customer prepayments).</t>
        </is>
      </c>
      <c r="K32" s="2" t="inlineStr">
        <is>
          <t>Lumpy CapEx or working capital can distort a single year — look at multi-year averages.</t>
        </is>
      </c>
      <c r="L32" s="2" t="inlineStr">
        <is>
          <t>Calculated: Cash Flow Statement + Income Statement.</t>
        </is>
      </c>
      <c r="M32" s="2" t="inlineStr">
        <is>
          <t>fcf, operating-margin, embedded-expectations</t>
        </is>
      </c>
      <c r="N32" s="2" t="inlineStr"/>
    </row>
    <row r="33" ht="42" customHeight="1">
      <c r="A33" s="2" t="inlineStr">
        <is>
          <t>assets</t>
        </is>
      </c>
      <c r="B33" s="2" t="inlineStr">
        <is>
          <t>Assets</t>
        </is>
      </c>
      <c r="C33" s="2" t="inlineStr">
        <is>
          <t>נכסים</t>
        </is>
      </c>
      <c r="D33" s="2" t="inlineStr">
        <is>
          <t>balance</t>
        </is>
      </c>
      <c r="E33" s="2" t="inlineStr">
        <is>
          <t>13 reported records (includes unavailable rows)</t>
        </is>
      </c>
      <c r="F33" s="2" t="inlineStr"/>
      <c r="G33" s="2" t="inlineStr">
        <is>
          <t>total_assets</t>
        </is>
      </c>
      <c r="H33" s="2" t="inlineStr">
        <is>
          <t>Assets = Liabilities + Shareholders’ Equity</t>
        </is>
      </c>
      <c r="I33" s="2" t="inlineStr">
        <is>
          <t>Everything the company owns or controls that is expected to bring future economic benefit. Split into  current  (turn into cash within ~1 year) and  long-term .</t>
        </is>
      </c>
      <c r="J33" s="2" t="inlineStr"/>
      <c r="K33" s="2" t="inlineStr">
        <is>
          <t>Assets are mostly recorded at historical cost, not current value. Goodwill can be large and later written down.</t>
        </is>
      </c>
      <c r="L33" s="2" t="inlineStr">
        <is>
          <t>Top half (or left side) of the Balance Sheet.</t>
        </is>
      </c>
      <c r="M33" s="2" t="inlineStr">
        <is>
          <t>current-assets, ppe, liabilities</t>
        </is>
      </c>
      <c r="N33" s="2" t="inlineStr">
        <is>
          <t>Current Assets   Cash, accounts receivable, inventory, short-term investments     Long-Term Assets   PP&amp;E, goodwill &amp; intangibles, long-term investments, lease assets</t>
        </is>
      </c>
    </row>
    <row r="34" ht="42" customHeight="1">
      <c r="A34" s="2" t="inlineStr">
        <is>
          <t>current-assets</t>
        </is>
      </c>
      <c r="B34" s="2" t="inlineStr">
        <is>
          <t>Current Assets</t>
        </is>
      </c>
      <c r="C34" s="2" t="inlineStr">
        <is>
          <t>נכסים שוטפים</t>
        </is>
      </c>
      <c r="D34" s="2" t="inlineStr">
        <is>
          <t>balance</t>
        </is>
      </c>
      <c r="E34" s="2" t="inlineStr">
        <is>
          <t>13 reported records (includes unavailable rows)</t>
        </is>
      </c>
      <c r="F34" s="2" t="inlineStr"/>
      <c r="G34" s="2" t="inlineStr">
        <is>
          <t>current_assets</t>
        </is>
      </c>
      <c r="H34" s="2" t="inlineStr">
        <is>
          <t>Not a single numerical formula</t>
        </is>
      </c>
      <c r="I34" s="2" t="inlineStr">
        <is>
          <t>Assets that will be converted to cash or used up within about one year: cash, receivables, inventory, prepaid expenses, short-term investments.</t>
        </is>
      </c>
      <c r="J34" s="2" t="inlineStr"/>
      <c r="K34" s="2" t="inlineStr">
        <is>
          <t>Not all current assets are equally liquid — obsolete inventory or doubtful receivables may never become cash.</t>
        </is>
      </c>
      <c r="L34" s="2" t="inlineStr">
        <is>
          <t>Balance Sheet, “Total current assets”.</t>
        </is>
      </c>
      <c r="M34" s="2" t="inlineStr">
        <is>
          <t>current-ratio, cash, receivables, inventory, assets, ncav</t>
        </is>
      </c>
      <c r="N34" s="2" t="inlineStr"/>
    </row>
    <row r="35" ht="42" customHeight="1">
      <c r="A35" s="2" t="inlineStr">
        <is>
          <t>cash</t>
        </is>
      </c>
      <c r="B35" s="2" t="inlineStr">
        <is>
          <t>Cash &amp; Cash Equivalents</t>
        </is>
      </c>
      <c r="C35" s="2" t="inlineStr">
        <is>
          <t>מזומן ושווי מזומן</t>
        </is>
      </c>
      <c r="D35" s="2" t="inlineStr">
        <is>
          <t>balance</t>
        </is>
      </c>
      <c r="E35" s="2" t="inlineStr">
        <is>
          <t>13 reported records (includes unavailable rows)</t>
        </is>
      </c>
      <c r="F35" s="2" t="inlineStr"/>
      <c r="G35" s="2" t="inlineStr">
        <is>
          <t>cash_sti</t>
        </is>
      </c>
      <c r="H35" s="2" t="inlineStr">
        <is>
          <t>Not a single numerical formula</t>
        </is>
      </c>
      <c r="I35" s="2" t="inlineStr">
        <is>
          <t>Money in the bank and very liquid, low-risk investments (Treasury bills, money-market funds). Many analysts add short-term investments too.</t>
        </is>
      </c>
      <c r="J35" s="2" t="inlineStr">
        <is>
          <t>Why it matters:  stability — cash lets a company survive downturns and invest when others can’t. Valuation — cash belongs to shareholders, so it is  subtracted  in Enterprise Value and  added  back in the DCF equity bridge.</t>
        </is>
      </c>
      <c r="K35" s="2" t="inlineStr">
        <is>
          <t>Some cash may be trapped abroad, restricted, or needed for operations (e.g. customer funds held by payment companies).</t>
        </is>
      </c>
      <c r="L35" s="2" t="inlineStr">
        <is>
          <t>First line of current assets.</t>
        </is>
      </c>
      <c r="M35" s="2" t="inlineStr">
        <is>
          <t>net-cash, enterprise-value, equity-value, current-assets, contracted-sales</t>
        </is>
      </c>
      <c r="N35" s="2" t="inlineStr"/>
    </row>
    <row r="36" ht="42" customHeight="1">
      <c r="A36" s="2" t="inlineStr">
        <is>
          <t>receivables</t>
        </is>
      </c>
      <c r="B36" s="2" t="inlineStr">
        <is>
          <t>Accounts Receivable</t>
        </is>
      </c>
      <c r="C36" s="2" t="inlineStr">
        <is>
          <t>יתרות לקוחות</t>
        </is>
      </c>
      <c r="D36" s="2" t="inlineStr">
        <is>
          <t>balance</t>
        </is>
      </c>
      <c r="E36" s="2" t="inlineStr">
        <is>
          <t>13 reported records (includes unavailable rows); Discussed in steps 1</t>
        </is>
      </c>
      <c r="F36" s="2" t="inlineStr"/>
      <c r="G36" s="2" t="inlineStr">
        <is>
          <t>receivables</t>
        </is>
      </c>
      <c r="H36" s="2" t="inlineStr">
        <is>
          <t>Not a single numerical formula</t>
        </is>
      </c>
      <c r="I36" s="2" t="inlineStr">
        <is>
          <t>Amounts customers owe for goods/services already delivered but not yet paid for.</t>
        </is>
      </c>
      <c r="J36" s="2" t="inlineStr">
        <is>
          <t>Receivables growing much faster than revenue may signal looser credit terms, collection problems, or aggressive revenue recognition.</t>
        </is>
      </c>
      <c r="K36" s="2" t="inlineStr">
        <is>
          <t>Rising receivables make profit look better than cash.</t>
        </is>
      </c>
      <c r="L36" s="2" t="inlineStr">
        <is>
          <t>Current assets.</t>
        </is>
      </c>
      <c r="M36" s="2" t="inlineStr">
        <is>
          <t>profit-vs-cash, working-capital, current-assets, revenue-recognition</t>
        </is>
      </c>
      <c r="N36" s="2" t="inlineStr"/>
    </row>
    <row r="37" ht="42" customHeight="1">
      <c r="A37" s="2" t="inlineStr">
        <is>
          <t>inventory</t>
        </is>
      </c>
      <c r="B37" s="2" t="inlineStr">
        <is>
          <t>Inventory</t>
        </is>
      </c>
      <c r="C37" s="2" t="inlineStr">
        <is>
          <t>מלאי</t>
        </is>
      </c>
      <c r="D37" s="2" t="inlineStr">
        <is>
          <t>balance</t>
        </is>
      </c>
      <c r="E37" s="2" t="inlineStr">
        <is>
          <t>13 reported records (includes unavailable rows)</t>
        </is>
      </c>
      <c r="F37" s="2" t="inlineStr"/>
      <c r="G37" s="2" t="inlineStr">
        <is>
          <t>inventory</t>
        </is>
      </c>
      <c r="H37" s="2" t="inlineStr">
        <is>
          <t>Not a single numerical formula</t>
        </is>
      </c>
      <c r="I37" s="2" t="inlineStr">
        <is>
          <t>Raw materials, work-in-progress and finished goods not yet sold.</t>
        </is>
      </c>
      <c r="J37" s="2" t="inlineStr">
        <is>
          <t>Inventory ties up cash. Rising faster than sales can foreshadow discounts and write-downs.</t>
        </is>
      </c>
      <c r="K37" s="2" t="inlineStr">
        <is>
          <t>Obsolete or fashion-sensitive inventory may be worth far less than its book value.</t>
        </is>
      </c>
      <c r="L37" s="2" t="inlineStr">
        <is>
          <t>Current assets.</t>
        </is>
      </c>
      <c r="M37" s="2" t="inlineStr">
        <is>
          <t>working-capital, current-ratio, current-assets</t>
        </is>
      </c>
      <c r="N37" s="2" t="inlineStr"/>
    </row>
    <row r="38" ht="42" customHeight="1">
      <c r="A38" s="2" t="inlineStr">
        <is>
          <t>ppe</t>
        </is>
      </c>
      <c r="B38" s="2" t="inlineStr">
        <is>
          <t>PP&amp;E</t>
        </is>
      </c>
      <c r="C38" s="2" t="inlineStr">
        <is>
          <t>רכוש קבוע</t>
        </is>
      </c>
      <c r="D38" s="2" t="inlineStr">
        <is>
          <t>balance</t>
        </is>
      </c>
      <c r="E38" s="2" t="inlineStr">
        <is>
          <t>13 reported records (includes unavailable rows)</t>
        </is>
      </c>
      <c r="F38" s="2" t="inlineStr"/>
      <c r="G38" s="2" t="inlineStr">
        <is>
          <t>ppe</t>
        </is>
      </c>
      <c r="H38" s="2" t="inlineStr">
        <is>
          <t>Not a single numerical formula</t>
        </is>
      </c>
      <c r="I38" s="2" t="inlineStr">
        <is>
          <t>Physical long-term assets used to operate the business, shown net of accumulated depreciation.</t>
        </is>
      </c>
      <c r="J38" s="2" t="inlineStr">
        <is>
          <t>CapEx increases PP&amp;E; depreciation reduces it. Capital-intensive businesses have large PP&amp;E relative to revenue.</t>
        </is>
      </c>
      <c r="K38" s="2" t="inlineStr">
        <is>
          <t>Recorded at historical cost less depreciation — may differ greatly from replacement or market value.</t>
        </is>
      </c>
      <c r="L38" s="2" t="inlineStr">
        <is>
          <t>Long-term assets.</t>
        </is>
      </c>
      <c r="M38" s="2" t="inlineStr">
        <is>
          <t>capex, invested-capital, assets</t>
        </is>
      </c>
      <c r="N38" s="2" t="inlineStr"/>
    </row>
    <row r="39" ht="42" customHeight="1">
      <c r="A39" s="2" t="inlineStr">
        <is>
          <t>liabilities</t>
        </is>
      </c>
      <c r="B39" s="2" t="inlineStr">
        <is>
          <t>Liabilities</t>
        </is>
      </c>
      <c r="C39" s="2" t="inlineStr">
        <is>
          <t>התחייבויות</t>
        </is>
      </c>
      <c r="D39" s="2" t="inlineStr">
        <is>
          <t>balance</t>
        </is>
      </c>
      <c r="E39" s="2" t="inlineStr">
        <is>
          <t>13 reported records (includes unavailable rows)</t>
        </is>
      </c>
      <c r="F39" s="2" t="inlineStr"/>
      <c r="G39" s="2" t="inlineStr">
        <is>
          <t>total_liabilities</t>
        </is>
      </c>
      <c r="H39" s="2" t="inlineStr">
        <is>
          <t>Not a single numerical formula</t>
        </is>
      </c>
      <c r="I39" s="2" t="inlineStr">
        <is>
          <t>Obligations the company owes: suppliers, lenders, employees, tax authorities, customers who prepaid. Split into  current  (due within ~1 year) and  long-term .</t>
        </is>
      </c>
      <c r="J39" s="2" t="inlineStr"/>
      <c r="K39" s="2" t="inlineStr">
        <is>
          <t>Not all liabilities are bad: deferred revenue is cash customers already paid.</t>
        </is>
      </c>
      <c r="L39" s="2" t="inlineStr">
        <is>
          <t>Bottom half of the Balance Sheet.</t>
        </is>
      </c>
      <c r="M39" s="2" t="inlineStr">
        <is>
          <t>current-liabilities, debt, equity, assets, ncav, deferred-revenue</t>
        </is>
      </c>
      <c r="N39" s="2" t="inlineStr">
        <is>
          <t>Current Liabilities   Accounts payable, short-term debt, accrued expenses, deferred revenue     Long-Term Liabilities   Long-term debt, lease liabilities, pensions, deferred taxes</t>
        </is>
      </c>
    </row>
    <row r="40" ht="42" customHeight="1">
      <c r="A40" s="2" t="inlineStr">
        <is>
          <t>current-liabilities</t>
        </is>
      </c>
      <c r="B40" s="2" t="inlineStr">
        <is>
          <t>Current Liabilities</t>
        </is>
      </c>
      <c r="C40" s="2" t="inlineStr">
        <is>
          <t>התחייבויות שוטפות</t>
        </is>
      </c>
      <c r="D40" s="2" t="inlineStr">
        <is>
          <t>balance</t>
        </is>
      </c>
      <c r="E40" s="2" t="inlineStr">
        <is>
          <t>13 reported records (includes unavailable rows)</t>
        </is>
      </c>
      <c r="F40" s="2" t="inlineStr"/>
      <c r="G40" s="2" t="inlineStr">
        <is>
          <t>current_liabilities</t>
        </is>
      </c>
      <c r="H40" s="2" t="inlineStr">
        <is>
          <t>Not a single numerical formula</t>
        </is>
      </c>
      <c r="I40" s="2" t="inlineStr">
        <is>
          <t>Obligations due within about a year: accounts payable, short-term debt and current portion of long-term debt, accrued expenses, deferred revenue.</t>
        </is>
      </c>
      <c r="J40" s="2" t="inlineStr"/>
      <c r="K40" s="2" t="inlineStr">
        <is>
          <t>Large debt maturities inside current liabilities can be a refinancing risk.</t>
        </is>
      </c>
      <c r="L40" s="2" t="inlineStr">
        <is>
          <t>Balance Sheet, “Total current liabilities”.</t>
        </is>
      </c>
      <c r="M40" s="2" t="inlineStr">
        <is>
          <t>current-ratio, payables, liabilities</t>
        </is>
      </c>
      <c r="N40" s="2" t="inlineStr"/>
    </row>
    <row r="41" ht="42" customHeight="1">
      <c r="A41" s="2" t="inlineStr">
        <is>
          <t>payables</t>
        </is>
      </c>
      <c r="B41" s="2" t="inlineStr">
        <is>
          <t>Accounts Payable</t>
        </is>
      </c>
      <c r="C41" s="2" t="inlineStr">
        <is>
          <t>יתרות ספקים</t>
        </is>
      </c>
      <c r="D41" s="2" t="inlineStr">
        <is>
          <t>balance</t>
        </is>
      </c>
      <c r="E41" s="2" t="inlineStr">
        <is>
          <t>13 reported records (includes unavailable rows)</t>
        </is>
      </c>
      <c r="F41" s="2" t="inlineStr"/>
      <c r="G41" s="2" t="inlineStr">
        <is>
          <t>payables</t>
        </is>
      </c>
      <c r="H41" s="2" t="inlineStr">
        <is>
          <t>Not a single numerical formula</t>
        </is>
      </c>
      <c r="I41" s="2" t="inlineStr">
        <is>
          <t>Bills from suppliers the company has received but not yet paid.</t>
        </is>
      </c>
      <c r="J41" s="2" t="inlineStr">
        <is>
          <t>Paying suppliers later keeps cash longer — a free source of financing for companies with bargaining power.</t>
        </is>
      </c>
      <c r="K41" s="2" t="inlineStr">
        <is>
          <t>Stretching payables can boost cash flow temporarily — it can’t continue forever.</t>
        </is>
      </c>
      <c r="L41" s="2" t="inlineStr">
        <is>
          <t>Current liabilities.</t>
        </is>
      </c>
      <c r="M41" s="2" t="inlineStr">
        <is>
          <t>working-capital, profit-vs-cash, current-liabilities</t>
        </is>
      </c>
      <c r="N41" s="2" t="inlineStr"/>
    </row>
    <row r="42" ht="42" customHeight="1">
      <c r="A42" s="2" t="inlineStr">
        <is>
          <t>debt</t>
        </is>
      </c>
      <c r="B42" s="2" t="inlineStr">
        <is>
          <t>Debt</t>
        </is>
      </c>
      <c r="C42" s="2" t="inlineStr">
        <is>
          <t>חוב פיננסי</t>
        </is>
      </c>
      <c r="D42" s="2" t="inlineStr">
        <is>
          <t>balance</t>
        </is>
      </c>
      <c r="E42" s="2" t="inlineStr">
        <is>
          <t>39 reported records (includes unavailable rows)</t>
        </is>
      </c>
      <c r="F42" s="2" t="inlineStr"/>
      <c r="G42" s="2" t="inlineStr">
        <is>
          <t>short_term_debt, long_term_debt, convertible_debt</t>
        </is>
      </c>
      <c r="H42" s="2" t="inlineStr">
        <is>
          <t>Not a single numerical formula</t>
        </is>
      </c>
      <c r="I42" s="2" t="inlineStr">
        <is>
          <t>Borrowed money (bank loans, bonds) that must be repaid with interest.  Short-Term Debt  — due within a year (including the current portion of long-term debt).  Long-Term Debt  — due after more than a year.</t>
        </is>
      </c>
      <c r="J42" s="2" t="inlineStr">
        <is>
          <t>Interest burden:  interest payments reduce profit and cash.  Maturity risk:  debt must be repaid or refinanced when due — dangerous if it comes due when credit markets are closed or the business is weak.</t>
        </is>
      </c>
      <c r="K42" s="2" t="inlineStr">
        <is>
          <t>Leases and other obligations behave like debt but may not be included in “debt” on data sites.</t>
        </is>
      </c>
      <c r="L42" s="2" t="inlineStr">
        <is>
          <t>Current and long-term liabilities; debt maturity note in the 10-K.</t>
        </is>
      </c>
      <c r="M42" s="2" t="inlineStr">
        <is>
          <t>net-debt, debt-ebitda, enterprise-value, risk-factors, liabilities, net-cash, invested-capital</t>
        </is>
      </c>
      <c r="N42" s="2" t="inlineStr"/>
    </row>
    <row r="43" ht="42" customHeight="1">
      <c r="A43" s="2" t="inlineStr">
        <is>
          <t>net-cash</t>
        </is>
      </c>
      <c r="B43" s="2" t="inlineStr">
        <is>
          <t>Net Cash</t>
        </is>
      </c>
      <c r="C43" s="2" t="inlineStr">
        <is>
          <t>מזומן נטו</t>
        </is>
      </c>
      <c r="D43" s="2" t="inlineStr">
        <is>
          <t>balance</t>
        </is>
      </c>
      <c r="E43" s="2" t="inlineStr">
        <is>
          <t>No direct company-specific mapping; use handbook guidance and add your own evidence.</t>
        </is>
      </c>
      <c r="F43" s="2" t="inlineStr"/>
      <c r="G43" s="2" t="inlineStr"/>
      <c r="H43" s="2" t="inlineStr">
        <is>
          <t>Net Cash = Cash − Debt</t>
        </is>
      </c>
      <c r="I43" s="2" t="inlineStr">
        <is>
          <t>Cash minus total debt. If positive, the company has more cash than debt.</t>
        </is>
      </c>
      <c r="J43" s="2" t="inlineStr">
        <is>
          <t>Positive net cash means the company could repay all its debt today and still have cash left — financial flexibility for downturns, buybacks or acquisitions. Cash &gt; Debt means Net Cash. EV = Market Cap − Net Cash: $20B equity with $3B Net Cash implies $17B EV.</t>
        </is>
      </c>
      <c r="K43" s="2" t="inlineStr">
        <is>
          <t>Some cash may be needed to run the business or be trapped abroad.</t>
        </is>
      </c>
      <c r="L43" s="2" t="inlineStr">
        <is>
          <t>Calculated from the Balance Sheet.</t>
        </is>
      </c>
      <c r="M43" s="2" t="inlineStr">
        <is>
          <t>net-debt, cash, debt</t>
        </is>
      </c>
      <c r="N43" s="2" t="inlineStr"/>
    </row>
    <row r="44" ht="42" customHeight="1">
      <c r="A44" s="2" t="inlineStr">
        <is>
          <t>net-debt</t>
        </is>
      </c>
      <c r="B44" s="2" t="inlineStr">
        <is>
          <t>Net Debt</t>
        </is>
      </c>
      <c r="C44" s="2" t="inlineStr">
        <is>
          <t>חוב נטו</t>
        </is>
      </c>
      <c r="D44" s="2" t="inlineStr">
        <is>
          <t>balance</t>
        </is>
      </c>
      <c r="E44" s="2" t="inlineStr">
        <is>
          <t>10 calculated records</t>
        </is>
      </c>
      <c r="F44" s="2" t="inlineStr">
        <is>
          <t>net-debt</t>
        </is>
      </c>
      <c r="G44" s="2" t="inlineStr"/>
      <c r="H44" s="2" t="inlineStr">
        <is>
          <t>Net Debt = Debt − Cash</t>
        </is>
      </c>
      <c r="I44" s="2" t="inlineStr">
        <is>
          <t>Total debt minus cash. Used when debt exceeds cash.</t>
        </is>
      </c>
      <c r="J44" s="2" t="inlineStr">
        <is>
          <t>Analysts care more about net debt than gross debt because cash could be used to repay debt. Two companies each with $10B of debt are very different if one has $9B of cash. Debt &gt; Cash means Net Debt. EV = Market Cap + Net Debt: $20B equity with $8B Net Debt implies $28B EV.</t>
        </is>
      </c>
      <c r="K44" s="2" t="inlineStr">
        <is>
          <t>Assumes all cash is available to repay debt, which may not be true.</t>
        </is>
      </c>
      <c r="L44" s="2" t="inlineStr">
        <is>
          <t>Calculated from the Balance Sheet.</t>
        </is>
      </c>
      <c r="M44" s="2" t="inlineStr">
        <is>
          <t>net-cash, debt-ebitda, enterprise-value, debt, refinancing-risk</t>
        </is>
      </c>
      <c r="N44" s="2" t="inlineStr"/>
    </row>
    <row r="45" ht="42" customHeight="1">
      <c r="A45" s="2" t="inlineStr">
        <is>
          <t>current-ratio</t>
        </is>
      </c>
      <c r="B45" s="2" t="inlineStr">
        <is>
          <t>Current Ratio</t>
        </is>
      </c>
      <c r="C45" s="2" t="inlineStr">
        <is>
          <t>יחס שוטף</t>
        </is>
      </c>
      <c r="D45" s="2" t="inlineStr">
        <is>
          <t>balance</t>
        </is>
      </c>
      <c r="E45" s="2" t="inlineStr">
        <is>
          <t>10 calculated records</t>
        </is>
      </c>
      <c r="F45" s="2" t="inlineStr">
        <is>
          <t>current-ratio</t>
        </is>
      </c>
      <c r="G45" s="2" t="inlineStr"/>
      <c r="H45" s="2" t="inlineStr">
        <is>
          <t>Current Ratio = Current Assets / Current Liabilities</t>
        </is>
      </c>
      <c r="I45" s="2" t="inlineStr">
        <is>
          <t>Measures whether short-term assets cover short-term obligations.</t>
        </is>
      </c>
      <c r="J45" s="2" t="inlineStr">
        <is>
          <t>2.0 means $2 of current assets for every $1 of current liabilities.</t>
        </is>
      </c>
      <c r="K45" s="2" t="inlineStr">
        <is>
          <t>Limitations:  inventory may not be sellable; receivables may not be collected; subscription companies often run below 1.0 safely because of deferred revenue; it says nothing about long-term debt.</t>
        </is>
      </c>
      <c r="L45" s="2" t="inlineStr">
        <is>
          <t>Calculated from the Balance Sheet.</t>
        </is>
      </c>
      <c r="M45" s="2" t="inlineStr">
        <is>
          <t>current-assets, current-liabilities, working-capital, inventory</t>
        </is>
      </c>
      <c r="N45" s="2" t="inlineStr"/>
    </row>
    <row r="46" ht="42" customHeight="1">
      <c r="A46" s="2" t="inlineStr">
        <is>
          <t>equity</t>
        </is>
      </c>
      <c r="B46" s="2" t="inlineStr">
        <is>
          <t>Shareholders’ Equity</t>
        </is>
      </c>
      <c r="C46" s="2" t="inlineStr">
        <is>
          <t>הון עצמי</t>
        </is>
      </c>
      <c r="D46" s="2" t="inlineStr">
        <is>
          <t>balance</t>
        </is>
      </c>
      <c r="E46" s="2" t="inlineStr">
        <is>
          <t>13 reported records (includes unavailable rows)</t>
        </is>
      </c>
      <c r="F46" s="2" t="inlineStr"/>
      <c r="G46" s="2" t="inlineStr">
        <is>
          <t>equity</t>
        </is>
      </c>
      <c r="H46" s="2" t="inlineStr">
        <is>
          <t>Shareholders’ Equity = Assets − Liabilities</t>
        </is>
      </c>
      <c r="I46" s="2" t="inlineStr">
        <is>
          <t>What would be left for shareholders if all assets were sold at book value and all liabilities paid.</t>
        </is>
      </c>
      <c r="J46" s="2" t="inlineStr">
        <is>
          <t>Grows with retained profits and share issuance; shrinks with losses, dividends and buybacks.</t>
        </is>
      </c>
      <c r="K46" s="2" t="inlineStr">
        <is>
          <t>Large buybacks can make equity small or even negative in excellent businesses.</t>
        </is>
      </c>
      <c r="L46" s="2" t="inlineStr">
        <is>
          <t>Bottom of the Balance Sheet.</t>
        </is>
      </c>
      <c r="M46" s="2" t="inlineStr">
        <is>
          <t>book-value, invested-capital, liabilities</t>
        </is>
      </c>
      <c r="N46" s="2" t="inlineStr"/>
    </row>
    <row r="47" ht="42" customHeight="1">
      <c r="A47" s="2" t="inlineStr">
        <is>
          <t>book-value</t>
        </is>
      </c>
      <c r="B47" s="2" t="inlineStr">
        <is>
          <t>Book Value</t>
        </is>
      </c>
      <c r="C47" s="2" t="inlineStr">
        <is>
          <t>ערך בספרים</t>
        </is>
      </c>
      <c r="D47" s="2" t="inlineStr">
        <is>
          <t>balance</t>
        </is>
      </c>
      <c r="E47" s="2" t="inlineStr">
        <is>
          <t>13 reported records (includes unavailable rows)</t>
        </is>
      </c>
      <c r="F47" s="2" t="inlineStr"/>
      <c r="G47" s="2" t="inlineStr">
        <is>
          <t>equity</t>
        </is>
      </c>
      <c r="H47" s="2" t="inlineStr">
        <is>
          <t>Book Value = Assets − Liabilities
Price / Book = Market Cap / Book Value</t>
        </is>
      </c>
      <c r="I47" s="2" t="inlineStr">
        <is>
          <t>The accounting value of shareholders’ equity on the balance sheet. Per share: Equity / Shares.</t>
        </is>
      </c>
      <c r="J47" s="2" t="inlineStr">
        <is>
          <t>Book Value ≠ Market Value.  Book value reflects historical accounting; market value reflects expectations about future cash flows. Asset-light businesses (software, brands) trade far above book.</t>
        </is>
      </c>
      <c r="K47" s="2" t="inlineStr">
        <is>
          <t>Most useful for banks and asset-heavy firms; nearly meaningless for many tech companies.</t>
        </is>
      </c>
      <c r="L47" s="2" t="inlineStr">
        <is>
          <t>Balance Sheet.</t>
        </is>
      </c>
      <c r="M47" s="2" t="inlineStr">
        <is>
          <t>equity, market-cap, tangible-book-value</t>
        </is>
      </c>
      <c r="N47" s="2" t="inlineStr"/>
    </row>
    <row r="48" ht="42" customHeight="1">
      <c r="A48" s="2" t="inlineStr">
        <is>
          <t>ebitda</t>
        </is>
      </c>
      <c r="B48" s="2" t="inlineStr">
        <is>
          <t>EBITDA</t>
        </is>
      </c>
      <c r="C48" s="2" t="inlineStr">
        <is>
          <t>רווח לפני ריבית, מסים, פחת והפחתות</t>
        </is>
      </c>
      <c r="D48" s="2" t="inlineStr">
        <is>
          <t>balance</t>
        </is>
      </c>
      <c r="E48" s="2" t="inlineStr">
        <is>
          <t>11 calculated records</t>
        </is>
      </c>
      <c r="F48" s="2" t="inlineStr">
        <is>
          <t>ebitda, ttm-ebitda</t>
        </is>
      </c>
      <c r="G48" s="2" t="inlineStr"/>
      <c r="H48" s="2" t="inlineStr">
        <is>
          <t>EBITDA ≈ Operating Income + Depreciation &amp; Amortization</t>
        </is>
      </c>
      <c r="I48" s="2" t="inlineStr">
        <is>
          <t>Operating profit before deducting depreciation and amortization (and before interest and taxes).</t>
        </is>
      </c>
      <c r="J48" s="2" t="inlineStr">
        <is>
          <t>Analysts  use it to compare businesses with different debt, tax and depreciation policies.  Lenders  use it to size debt and set covenants (Debt/EBITDA). It is useful for comparing businesses because it is capital-structure neutral.</t>
        </is>
      </c>
      <c r="K48" s="2" t="inlineStr">
        <is>
          <t>EBITDA ≠ CASH FLOW.  It ignores CapEx, working capital, interest and taxes. It can make  capital-intensive businesses look much better  than they are — depreciation reflects equipment that must be replaced.</t>
        </is>
      </c>
      <c r="L48" s="2" t="inlineStr">
        <is>
          <t>Calculated (sometimes reported as “Adjusted EBITDA” — check what’s excluded).</t>
        </is>
      </c>
      <c r="M48" s="2" t="inlineStr">
        <is>
          <t>debt-ebitda, ev-ebitda, fcf, operating-income, capex</t>
        </is>
      </c>
      <c r="N48" s="2" t="inlineStr"/>
    </row>
    <row r="49" ht="42" customHeight="1">
      <c r="A49" s="2" t="inlineStr">
        <is>
          <t>debt-ebitda</t>
        </is>
      </c>
      <c r="B49" s="2" t="inlineStr">
        <is>
          <t>Debt / EBITDA</t>
        </is>
      </c>
      <c r="C49" s="2" t="inlineStr">
        <is>
          <t>יחס חוב ל־EBITDA</t>
        </is>
      </c>
      <c r="D49" s="2" t="inlineStr">
        <is>
          <t>balance</t>
        </is>
      </c>
      <c r="E49" s="2" t="inlineStr">
        <is>
          <t>10 calculated records; Discussed in steps 1</t>
        </is>
      </c>
      <c r="F49" s="2" t="inlineStr">
        <is>
          <t>debt-ebitda</t>
        </is>
      </c>
      <c r="G49" s="2" t="inlineStr"/>
      <c r="H49" s="2" t="inlineStr">
        <is>
          <t>Debt / EBITDA = Total Debt / EBITDA</t>
        </is>
      </c>
      <c r="I49" s="2" t="inlineStr">
        <is>
          <t>A rough measure of leverage: how many years of EBITDA it would take to repay all debt.</t>
        </is>
      </c>
      <c r="J49" s="2" t="inlineStr">
        <is>
          <t>Conceptually:  1x  — debt equals one year of EBITDA, light.  2x  — two years.  5x  — five years of all EBITDA, heavy for most businesses. There are  no universal thresholds : stable utilities carry more debt safely than cyclical or fast-changing businesses.</t>
        </is>
      </c>
      <c r="K49" s="2" t="inlineStr">
        <is>
          <t>EBITDA ignores CapEx and can collapse in a downturn, so leverage can rise suddenly.</t>
        </is>
      </c>
      <c r="L49" s="2" t="inlineStr">
        <is>
          <t>Calculated from Balance Sheet + Income Statement.</t>
        </is>
      </c>
      <c r="M49" s="2" t="inlineStr">
        <is>
          <t>debt, ebitda, net-debt, interest-coverage</t>
        </is>
      </c>
      <c r="N49" s="2" t="inlineStr"/>
    </row>
    <row r="50" ht="42" customHeight="1">
      <c r="A50" s="2" t="inlineStr">
        <is>
          <t>nopat</t>
        </is>
      </c>
      <c r="B50" s="2" t="inlineStr">
        <is>
          <t>NOPAT</t>
        </is>
      </c>
      <c r="C50" s="2" t="inlineStr">
        <is>
          <t>רווח תפעולי לאחר מס</t>
        </is>
      </c>
      <c r="D50" s="2" t="inlineStr">
        <is>
          <t>efficiency</t>
        </is>
      </c>
      <c r="E50" s="2" t="inlineStr">
        <is>
          <t>16 calculated records; Discussed in steps 2</t>
        </is>
      </c>
      <c r="F50" s="2" t="inlineStr">
        <is>
          <t>nopat, reported-tax-rate-annual, normalized-tax-rate-annual, normalized-nopat-annual, reported-tax-rate-ttm, normalized-tax-rate-ttm, normalized-nopat-ttm</t>
        </is>
      </c>
      <c r="G50" s="2" t="inlineStr"/>
      <c r="H50" s="2" t="inlineStr">
        <is>
          <t>NOPAT = Operating Income × (1 − Tax Rate)</t>
        </is>
      </c>
      <c r="I50" s="2" t="inlineStr">
        <is>
          <t>Operating profit after tax, calculated as if the company had no debt. It isolates the profit produced by the  operations .</t>
        </is>
      </c>
      <c r="J50" s="2" t="inlineStr">
        <is>
          <t>Why NOPAT instead of Net Income for ROIC?  Net income is after interest, so it depends on how much debt the company has. ROIC measures return to  all  capital (debt + equity), so the numerator must be before interest — NOPAT.</t>
        </is>
      </c>
      <c r="K50" s="2" t="inlineStr">
        <is>
          <t>Use a realistic (effective/cash) tax rate; one-off items in operating income distort it.</t>
        </is>
      </c>
      <c r="L50" s="2" t="inlineStr">
        <is>
          <t>Calculated from the Income Statement.</t>
        </is>
      </c>
      <c r="M50" s="2" t="inlineStr">
        <is>
          <t>roic, operating-income, invested-capital, fcff</t>
        </is>
      </c>
      <c r="N50" s="2" t="inlineStr"/>
    </row>
    <row r="51" ht="42" customHeight="1">
      <c r="A51" s="2" t="inlineStr">
        <is>
          <t>invested-capital</t>
        </is>
      </c>
      <c r="B51" s="2" t="inlineStr">
        <is>
          <t>Invested Capital</t>
        </is>
      </c>
      <c r="C51" s="2" t="inlineStr">
        <is>
          <t>הון מושקע</t>
        </is>
      </c>
      <c r="D51" s="2" t="inlineStr">
        <is>
          <t>efficiency</t>
        </is>
      </c>
      <c r="E51" s="2" t="inlineStr">
        <is>
          <t>10 calculated records</t>
        </is>
      </c>
      <c r="F51" s="2" t="inlineStr">
        <is>
          <t>invested-capital</t>
        </is>
      </c>
      <c r="G51" s="2" t="inlineStr"/>
      <c r="H51" s="2" t="inlineStr">
        <is>
          <t>Simple version:  Invested Capital = Shareholders’ Equity + Debt − Cash</t>
        </is>
      </c>
      <c r="I51" s="2" t="inlineStr">
        <is>
          <t>The amount of capital invested in the operating business — the money shareholders and lenders have put in to buy the factories, equipment, inventory and acquisitions the business runs on.</t>
        </is>
      </c>
      <c r="J51" s="2" t="inlineStr">
        <is>
          <t>There are several detailed ways analysts calculate it — e.g. the operating approach: Net PP&amp;E + Net Working Capital (+ Goodwill &amp; Intangibles). Different methods give different ROICs; be consistent.</t>
        </is>
      </c>
      <c r="K51" s="2" t="inlineStr">
        <is>
          <t>Goodwill from acquisitions, buybacks (reduce equity), and negative working capital can make it tiny or distorted.</t>
        </is>
      </c>
      <c r="L51" s="2" t="inlineStr">
        <is>
          <t>Calculated from the Balance Sheet.</t>
        </is>
      </c>
      <c r="M51" s="2" t="inlineStr">
        <is>
          <t>roic, equity, debt, ppe, nopat, profitable-growth, capex</t>
        </is>
      </c>
      <c r="N51" s="2" t="inlineStr"/>
    </row>
    <row r="52" ht="42" customHeight="1">
      <c r="A52" s="2" t="inlineStr">
        <is>
          <t>roic</t>
        </is>
      </c>
      <c r="B52" s="2" t="inlineStr">
        <is>
          <t>ROIC</t>
        </is>
      </c>
      <c r="C52" s="2" t="inlineStr">
        <is>
          <t>תשואה על ההון המושקע</t>
        </is>
      </c>
      <c r="D52" s="2" t="inlineStr">
        <is>
          <t>efficiency</t>
        </is>
      </c>
      <c r="E52" s="2" t="inlineStr">
        <is>
          <t>13 calculated records; Discussed in steps 0, 2</t>
        </is>
      </c>
      <c r="F52" s="2" t="inlineStr">
        <is>
          <t>roic, roic-years-above-wacc, normalized-roic-annual, normalized-roic-ttm</t>
        </is>
      </c>
      <c r="G52" s="2" t="inlineStr"/>
      <c r="H52" s="2" t="inlineStr">
        <is>
          <t>ROIC = NOPAT / Invested Capital</t>
        </is>
      </c>
      <c r="I52" s="2" t="inlineStr">
        <is>
          <t>Measures how efficiently the business converts invested capital into after-tax operating profit.</t>
        </is>
      </c>
      <c r="J52" s="2" t="inlineStr">
        <is>
          <t>The business generates approximately  $0.20  of after-tax operating profit for every  $1  of invested capital.  Consistently  high ROIC (e.g. 15%+ for many years) is strong evidence of a moat and a high-quality business — competitors would normally compete those returns away.</t>
        </is>
      </c>
      <c r="K52" s="2" t="inlineStr">
        <is>
          <t>Accounting differences, acquisitions (goodwill), unusual capital structure, and one-time items can all distort ROIC. One great year proves nothing.</t>
        </is>
      </c>
      <c r="L52" s="2" t="inlineStr">
        <is>
          <t>Calculated from Income Statement + Balance Sheet.</t>
        </is>
      </c>
      <c r="M52" s="2" t="inlineStr">
        <is>
          <t>nopat, invested-capital, wacc, moat, capex, incremental-roic, ev-revenue, profitable-growth, capex-efficiency, embedded-expectations</t>
        </is>
      </c>
      <c r="N52" s="2" t="inlineStr">
        <is>
          <t>ROIC vs WACC    ROIC &gt; WACC  — generally creates economic value.   ROIC &lt; WACC  — may destroy economic value.   ROIC ≈ WACC  — approximately earns its Cost of Capital.   ROIC − WACC Spread  Value Creation Spread = ROIC − WACC  ROIC 18% − WACC 9% = +9 percentage points. A positive spread is generally desirable.  Check sustainable, forward-looking incremental returns. Historical average ROIC can hide weak new projects.</t>
        </is>
      </c>
    </row>
    <row r="53" ht="42" customHeight="1">
      <c r="A53" s="2" t="inlineStr">
        <is>
          <t>wacc</t>
        </is>
      </c>
      <c r="B53" s="2" t="inlineStr">
        <is>
          <t>WACC</t>
        </is>
      </c>
      <c r="C53" s="2" t="inlineStr">
        <is>
          <t>עלות הון ממוצעת משוקללת</t>
        </is>
      </c>
      <c r="D53" s="2" t="inlineStr">
        <is>
          <t>efficiency</t>
        </is>
      </c>
      <c r="E53" s="2" t="inlineStr">
        <is>
          <t>Discussed in steps 2, 4; Model assumption: WACC 9.00%</t>
        </is>
      </c>
      <c r="F53" s="2" t="inlineStr"/>
      <c r="G53" s="2" t="inlineStr"/>
      <c r="H53" s="2" t="inlineStr">
        <is>
          <t>WACC = (Equity Weight × Cost of Equity) + (Debt Weight × Cost of Debt × (1 − Tax Rate))</t>
        </is>
      </c>
      <c r="I53" s="2" t="inlineStr">
        <is>
          <t>WACC is the blended required return of the providers financing a business: primarily equity investors and debt investors. It is the typical Discount Rate for FCFF.</t>
        </is>
      </c>
      <c r="J53" s="2" t="inlineStr">
        <is>
          <t>Use market-value equity and debt weights that sum to 100%. Interest may reduce taxable income, so the debt cost is adjusted for the usable tax benefit. The adjustment assumes interest deductions can be used.</t>
        </is>
      </c>
      <c r="K53" s="2" t="inlineStr">
        <is>
          <t>WACC is an estimate, not a universal fixed hurdle. Deduction limits or tax losses can reduce the usable tax benefit. Use cost of equity for FCFE. Growth creates value only when incremental returns exceed the appropriate cost of capital.</t>
        </is>
      </c>
      <c r="L53" s="2" t="inlineStr">
        <is>
          <t>Estimated by you (not reported).</t>
        </is>
      </c>
      <c r="M53" s="2" t="inlineStr">
        <is>
          <t>roic, cost-of-equity, discount-rate, incremental-roic, profitable-growth, required-return, opportunity-cost, present-value, dcf-intro, fcff</t>
        </is>
      </c>
      <c r="N53" s="2" t="inlineStr">
        <is>
          <t>Future FCFF  Discount using WACC  Present Value of FCFF  Enterprise Value (including discounted Terminal Value)   For positive future cash flows, all else equal: Higher WACC → Lower Enterprise Value; Lower WACC → Higher Enterprise Value.    $100 in 10 years  PV    7%  $50.83    12%  $32.20    The cash flow is unchanged; only the required return changed.  Explore DCF sensitivity</t>
        </is>
      </c>
    </row>
    <row r="54" ht="42" customHeight="1">
      <c r="A54" s="2" t="inlineStr">
        <is>
          <t>cost-of-equity</t>
        </is>
      </c>
      <c r="B54" s="2" t="inlineStr">
        <is>
          <t>Cost of Equity</t>
        </is>
      </c>
      <c r="C54" s="2" t="inlineStr">
        <is>
          <t>עלות ההון העצמי</t>
        </is>
      </c>
      <c r="D54" s="2" t="inlineStr">
        <is>
          <t>efficiency</t>
        </is>
      </c>
      <c r="E54" s="2" t="inlineStr">
        <is>
          <t>Discussed in steps 4</t>
        </is>
      </c>
      <c r="F54" s="2" t="inlineStr"/>
      <c r="G54" s="2" t="inlineStr"/>
      <c r="H54" s="2" t="inlineStr">
        <is>
          <t>Cost of Equity = Risk-free Rate + Beta × Equity Risk Premium</t>
        </is>
      </c>
      <c r="I54" s="2" t="inlineStr">
        <is>
          <t>The cost of equity is the expected return that investors require to hold the company’s shares. Shareholders are paid last and carry the most risk, so the cost of equity is higher than the cost of debt. Most analysts estimate it with the Capital Asset Pricing Model (CAPM).</t>
        </is>
      </c>
      <c r="J54" s="2" t="inlineStr">
        <is>
          <t>Risk-free rate: the yield on a long-term government bond in the same currency as the cash flows. Beta: how much the stock moved with the market in the past; a beta of 1.0 means average market risk. Equity risk premium: the extra return investors require from stocks over government bonds, commonly 4–6% for the US market.</t>
        </is>
      </c>
      <c r="K54" s="2" t="inlineStr">
        <is>
          <t>Beta comes from past prices and changes with the period and index you choose. A single stock’s beta is noisy, so many analysts use the average beta of similar companies, adjusted for debt. CAPM ignores risks specific to the company, such as small size or customer concentration. Small input changes move a DCF value a lot, so check the sensitivity table. Match the currency and inflation of the risk-free rate to the cash flows.</t>
        </is>
      </c>
      <c r="L54" s="2" t="inlineStr">
        <is>
          <t>Estimated by you (not reported). Risk-free rate: government bond yields. Beta: data providers or your own regression. Equity risk premium: published surveys and estimates (for example, Aswath Damodaran).</t>
        </is>
      </c>
      <c r="M54" s="2" t="inlineStr">
        <is>
          <t>wacc, discount-rate, required-return, fcfe, opportunity-cost, sensitivity</t>
        </is>
      </c>
      <c r="N54" s="2" t="inlineStr">
        <is>
          <t>Risk-free Rate  + Beta × Equity Risk Premium  Cost of Equity  Discount rate for FCFE, or an input to WACC for FCFF</t>
        </is>
      </c>
    </row>
    <row r="55" ht="42" customHeight="1">
      <c r="A55" s="2" t="inlineStr">
        <is>
          <t>shares-outstanding</t>
        </is>
      </c>
      <c r="B55" s="2" t="inlineStr">
        <is>
          <t>Shares Outstanding</t>
        </is>
      </c>
      <c r="C55" s="2" t="inlineStr">
        <is>
          <t>מניות במחזור</t>
        </is>
      </c>
      <c r="D55" s="2" t="inlineStr">
        <is>
          <t>pershare</t>
        </is>
      </c>
      <c r="E55" s="2" t="inlineStr">
        <is>
          <t>1 reported records (includes unavailable rows)</t>
        </is>
      </c>
      <c r="F55" s="2" t="inlineStr"/>
      <c r="G55" s="2" t="inlineStr">
        <is>
          <t>cover_shares_outstanding</t>
        </is>
      </c>
      <c r="H55" s="2" t="inlineStr">
        <is>
          <t>Not a single numerical formula</t>
        </is>
      </c>
      <c r="I55" s="2" t="inlineStr">
        <is>
          <t>The total number of shares currently issued and held by investors (excluding treasury shares the company bought back).</t>
        </is>
      </c>
      <c r="J55" s="2" t="inlineStr">
        <is>
          <t>Used to convert company-level numbers into per-share numbers (EPS, value per share) and to calculate Market Cap.</t>
        </is>
      </c>
      <c r="K55" s="2" t="inlineStr">
        <is>
          <t>Use  diluted  shares for valuation. The cover page of the 10-K/10-Q shows the latest count.</t>
        </is>
      </c>
      <c r="L55" s="2" t="inlineStr">
        <is>
          <t>Bottom of the Income Statement (weighted average) and 10-K cover page.</t>
        </is>
      </c>
      <c r="M55" s="2" t="inlineStr">
        <is>
          <t>basic-shares, diluted-shares, dilution</t>
        </is>
      </c>
      <c r="N55" s="2" t="inlineStr"/>
    </row>
    <row r="56" ht="42" customHeight="1">
      <c r="A56" s="2" t="inlineStr">
        <is>
          <t>basic-shares</t>
        </is>
      </c>
      <c r="B56" s="2" t="inlineStr">
        <is>
          <t>Basic Shares</t>
        </is>
      </c>
      <c r="C56" s="2" t="inlineStr">
        <is>
          <t>מספר מניות בסיסי</t>
        </is>
      </c>
      <c r="D56" s="2" t="inlineStr">
        <is>
          <t>pershare</t>
        </is>
      </c>
      <c r="E56" s="2" t="inlineStr">
        <is>
          <t>No direct company-specific mapping; use handbook guidance and add your own evidence.</t>
        </is>
      </c>
      <c r="F56" s="2" t="inlineStr"/>
      <c r="G56" s="2" t="inlineStr"/>
      <c r="H56" s="2" t="inlineStr">
        <is>
          <t>Not a single numerical formula</t>
        </is>
      </c>
      <c r="I56" s="2" t="inlineStr">
        <is>
          <t>The weighted-average number of shares actually outstanding during the period. Used for  Basic EPS .</t>
        </is>
      </c>
      <c r="J56" s="2" t="inlineStr"/>
      <c r="K56" s="2" t="inlineStr">
        <is>
          <t>Ignores options, RSUs and convertibles that will likely become shares.</t>
        </is>
      </c>
      <c r="L56" s="2" t="inlineStr">
        <is>
          <t>Income Statement, below EPS.</t>
        </is>
      </c>
      <c r="M56" s="2" t="inlineStr">
        <is>
          <t>diluted-shares, eps, shares-outstanding</t>
        </is>
      </c>
      <c r="N56" s="2" t="inlineStr"/>
    </row>
    <row r="57" ht="42" customHeight="1">
      <c r="A57" s="2" t="inlineStr">
        <is>
          <t>diluted-shares</t>
        </is>
      </c>
      <c r="B57" s="2" t="inlineStr">
        <is>
          <t>Diluted Shares</t>
        </is>
      </c>
      <c r="C57" s="2" t="inlineStr">
        <is>
          <t>מניות בדילול מלא</t>
        </is>
      </c>
      <c r="D57" s="2" t="inlineStr">
        <is>
          <t>pershare</t>
        </is>
      </c>
      <c r="E57" s="2" t="inlineStr">
        <is>
          <t>10 reported records (includes unavailable rows); Discussed in steps 3</t>
        </is>
      </c>
      <c r="F57" s="2" t="inlineStr"/>
      <c r="G57" s="2" t="inlineStr">
        <is>
          <t>diluted_avg_shares</t>
        </is>
      </c>
      <c r="H57" s="2" t="inlineStr">
        <is>
          <t>Not a single numerical formula</t>
        </is>
      </c>
      <c r="I57" s="2" t="inlineStr">
        <is>
          <t>Basic shares plus all shares that could be created from stock options, restricted stock units (RSUs), warrants and convertible bonds. Used for  Diluted EPS  and fair value per share.</t>
        </is>
      </c>
      <c r="J57" s="2" t="inlineStr">
        <is>
          <t>The more conservative and correct denominator for valuation.</t>
        </is>
      </c>
      <c r="K57" s="2" t="inlineStr">
        <is>
          <t>Even “diluted” may understate future dilution if the company keeps granting large stock compensation.</t>
        </is>
      </c>
      <c r="L57" s="2" t="inlineStr">
        <is>
          <t>Income Statement, below EPS.</t>
        </is>
      </c>
      <c r="M57" s="2" t="inlineStr">
        <is>
          <t>dilution, fair-value-per-share, shares-outstanding, basic-shares</t>
        </is>
      </c>
      <c r="N57" s="2" t="inlineStr"/>
    </row>
    <row r="58" ht="42" customHeight="1">
      <c r="A58" s="2" t="inlineStr">
        <is>
          <t>dilution</t>
        </is>
      </c>
      <c r="B58" s="2" t="inlineStr">
        <is>
          <t>Dilution</t>
        </is>
      </c>
      <c r="C58" s="2" t="inlineStr">
        <is>
          <t>דילול</t>
        </is>
      </c>
      <c r="D58" s="2" t="inlineStr">
        <is>
          <t>pershare</t>
        </is>
      </c>
      <c r="E58" s="2" t="inlineStr">
        <is>
          <t>21 calculated records; Discussed in steps 3</t>
        </is>
      </c>
      <c r="F58" s="2" t="inlineStr">
        <is>
          <t>dilution, sbc-to-revenue, diluted-shares-change</t>
        </is>
      </c>
      <c r="G58" s="2" t="inlineStr"/>
      <c r="H58" s="2" t="inlineStr">
        <is>
          <t>Annual dilution = (Shares this year − Shares last year) / Shares last year</t>
        </is>
      </c>
      <c r="I58" s="2" t="inlineStr">
        <is>
          <t>When a company issues new shares (to employees via stock compensation, to raise money, or for acquisitions), each existing share owns a smaller percentage of the company.</t>
        </is>
      </c>
      <c r="J58" s="2" t="inlineStr">
        <is>
          <t>A company can grow while existing shareholders are diluted: the company got bigger, but your slice grew much less.</t>
        </is>
      </c>
      <c r="K58" s="2" t="inlineStr">
        <is>
          <t>Companies may offset dilution with buybacks — check how much cash buybacks really consume.</t>
        </is>
      </c>
      <c r="L58" s="2" t="inlineStr">
        <is>
          <t>Share count history (Income Statement / 10-K).</t>
        </is>
      </c>
      <c r="M58" s="2" t="inlineStr">
        <is>
          <t>diluted-shares, eps, shares-outstanding, owner-earnings, capital-allocation, management-incentives</t>
        </is>
      </c>
      <c r="N58" s="2" t="inlineStr"/>
    </row>
    <row r="59" ht="42" customHeight="1">
      <c r="A59" s="2" t="inlineStr">
        <is>
          <t>eps</t>
        </is>
      </c>
      <c r="B59" s="2" t="inlineStr">
        <is>
          <t>EPS</t>
        </is>
      </c>
      <c r="C59" s="2" t="inlineStr">
        <is>
          <t>רווח למניה</t>
        </is>
      </c>
      <c r="D59" s="2" t="inlineStr">
        <is>
          <t>pershare</t>
        </is>
      </c>
      <c r="E59" s="2" t="inlineStr">
        <is>
          <t>10 calculated records</t>
        </is>
      </c>
      <c r="F59" s="2" t="inlineStr">
        <is>
          <t>eps</t>
        </is>
      </c>
      <c r="G59" s="2" t="inlineStr"/>
      <c r="H59" s="2" t="inlineStr">
        <is>
          <t>EPS = Net Income / Shares Outstanding</t>
        </is>
      </c>
      <c r="I59" s="2" t="inlineStr">
        <is>
          <t>Net income divided by the number of shares: the profit attributable to each share. Reported as Basic and Diluted EPS.</t>
        </is>
      </c>
      <c r="J59" s="2" t="inlineStr">
        <is>
          <t>Per-share metrics matter because shareholders own shares, not the company. EPS growth is what ultimately drives share price over time.</t>
        </is>
      </c>
      <c r="K59" s="2" t="inlineStr">
        <is>
          <t>Buybacks raise EPS without business improvement; “adjusted EPS” often excludes real costs like SBC.</t>
        </is>
      </c>
      <c r="L59" s="2" t="inlineStr">
        <is>
          <t>Bottom of the Income Statement.</t>
        </is>
      </c>
      <c r="M59" s="2" t="inlineStr">
        <is>
          <t>pe, net-income, dilution, basic-shares</t>
        </is>
      </c>
      <c r="N59" s="2" t="inlineStr"/>
    </row>
    <row r="60" ht="42" customHeight="1">
      <c r="A60" s="2" t="inlineStr">
        <is>
          <t>market-cap</t>
        </is>
      </c>
      <c r="B60" s="2" t="inlineStr">
        <is>
          <t>Market Capitalization</t>
        </is>
      </c>
      <c r="C60" s="2" t="inlineStr">
        <is>
          <t>שווי שוק</t>
        </is>
      </c>
      <c r="D60" s="2" t="inlineStr">
        <is>
          <t>valuation</t>
        </is>
      </c>
      <c r="E60" s="2" t="inlineStr">
        <is>
          <t>1 calculated records</t>
        </is>
      </c>
      <c r="F60" s="2" t="inlineStr">
        <is>
          <t>market-cap</t>
        </is>
      </c>
      <c r="G60" s="2" t="inlineStr"/>
      <c r="H60" s="2" t="inlineStr">
        <is>
          <t>Market Cap = Share Price × Shares Outstanding</t>
        </is>
      </c>
      <c r="I60" s="2" t="inlineStr">
        <is>
          <t>The market value of the company’s equity — what the stock market currently charges for all of its shares.</t>
        </is>
      </c>
      <c r="J60" s="2" t="inlineStr">
        <is>
          <t>Share price by itself tells almost nothing  about whether a stock is cheap. A $500 stock with 100M shares ($50B) is “smaller” than a $10 stock with 10B shares ($100B). Market Cap values equity, not the underlying operating business. Compare share counts over time: issuance and buybacks change Market Cap even with an unchanged Share Price.</t>
        </is>
      </c>
      <c r="K60" s="2" t="inlineStr">
        <is>
          <t>Use current shares outstanding for current Market Cap, not weighted-average diluted EPS shares. Track issuance, buybacks and potential dilution separately. Compare the same date for price and shares.</t>
        </is>
      </c>
      <c r="L60" s="2" t="inlineStr">
        <is>
          <t>Share price (market) × shares (10-K/10-Q cover).</t>
        </is>
      </c>
      <c r="M60" s="2" t="inlineStr">
        <is>
          <t>enterprise-value, pe, fcf-yield, book-value, equity-value, price-sales</t>
        </is>
      </c>
      <c r="N60" s="2" t="inlineStr"/>
    </row>
    <row r="61" ht="42" customHeight="1">
      <c r="A61" s="2" t="inlineStr">
        <is>
          <t>pe</t>
        </is>
      </c>
      <c r="B61" s="2" t="inlineStr">
        <is>
          <t>P/E</t>
        </is>
      </c>
      <c r="C61" s="2" t="inlineStr">
        <is>
          <t>מכפיל רווח</t>
        </is>
      </c>
      <c r="D61" s="2" t="inlineStr">
        <is>
          <t>valuation</t>
        </is>
      </c>
      <c r="E61" s="2" t="inlineStr">
        <is>
          <t>2 calculated records; Discussed in steps 4</t>
        </is>
      </c>
      <c r="F61" s="2" t="inlineStr">
        <is>
          <t>pe, ttm-pe</t>
        </is>
      </c>
      <c r="G61" s="2" t="inlineStr"/>
      <c r="H61" s="2" t="inlineStr">
        <is>
          <t>P/E = Market Cap / Net Income
P/E = Share Price / EPS</t>
        </is>
      </c>
      <c r="I61" s="2" t="inlineStr">
        <is>
          <t>How many dollars investors pay for each dollar of the company’s annual earnings.</t>
        </is>
      </c>
      <c r="J61" s="2" t="inlineStr">
        <is>
          <t>P/E 20x means investors currently pay ~$20 for every $1 of annual earnings (earnings yield = 1/20 = 5%).  Growth and quality matter:  a fast-growing, high-ROIC company deserves a higher P/E because its future earnings will be much larger.</t>
        </is>
      </c>
      <c r="K61" s="2" t="inlineStr">
        <is>
          <t>Low P/E ≠ automatically cheap  (declining business, peak-cycle earnings, one-off gains).  High P/E ≠ automatically expensive  (fast growth, temporarily depressed earnings). Meaningless when earnings are negative.</t>
        </is>
      </c>
      <c r="L61" s="2" t="inlineStr">
        <is>
          <t>Calculated: market data + Income Statement.</t>
        </is>
      </c>
      <c r="M61" s="2" t="inlineStr">
        <is>
          <t>eps, market-cap, growth-vs-valuation, cyclicality, normalized-earnings</t>
        </is>
      </c>
      <c r="N61" s="2" t="inlineStr"/>
    </row>
    <row r="62" ht="42" customHeight="1">
      <c r="A62" s="2" t="inlineStr">
        <is>
          <t>enterprise-value</t>
        </is>
      </c>
      <c r="B62" s="2" t="inlineStr">
        <is>
          <t>Enterprise Value</t>
        </is>
      </c>
      <c r="C62" s="2" t="inlineStr">
        <is>
          <t>שווי פעילות</t>
        </is>
      </c>
      <c r="D62" s="2" t="inlineStr">
        <is>
          <t>valuation</t>
        </is>
      </c>
      <c r="E62" s="2" t="inlineStr">
        <is>
          <t>1 calculated records</t>
        </is>
      </c>
      <c r="F62" s="2" t="inlineStr">
        <is>
          <t>enterprise-value</t>
        </is>
      </c>
      <c r="G62" s="2" t="inlineStr"/>
      <c r="H62" s="2" t="inlineStr">
        <is>
          <t>EV = Market Cap + Debt − Cash</t>
        </is>
      </c>
      <c r="I62" s="2" t="inlineStr">
        <is>
          <t>An approximation of the value of the whole operating business, independent of how it is financed.</t>
        </is>
      </c>
      <c r="J62" s="2" t="inlineStr">
        <is>
          <t>Imagine buying the whole company: you pay the market cap, but you also  take on its debt  (you must repay it → add) and you  get its cash  (it reduces your real cost → subtract).  Market Cap = Equity Value. Enterprise Value = approximate value of the operating enterprise.  EV approximates operating business value and helps compare different capital structures. Net Cash can put EV below Market Cap; high Net Debt can put it significantly above Market Cap.</t>
        </is>
      </c>
      <c r="K62" s="2" t="inlineStr">
        <is>
          <t>Market Cap ≠ Enterprise Value.  A precise EV also adds preferred stock, minority interests and often leases.</t>
        </is>
      </c>
      <c r="L62" s="2" t="inlineStr">
        <is>
          <t>Calculated: market data + Balance Sheet.</t>
        </is>
      </c>
      <c r="M62" s="2" t="inlineStr">
        <is>
          <t>market-cap, ev-ebitda, dcf-ev, cash, debt, net-debt, ev-revenue</t>
        </is>
      </c>
      <c r="N62" s="2" t="inlineStr"/>
    </row>
    <row r="63" ht="42" customHeight="1">
      <c r="A63" s="2" t="inlineStr">
        <is>
          <t>ev-ebitda</t>
        </is>
      </c>
      <c r="B63" s="2" t="inlineStr">
        <is>
          <t>EV / EBITDA</t>
        </is>
      </c>
      <c r="C63" s="2" t="inlineStr">
        <is>
          <t>מכפיל שווי פעילות ל־EBITDA</t>
        </is>
      </c>
      <c r="D63" s="2" t="inlineStr">
        <is>
          <t>valuation</t>
        </is>
      </c>
      <c r="E63" s="2" t="inlineStr">
        <is>
          <t>2 calculated records</t>
        </is>
      </c>
      <c r="F63" s="2" t="inlineStr">
        <is>
          <t>ev-ebitda, ttm-ev-ebitda</t>
        </is>
      </c>
      <c r="G63" s="2" t="inlineStr"/>
      <c r="H63" s="2" t="inlineStr">
        <is>
          <t>EV / EBITDA = Enterprise Value / EBITDA</t>
        </is>
      </c>
      <c r="I63" s="2" t="inlineStr">
        <is>
          <t>Values the whole business relative to its EBITDA.</t>
        </is>
      </c>
      <c r="J63" s="2" t="inlineStr">
        <is>
          <t>Why pair EV with EBITDA?  EBITDA is earned before interest, so it belongs to  all  capital providers (debt and equity) — matching EV, which also includes debt. Useful for comparing companies with different leverage and in M&amp;A.</t>
        </is>
      </c>
      <c r="K63" s="2" t="inlineStr">
        <is>
          <t>Limitations:  EBITDA ignores CapEx, so capital-intensive businesses look cheap. Cross-check with EV/EBIT or Price/FCF. “Adjusted EBITDA” may exclude real costs.</t>
        </is>
      </c>
      <c r="L63" s="2" t="inlineStr">
        <is>
          <t>Calculated.</t>
        </is>
      </c>
      <c r="M63" s="2" t="inlineStr">
        <is>
          <t>enterprise-value, ebitda</t>
        </is>
      </c>
      <c r="N63" s="2" t="inlineStr"/>
    </row>
    <row r="64" ht="42" customHeight="1">
      <c r="A64" s="2" t="inlineStr">
        <is>
          <t>price-fcf</t>
        </is>
      </c>
      <c r="B64" s="2" t="inlineStr">
        <is>
          <t>Price / FCF</t>
        </is>
      </c>
      <c r="C64" s="2" t="inlineStr">
        <is>
          <t>מכפיל תזרים חופשי</t>
        </is>
      </c>
      <c r="D64" s="2" t="inlineStr">
        <is>
          <t>valuation</t>
        </is>
      </c>
      <c r="E64" s="2" t="inlineStr">
        <is>
          <t>No direct company-specific mapping; use handbook guidance and add your own evidence. Supplemental editable formula in Workbench: Price / FCF (not part of imported metrics).</t>
        </is>
      </c>
      <c r="F64" s="2" t="inlineStr"/>
      <c r="G64" s="2" t="inlineStr"/>
      <c r="H64" s="2" t="inlineStr">
        <is>
          <t>Price / FCF = Market Cap / Free Cash Flow</t>
        </is>
      </c>
      <c r="I64" s="2" t="inlineStr">
        <is>
          <t>How many dollars investors pay for each dollar of annual free cash flow.</t>
        </is>
      </c>
      <c r="J64" s="2" t="inlineStr">
        <is>
          <t>Like P/E but based on cash rather than accounting profit. 20x means paying $20 for $1 of annual FCF.</t>
        </is>
      </c>
      <c r="K64" s="2" t="inlineStr">
        <is>
          <t>One year of FCF can be lumpy (CapEx timing, working capital). SBC isn’t deducted.</t>
        </is>
      </c>
      <c r="L64" s="2" t="inlineStr">
        <is>
          <t>Calculated.</t>
        </is>
      </c>
      <c r="M64" s="2" t="inlineStr">
        <is>
          <t>fcf-yield, fcf</t>
        </is>
      </c>
      <c r="N64" s="2" t="inlineStr"/>
    </row>
    <row r="65" ht="42" customHeight="1">
      <c r="A65" s="2" t="inlineStr">
        <is>
          <t>fcf-yield</t>
        </is>
      </c>
      <c r="B65" s="2" t="inlineStr">
        <is>
          <t>FCF Yield</t>
        </is>
      </c>
      <c r="C65" s="2" t="inlineStr">
        <is>
          <t>תשואת תזרים חופשי</t>
        </is>
      </c>
      <c r="D65" s="2" t="inlineStr">
        <is>
          <t>valuation</t>
        </is>
      </c>
      <c r="E65" s="2" t="inlineStr">
        <is>
          <t>2 calculated records; Discussed in steps 4</t>
        </is>
      </c>
      <c r="F65" s="2" t="inlineStr">
        <is>
          <t>fcf-yield, ttm-fcf-yield</t>
        </is>
      </c>
      <c r="G65" s="2" t="inlineStr"/>
      <c r="H65" s="2" t="inlineStr">
        <is>
          <t>FCF Yield = Free Cash Flow / Market Cap</t>
        </is>
      </c>
      <c r="I65" s="2" t="inlineStr">
        <is>
          <t>Annual free cash flow as a percentage of market value — the cash “yield” you get at today’s price.</t>
        </is>
      </c>
      <c r="J65" s="2" t="inlineStr">
        <is>
          <t>For every $100 of market value the company generates ~$10 of FCF per year.  Inverse of Price/FCF:  10% yield ⇔ 10x P/FCF; 4% ⇔ 25x.</t>
        </is>
      </c>
      <c r="K65" s="2" t="inlineStr">
        <is>
          <t>A high yield with shrinking FCF is a trap; a low yield can be fine with strong growth.</t>
        </is>
      </c>
      <c r="L65" s="2" t="inlineStr">
        <is>
          <t>Calculated.</t>
        </is>
      </c>
      <c r="M65" s="2" t="inlineStr">
        <is>
          <t>price-fcf, growth-vs-valuation, fcf, market-cap</t>
        </is>
      </c>
      <c r="N65" s="2" t="inlineStr"/>
    </row>
    <row r="66" ht="42" customHeight="1">
      <c r="A66" s="2" t="inlineStr">
        <is>
          <t>growth-vs-valuation</t>
        </is>
      </c>
      <c r="B66" s="2" t="inlineStr">
        <is>
          <t>Growth vs Valuation</t>
        </is>
      </c>
      <c r="C66" s="2" t="inlineStr">
        <is>
          <t>צמיחה מול מחיר</t>
        </is>
      </c>
      <c r="D66" s="2" t="inlineStr">
        <is>
          <t>valuation</t>
        </is>
      </c>
      <c r="E66" s="2" t="inlineStr">
        <is>
          <t>No direct company-specific mapping; use handbook guidance and add your own evidence.</t>
        </is>
      </c>
      <c r="F66" s="2" t="inlineStr"/>
      <c r="G66" s="2" t="inlineStr"/>
      <c r="H66" s="2" t="inlineStr">
        <is>
          <t>Not a single numerical formula</t>
        </is>
      </c>
      <c r="I66" s="2" t="inlineStr">
        <is>
          <t>The central tradeoff of stock valuation: a stock that gives a lot of cash relative to its price today vs one that gives little today but may grow much larger.</t>
        </is>
      </c>
      <c r="J66" s="2" t="inlineStr">
        <is>
          <t>A  provides much more cash relative to today’s valuation.  B  provides less current cash but potentially much higher future cash —  if  growth continues. B overtakes A in year 5. Neither metric (yield or growth) should be viewed alone; a DCF combines both.</t>
        </is>
      </c>
      <c r="K66" s="2" t="inlineStr">
        <is>
          <t>High expected growth is already priced in; if it disappoints, the low-yield stock can fall a lot.</t>
        </is>
      </c>
      <c r="L66" s="2" t="inlineStr"/>
      <c r="M66" s="2" t="inlineStr">
        <is>
          <t>fcf-yield, dcf-intro, pe, embedded-expectations, required-return, opportunity-cost</t>
        </is>
      </c>
      <c r="N66" s="2" t="inlineStr">
        <is>
          <t>FCF Yield  FCF Growth  FCF per $100 — year 0  Year 5  Year 10    
           Company A   10%  3%  $10.00  $11.59  $13.44  
           Company B   4%  25%  $4.00  $12.21  $37.25</t>
        </is>
      </c>
    </row>
    <row r="67" ht="42" customHeight="1">
      <c r="A67" s="2" t="inlineStr">
        <is>
          <t>time-value-money</t>
        </is>
      </c>
      <c r="B67" s="2" t="inlineStr">
        <is>
          <t>Time Value of Money</t>
        </is>
      </c>
      <c r="C67" s="2" t="inlineStr">
        <is>
          <t>ערך הזמן של הכסף</t>
        </is>
      </c>
      <c r="D67" s="2" t="inlineStr">
        <is>
          <t>dcf</t>
        </is>
      </c>
      <c r="E67" s="2" t="inlineStr">
        <is>
          <t>No direct company-specific mapping; use handbook guidance and add your own evidence.</t>
        </is>
      </c>
      <c r="F67" s="2" t="inlineStr"/>
      <c r="G67" s="2" t="inlineStr"/>
      <c r="H67" s="2" t="inlineStr">
        <is>
          <t>Not a single numerical formula</t>
        </is>
      </c>
      <c r="I67" s="2" t="inlineStr">
        <is>
          <t>Money today is worth more than the same amount received in the future, when the required return is positive.</t>
        </is>
      </c>
      <c r="J67" s="2" t="inlineStr">
        <is>
          <t>Today’s money can earn investment returns. Waiting has an opportunity cost; inflation reduces purchasing power, and future cash flows carry risk and uncertainty. DCF translates those future cash flows into today’s value.</t>
        </is>
      </c>
      <c r="K67" s="2" t="inlineStr">
        <is>
          <t>Match nominal cash flows with nominal rates and real cash flows with real rates. Do not deduct inflation twice.</t>
        </is>
      </c>
      <c r="L67" s="2" t="inlineStr"/>
      <c r="M67" s="2" t="inlineStr">
        <is>
          <t>present-value, future-value, opportunity-cost, dcf-intro</t>
        </is>
      </c>
      <c r="N67" s="2" t="inlineStr"/>
    </row>
    <row r="68" ht="42" customHeight="1">
      <c r="A68" s="2" t="inlineStr">
        <is>
          <t>dcf-intro</t>
        </is>
      </c>
      <c r="B68" s="2" t="inlineStr">
        <is>
          <t>DCF</t>
        </is>
      </c>
      <c r="C68" s="2" t="inlineStr">
        <is>
          <t>היוון תזרימי מזומנים</t>
        </is>
      </c>
      <c r="D68" s="2" t="inlineStr">
        <is>
          <t>dcf</t>
        </is>
      </c>
      <c r="E68" s="2" t="inlineStr">
        <is>
          <t>No direct company-specific mapping; use handbook guidance and add your own evidence.</t>
        </is>
      </c>
      <c r="F68" s="2" t="inlineStr"/>
      <c r="G68" s="2" t="inlineStr"/>
      <c r="H68" s="2" t="inlineStr">
        <is>
          <t>Value = Σ FCFₜ / (1 + r)ᵗ  +  Terminal Value / (1 + r)ᴺ</t>
        </is>
      </c>
      <c r="I68" s="2" t="inlineStr">
        <is>
          <t>A valuation method that estimates what a business is worth today by forecasting its future free cash flows and discounting them back to the present.</t>
        </is>
      </c>
      <c r="J68" s="2" t="inlineStr">
        <is>
          <t>The output is only as good as the assumptions. Use it to understand  what you must believe  for the stock to be cheap — and what the current price implies.</t>
        </is>
      </c>
      <c r="K68" s="2" t="inlineStr">
        <is>
          <t>DCF is based on assumptions, not certainty.  Small changes in growth, r or g move the value a lot.</t>
        </is>
      </c>
      <c r="L68" s="2" t="inlineStr">
        <is>
          <t>Built by you.</t>
        </is>
      </c>
      <c r="M68" s="2" t="inlineStr">
        <is>
          <t>present-value, terminal-value, sensitivity, fcff, fcfe, reverse-dcf, fcf, growth-vs-valuation, time-value-money, wacc, profitable-growth, dcf-ev, equity-value, fair-value-per-share</t>
        </is>
      </c>
      <c r="N68" s="2" t="inlineStr"/>
    </row>
    <row r="69" ht="42" customHeight="1">
      <c r="A69" s="2" t="inlineStr">
        <is>
          <t>present-value</t>
        </is>
      </c>
      <c r="B69" s="2" t="inlineStr">
        <is>
          <t>Present Value</t>
        </is>
      </c>
      <c r="C69" s="2" t="inlineStr">
        <is>
          <t>ערך נוכחי</t>
        </is>
      </c>
      <c r="D69" s="2" t="inlineStr">
        <is>
          <t>dcf</t>
        </is>
      </c>
      <c r="E69" s="2" t="inlineStr">
        <is>
          <t>No direct company-specific mapping; use handbook guidance and add your own evidence.</t>
        </is>
      </c>
      <c r="F69" s="2" t="inlineStr"/>
      <c r="G69" s="2" t="inlineStr"/>
      <c r="H69" s="2" t="inlineStr">
        <is>
          <t>PV = Future Cash Flow / (1 + r)^t
PV = Present Value · r = Discount Rate per period · t = Number of periods</t>
        </is>
      </c>
      <c r="I69" s="2" t="inlineStr">
        <is>
          <t>What a future amount of money is worth today. Money today is worth more than money later because it can be invested, and the future is uncertain.</t>
        </is>
      </c>
      <c r="J69" s="2" t="inlineStr">
        <is>
          <t>At a 10% required return, receiving $90.91 today is equivalent to $100 in a year. Present Value converts future money into today’s economic value. Use the calculator below; set Years to 10 to reproduce the $38.55 example.</t>
        </is>
      </c>
      <c r="K69" s="2" t="inlineStr">
        <is>
          <t>The further away the cash flow and the higher r, the less it is worth today.</t>
        </is>
      </c>
      <c r="L69" s="2" t="inlineStr">
        <is>
          <t>Your model.</t>
        </is>
      </c>
      <c r="M69" s="2" t="inlineStr">
        <is>
          <t>discount-rate, dcf-intro, time-value-money, future-value, wacc</t>
        </is>
      </c>
      <c r="N69" s="2" t="inlineStr"/>
    </row>
    <row r="70" ht="42" customHeight="1">
      <c r="A70" s="2" t="inlineStr">
        <is>
          <t>future-value</t>
        </is>
      </c>
      <c r="B70" s="2" t="inlineStr">
        <is>
          <t>Future Value</t>
        </is>
      </c>
      <c r="C70" s="2" t="inlineStr">
        <is>
          <t>ערך עתידי</t>
        </is>
      </c>
      <c r="D70" s="2" t="inlineStr">
        <is>
          <t>dcf</t>
        </is>
      </c>
      <c r="E70" s="2" t="inlineStr">
        <is>
          <t>No direct company-specific mapping; use handbook guidance and add your own evidence.</t>
        </is>
      </c>
      <c r="F70" s="2" t="inlineStr"/>
      <c r="G70" s="2" t="inlineStr"/>
      <c r="H70" s="2" t="inlineStr">
        <is>
          <t>FV = PV × (1 + r)^t</t>
        </is>
      </c>
      <c r="I70" s="2" t="inlineStr">
        <is>
          <t>Future Value compounds today’s money forward at an assumed rate of return.</t>
        </is>
      </c>
      <c r="J70" s="2" t="inlineStr">
        <is>
          <t>Compounding asks what today’s money will be worth in the future. Discounting reverses the direction: what is future money worth today?</t>
        </is>
      </c>
      <c r="K70" s="2" t="inlineStr">
        <is>
          <t>The assumed return is not guaranteed. Match the rate and period; these examples use annual compounding without fees or taxes.</t>
        </is>
      </c>
      <c r="L70" s="2" t="inlineStr"/>
      <c r="M70" s="2" t="inlineStr">
        <is>
          <t>time-value-money, present-value, discount-rate</t>
        </is>
      </c>
      <c r="N70" s="2" t="inlineStr">
        <is>
          <t>Compounding vs Discounting    Compounding  Present → Future: What will today’s money be worth? PV × (1 + r)^t = FV     Discounting  Future → Present: What is future money worth today? FV / (1 + r)^t = PV</t>
        </is>
      </c>
    </row>
    <row r="71" ht="42" customHeight="1">
      <c r="A71" s="2" t="inlineStr">
        <is>
          <t>required-return</t>
        </is>
      </c>
      <c r="B71" s="2" t="inlineStr">
        <is>
          <t>Required Return</t>
        </is>
      </c>
      <c r="C71" s="2" t="inlineStr">
        <is>
          <t>תשואה נדרשת</t>
        </is>
      </c>
      <c r="D71" s="2" t="inlineStr">
        <is>
          <t>dcf</t>
        </is>
      </c>
      <c r="E71" s="2" t="inlineStr">
        <is>
          <t>Model assumption: WACC 9.00%</t>
        </is>
      </c>
      <c r="F71" s="2" t="inlineStr"/>
      <c r="G71" s="2" t="inlineStr"/>
      <c r="H71" s="2" t="inlineStr">
        <is>
          <t>Not a single numerical formula</t>
        </is>
      </c>
      <c r="I71" s="2" t="inlineStr">
        <is>
          <t>The minimum expected return investors require for time, risk and opportunity cost.</t>
        </is>
      </c>
      <c r="J71" s="2" t="inlineStr">
        <is>
          <t>Higher perceived risk generally increases the required return. Match the required return to the claims and cash flows being valued.</t>
        </is>
      </c>
      <c r="K71" s="2" t="inlineStr">
        <is>
          <t>A required return is a hurdle, not a promised or realized return. An arbitrary target does not establish a company’s WACC.</t>
        </is>
      </c>
      <c r="L71" s="2" t="inlineStr"/>
      <c r="M71" s="2" t="inlineStr">
        <is>
          <t>risk-factors, discount-rate, wacc, growth-vs-valuation, opportunity-cost</t>
        </is>
      </c>
      <c r="N71" s="2" t="inlineStr">
        <is>
          <t>Risk  Required Return  Discount Rate  Valuation</t>
        </is>
      </c>
    </row>
    <row r="72" ht="42" customHeight="1">
      <c r="A72" s="2" t="inlineStr">
        <is>
          <t>discount-rate</t>
        </is>
      </c>
      <c r="B72" s="2" t="inlineStr">
        <is>
          <t>Discount Rate</t>
        </is>
      </c>
      <c r="C72" s="2" t="inlineStr">
        <is>
          <t>שיעור היוון</t>
        </is>
      </c>
      <c r="D72" s="2" t="inlineStr">
        <is>
          <t>dcf</t>
        </is>
      </c>
      <c r="E72" s="2" t="inlineStr">
        <is>
          <t>Model assumption: WACC 9.00%</t>
        </is>
      </c>
      <c r="F72" s="2" t="inlineStr"/>
      <c r="G72" s="2" t="inlineStr"/>
      <c r="H72" s="2" t="inlineStr">
        <is>
          <t>Not a single numerical formula</t>
        </is>
      </c>
      <c r="I72" s="2" t="inlineStr">
        <is>
          <t>The annual rate used to convert future cash into today’s value. It reflects the time value of money and risk — riskier businesses get higher discount rates. Use WACC for FCFF and the cost of equity for FCFE. The Discount Rate is the required return used to calculate Present Value.</t>
        </is>
      </c>
      <c r="J72" s="2" t="inlineStr">
        <is>
          <t>Discount Rate ↑ → Valuation ↓. Discount Rate ↓ → Valuation ↑.</t>
        </is>
      </c>
      <c r="K72" s="2" t="inlineStr">
        <is>
          <t>Small changes in the rate can materially change DCF value. Match the rate to cash-flow risk, currency and inflation assumptions.</t>
        </is>
      </c>
      <c r="L72" s="2" t="inlineStr">
        <is>
          <t>Your assumption.</t>
        </is>
      </c>
      <c r="M72" s="2" t="inlineStr">
        <is>
          <t>cost-of-equity, wacc, present-value, sensitivity, terminal-value, fcfe, opportunity-cost, future-value, required-return</t>
        </is>
      </c>
      <c r="N72" s="2" t="inlineStr">
        <is>
          <t>Higher Risk  Higher Required Return  Higher Discount Rate  Lower Present Value   The $100 cash flow did not change. Only the required return changed. Higher rates reduce the Present Value of positive future cash flows; lower rates increase it.  Try both rates in the Present Value calculator</t>
        </is>
      </c>
    </row>
    <row r="73" ht="42" customHeight="1">
      <c r="A73" s="2" t="inlineStr">
        <is>
          <t>terminal-value</t>
        </is>
      </c>
      <c r="B73" s="2" t="inlineStr">
        <is>
          <t>Terminal Value</t>
        </is>
      </c>
      <c r="C73" s="2" t="inlineStr">
        <is>
          <t>ערך סופי</t>
        </is>
      </c>
      <c r="D73" s="2" t="inlineStr">
        <is>
          <t>dcf</t>
        </is>
      </c>
      <c r="E73" s="2" t="inlineStr">
        <is>
          <t>Discussed in steps 4</t>
        </is>
      </c>
      <c r="F73" s="2" t="inlineStr"/>
      <c r="G73" s="2" t="inlineStr"/>
      <c r="H73" s="2" t="inlineStr">
        <is>
          <t>Terminal Value = FCF next year / (r − g)
r = Discount Rate · g = Terminal Growth Rate
PV of TV = TV / (1 + r)ᴺ</t>
        </is>
      </c>
      <c r="I73" s="2" t="inlineStr">
        <is>
          <t>We cannot forecast a company year by year forever, so after the explicit forecast (e.g. 10 years) we assume FCF grows at a modest constant rate  g  forever and capture all of it in one number.</t>
        </is>
      </c>
      <c r="J73" s="2" t="inlineStr">
        <is>
          <t>Terminal value often represents  60–80%  of a DCF’s total value, because it covers every year after the forecast — that is why DCFs are so sensitive to r and g.</t>
        </is>
      </c>
      <c r="K73" s="2" t="inlineStr">
        <is>
          <t>r must be greater than g  — otherwise the formula breaks (division by zero or a negative number). g should not exceed long-run economic growth (~2–4%).</t>
        </is>
      </c>
      <c r="L73" s="2" t="inlineStr">
        <is>
          <t>Your model.</t>
        </is>
      </c>
      <c r="M73" s="2" t="inlineStr">
        <is>
          <t>dcf-ev, sensitivity, discount-rate, dcf-intro</t>
        </is>
      </c>
      <c r="N73" s="2" t="inlineStr"/>
    </row>
    <row r="74" ht="42" customHeight="1">
      <c r="A74" s="2" t="inlineStr">
        <is>
          <t>dcf-ev</t>
        </is>
      </c>
      <c r="B74" s="2" t="inlineStr">
        <is>
          <t>DCF Enterprise Value</t>
        </is>
      </c>
      <c r="C74" s="2" t="inlineStr">
        <is>
          <t>שווי פעילות במודל היוון</t>
        </is>
      </c>
      <c r="D74" s="2" t="inlineStr">
        <is>
          <t>dcf</t>
        </is>
      </c>
      <c r="E74" s="2" t="inlineStr">
        <is>
          <t>No direct company-specific mapping; use handbook guidance and add your own evidence.</t>
        </is>
      </c>
      <c r="F74" s="2" t="inlineStr"/>
      <c r="G74" s="2" t="inlineStr"/>
      <c r="H74" s="2" t="inlineStr">
        <is>
          <t>Enterprise Value = PV of Forecast FCF + PV of Terminal Value</t>
        </is>
      </c>
      <c r="I74" s="2" t="inlineStr">
        <is>
          <t>The value of the whole operating business implied by your DCF.</t>
        </is>
      </c>
      <c r="J74" s="2" t="inlineStr">
        <is>
          <t>Discount FCFF, the cash flow available to all capital providers, at WACC to estimate operating enterprise value. Discounting FCFE at the cost of equity instead gives equity value.</t>
        </is>
      </c>
      <c r="K74" s="2" t="inlineStr">
        <is>
          <t>Check what share comes from terminal value.</t>
        </is>
      </c>
      <c r="L74" s="2" t="inlineStr">
        <is>
          <t>Your model.</t>
        </is>
      </c>
      <c r="M74" s="2" t="inlineStr">
        <is>
          <t>equity-value, enterprise-value, fcff, fcfe, terminal-value, dcf-intro</t>
        </is>
      </c>
      <c r="N74" s="2" t="inlineStr"/>
    </row>
    <row r="75" ht="42" customHeight="1">
      <c r="A75" s="2" t="inlineStr">
        <is>
          <t>equity-value</t>
        </is>
      </c>
      <c r="B75" s="2" t="inlineStr">
        <is>
          <t>Equity Value</t>
        </is>
      </c>
      <c r="C75" s="2" t="inlineStr">
        <is>
          <t>שווי ההון העצמי</t>
        </is>
      </c>
      <c r="D75" s="2" t="inlineStr">
        <is>
          <t>dcf</t>
        </is>
      </c>
      <c r="E75" s="2" t="inlineStr">
        <is>
          <t>No direct company-specific mapping; use handbook guidance and add your own evidence.</t>
        </is>
      </c>
      <c r="F75" s="2" t="inlineStr"/>
      <c r="G75" s="2" t="inlineStr"/>
      <c r="H75" s="2" t="inlineStr">
        <is>
          <t>Equity Value = Enterprise Value − Debt + Cash</t>
        </is>
      </c>
      <c r="I75" s="2" t="inlineStr">
        <is>
          <t>The part of enterprise value that belongs to shareholders, after lenders are repaid and cash is added.</t>
        </is>
      </c>
      <c r="J75" s="2" t="inlineStr">
        <is>
          <t>Comparable to Market Cap. If your equity value is above the market cap, the stock may be undervalued (according to your assumptions).</t>
        </is>
      </c>
      <c r="K75" s="2" t="inlineStr">
        <is>
          <t>Include all debt-like items (leases, preferred stock, minority interests) for precision.</t>
        </is>
      </c>
      <c r="L75" s="2" t="inlineStr">
        <is>
          <t>Your model.</t>
        </is>
      </c>
      <c r="M75" s="2" t="inlineStr">
        <is>
          <t>fair-value-per-share, market-cap, cash, dcf-ev, dcf-intro</t>
        </is>
      </c>
      <c r="N75" s="2" t="inlineStr"/>
    </row>
    <row r="76" ht="42" customHeight="1">
      <c r="A76" s="2" t="inlineStr">
        <is>
          <t>fair-value-per-share</t>
        </is>
      </c>
      <c r="B76" s="2" t="inlineStr">
        <is>
          <t>Fair Value Per Share</t>
        </is>
      </c>
      <c r="C76" s="2" t="inlineStr">
        <is>
          <t>שווי מוערך למניה</t>
        </is>
      </c>
      <c r="D76" s="2" t="inlineStr">
        <is>
          <t>dcf</t>
        </is>
      </c>
      <c r="E76" s="2" t="inlineStr">
        <is>
          <t>6 calculated records; Discussed in steps 4</t>
        </is>
      </c>
      <c r="F76" s="2" t="inlineStr">
        <is>
          <t>dcf-value-bear, dcf-value-base, dcf-value-bull, forward-illustrative-growth-value, forward-illustrative-garp-value, forward-illustrative-quality-value</t>
        </is>
      </c>
      <c r="G76" s="2" t="inlineStr"/>
      <c r="H76" s="2" t="inlineStr">
        <is>
          <t>Fair Value Per Share = Equity Value / Diluted Shares Outstanding
Upside / Downside = Fair Value / Current Price − 1</t>
        </is>
      </c>
      <c r="I76" s="2" t="inlineStr">
        <is>
          <t>Your estimate of what one share is worth.</t>
        </is>
      </c>
      <c r="J76" s="2" t="inlineStr">
        <is>
          <t>Compare with the current price — but as a  range  (bear/base/bull), not one number.</t>
        </is>
      </c>
      <c r="K76" s="2" t="inlineStr">
        <is>
          <t>Use diluted shares; false precision ($26.37) is a warning sign.</t>
        </is>
      </c>
      <c r="L76" s="2" t="inlineStr">
        <is>
          <t>Your model.</t>
        </is>
      </c>
      <c r="M76" s="2" t="inlineStr">
        <is>
          <t>sensitivity, diluted-shares, equity-value, dcf-intro</t>
        </is>
      </c>
      <c r="N76" s="2" t="inlineStr"/>
    </row>
    <row r="77" ht="42" customHeight="1">
      <c r="A77" s="2" t="inlineStr">
        <is>
          <t>sensitivity</t>
        </is>
      </c>
      <c r="B77" s="2" t="inlineStr">
        <is>
          <t>Sensitivity Analysis</t>
        </is>
      </c>
      <c r="C77" s="2" t="inlineStr">
        <is>
          <t>ניתוח רגישות</t>
        </is>
      </c>
      <c r="D77" s="2" t="inlineStr">
        <is>
          <t>dcf</t>
        </is>
      </c>
      <c r="E77" s="2" t="inlineStr">
        <is>
          <t>No direct company-specific mapping; use handbook guidance and add your own evidence.</t>
        </is>
      </c>
      <c r="F77" s="2" t="inlineStr"/>
      <c r="G77" s="2" t="inlineStr"/>
      <c r="H77" s="2" t="inlineStr">
        <is>
          <t>Not a single numerical formula</t>
        </is>
      </c>
      <c r="I77" s="2" t="inlineStr">
        <is>
          <t>Re-running the DCF across a grid of assumptions (typically discount rate × terminal growth) to see a  range  of values instead of one magical number.</t>
        </is>
      </c>
      <c r="J77" s="2" t="inlineStr">
        <is>
          <t>A good investment often has limited downside in the bear case and meaningful upside in base/bull. Also ask in reverse:  what assumptions are already priced into the stock?</t>
        </is>
      </c>
      <c r="K77" s="2" t="inlineStr">
        <is>
          <t>Valuation should be a range, not a single magical number.</t>
        </is>
      </c>
      <c r="L77" s="2" t="inlineStr">
        <is>
          <t>Your model.</t>
        </is>
      </c>
      <c r="M77" s="2" t="inlineStr">
        <is>
          <t>terminal-value, discount-rate, dcf-intro, fair-value-per-share, margin-of-safety, reverse-dcf, embedded-expectations</t>
        </is>
      </c>
      <c r="N77" s="2" t="inlineStr">
        <is>
          <t>Discount Rate ↑  → Valuation ↓   Discount Rate ↓  → Valuation ↑   Terminal Growth ↑  → Valuation ↑   Terminal Growth ↓  → Valuation ↓  
           Bear case  Lower growth, lower margins, higher discount rate, conservative terminal assumptions.    Base case  Most reasonable assumptions.    Bull case  Higher growth, higher margins, operating leverage.</t>
        </is>
      </c>
    </row>
    <row r="78" ht="42" customHeight="1">
      <c r="A78" s="2" t="inlineStr">
        <is>
          <t>thesis-def</t>
        </is>
      </c>
      <c r="B78" s="2" t="inlineStr">
        <is>
          <t>Investment Thesis</t>
        </is>
      </c>
      <c r="C78" s="2" t="inlineStr">
        <is>
          <t>תזת השקעה</t>
        </is>
      </c>
      <c r="D78" s="2" t="inlineStr">
        <is>
          <t>thesis</t>
        </is>
      </c>
      <c r="E78" s="2" t="inlineStr">
        <is>
          <t>Discussed in steps 6</t>
        </is>
      </c>
      <c r="F78" s="2" t="inlineStr"/>
      <c r="G78" s="2" t="inlineStr"/>
      <c r="H78" s="2" t="inlineStr">
        <is>
          <t>Not a single numerical formula</t>
        </is>
      </c>
      <c r="I78" s="2" t="inlineStr">
        <is>
          <t>A concise argument (a few sentences) explaining  what you believe that the market doesn’t , why it matters for value, and what will make the market recognise it.</t>
        </is>
      </c>
      <c r="J78" s="2" t="inlineStr">
        <is>
          <t>A good thesis is specific and falsifiable: “Margins will expand from 10% to 18% as data-centre utilisation rises; the market prices in 12%.”</t>
        </is>
      </c>
      <c r="K78" s="2" t="inlineStr">
        <is>
          <t>“Great company” is not a thesis. If you can’t say why the market is wrong, you probably don’t have an edge.</t>
        </is>
      </c>
      <c r="L78" s="2" t="inlineStr">
        <is>
          <t>Your notes.</t>
        </is>
      </c>
      <c r="M78" s="2" t="inlineStr">
        <is>
          <t>invalidation, catalysts, risk-factors</t>
        </is>
      </c>
      <c r="N78" s="2" t="inlineStr">
        <is>
          <t>1 Business   2 Moat   3 Growth Drivers   4 Financial Quality   5 Capital Efficiency   6 Valuation   7 Catalysts   8 Risks   9 Bear Case   10 Base Case   11 Bull Case   12 Thesis Invalidation</t>
        </is>
      </c>
    </row>
    <row r="79" ht="42" customHeight="1">
      <c r="A79" s="2" t="inlineStr">
        <is>
          <t>invalidation</t>
        </is>
      </c>
      <c r="B79" s="2" t="inlineStr">
        <is>
          <t>Thesis Invalidation</t>
        </is>
      </c>
      <c r="C79" s="2" t="inlineStr">
        <is>
          <t>הפרכת תזת ההשקעה</t>
        </is>
      </c>
      <c r="D79" s="2" t="inlineStr">
        <is>
          <t>thesis</t>
        </is>
      </c>
      <c r="E79" s="2" t="inlineStr">
        <is>
          <t>Discussed in steps 6</t>
        </is>
      </c>
      <c r="F79" s="2" t="inlineStr"/>
      <c r="G79" s="2" t="inlineStr"/>
      <c r="H79" s="2" t="inlineStr">
        <is>
          <t>Not a single numerical formula</t>
        </is>
      </c>
      <c r="I79" s="2" t="inlineStr">
        <is>
          <t>3–10 specific, measurable conditions — written before you invest — that would mean your thesis is broken.</t>
        </is>
      </c>
      <c r="J79" s="2" t="inlineStr">
        <is>
          <t>When a condition triggers, re-underwrite from scratch: would you buy this stock today at this price?</t>
        </is>
      </c>
      <c r="K79" s="2" t="inlineStr">
        <is>
          <t>Moving the goalposts after the fact (“it’s only temporary”) is confirmation bias in action.</t>
        </is>
      </c>
      <c r="L79" s="2" t="inlineStr">
        <is>
          <t>Your notes.</t>
        </is>
      </c>
      <c r="M79" s="2" t="inlineStr">
        <is>
          <t>thesis-def, risk-factors, value-trap, circle-of-competence</t>
        </is>
      </c>
      <c r="N79" s="2" t="inlineStr"/>
    </row>
    <row r="80" ht="42" customHeight="1">
      <c r="A80" s="2" t="inlineStr">
        <is>
          <t>margin-of-safety</t>
        </is>
      </c>
      <c r="B80" s="2" t="inlineStr">
        <is>
          <t>Margin of Safety</t>
        </is>
      </c>
      <c r="C80" s="2" t="inlineStr">
        <is>
          <t>מרווח ביטחון</t>
        </is>
      </c>
      <c r="D80" s="2" t="inlineStr">
        <is>
          <t>value-investing</t>
        </is>
      </c>
      <c r="E80" s="2" t="inlineStr">
        <is>
          <t>2 calculated records; Discussed in steps 5</t>
        </is>
      </c>
      <c r="F80" s="2" t="inlineStr">
        <is>
          <t>margin-of-safety-base, margin-of-safety-bear</t>
        </is>
      </c>
      <c r="G80" s="2" t="inlineStr"/>
      <c r="H80" s="2" t="inlineStr">
        <is>
          <t>Margin of Safety = (Estimated Value − Price) / Estimated Value</t>
        </is>
      </c>
      <c r="I80" s="2" t="inlineStr">
        <is>
          <t>A purchase price below conservatively estimated intrinsic value leaves room for some errors in your assumptions. The protection depends on the quality of that estimate.</t>
        </is>
      </c>
      <c r="J80" s="2" t="inlineStr">
        <is>
          <t>A 30% discount to value is different from 30% upside from price. Use a range of values and investigate the downside assumptions.</t>
        </is>
      </c>
      <c r="K80" s="2" t="inlineStr">
        <is>
          <t>An optimistic valuation can manufacture an apparent discount. No fixed percentage guarantees protection.</t>
        </is>
      </c>
      <c r="L80" s="2" t="inlineStr">
        <is>
          <t>Your valuation model and the current share price.</t>
        </is>
      </c>
      <c r="M80" s="2" t="inlineStr">
        <is>
          <t>value-trap, sensitivity, permanent-capital-loss, opportunity-cost</t>
        </is>
      </c>
      <c r="N80" s="2" t="inlineStr"/>
    </row>
    <row r="81" ht="42" customHeight="1">
      <c r="A81" s="2" t="inlineStr">
        <is>
          <t>owner-earnings</t>
        </is>
      </c>
      <c r="B81" s="2" t="inlineStr">
        <is>
          <t>Owner Earnings</t>
        </is>
      </c>
      <c r="C81" s="2" t="inlineStr">
        <is>
          <t>רווחי בעלים</t>
        </is>
      </c>
      <c r="D81" s="2" t="inlineStr">
        <is>
          <t>value-investing</t>
        </is>
      </c>
      <c r="E81" s="2" t="inlineStr">
        <is>
          <t>12 calculated records; Discussed in steps 2</t>
        </is>
      </c>
      <c r="F81" s="2" t="inlineStr">
        <is>
          <t>owner-earnings, normalized-owner-earnings-annual, normalized-owner-earnings-ttm</t>
        </is>
      </c>
      <c r="G81" s="2" t="inlineStr"/>
      <c r="H81" s="2" t="inlineStr">
        <is>
          <t>Owner Earnings ≈ Net Income + D&amp;A − Maintenance CapEx − Required Increase in Operating Working Capital</t>
        </is>
      </c>
      <c r="I81" s="2" t="inlineStr">
        <is>
          <t>An estimate of cash earning power after the reinvestment needed to preserve current operations and competitive position. It requires judgment about maintenance spending and working capital.</t>
        </is>
      </c>
      <c r="J81" s="2" t="inlineStr">
        <is>
          <t>This simplified example assumes no other adjustments. Reconcile unusual gains, losses, and other non-cash items individually. Keep stock-based compensation as an economic cost.</t>
        </is>
      </c>
      <c r="K81" s="2" t="inlineStr">
        <is>
          <t>If you start from operating cash flow, working-capital changes are already included. Do not subtract them twice or exclude investment while retaining the growth it funds.</t>
        </is>
      </c>
      <c r="L81" s="2" t="inlineStr">
        <is>
          <t>Financial statements, asset notes, and your maintenance estimates.</t>
        </is>
      </c>
      <c r="M81" s="2" t="inlineStr">
        <is>
          <t>maintenance-capex, normalized-earnings, fcf, dilution, capex</t>
        </is>
      </c>
      <c r="N81" s="2" t="inlineStr"/>
    </row>
    <row r="82" ht="42" customHeight="1">
      <c r="A82" s="2" t="inlineStr">
        <is>
          <t>maintenance-capex</t>
        </is>
      </c>
      <c r="B82" s="2" t="inlineStr">
        <is>
          <t>Maintenance CapEx</t>
        </is>
      </c>
      <c r="C82" s="2" t="inlineStr">
        <is>
          <t>השקעות הוניות לתחזוקה</t>
        </is>
      </c>
      <c r="D82" s="2" t="inlineStr">
        <is>
          <t>value-investing</t>
        </is>
      </c>
      <c r="E82" s="2" t="inlineStr">
        <is>
          <t>No direct company-specific mapping; use handbook guidance and add your own evidence.</t>
        </is>
      </c>
      <c r="F82" s="2" t="inlineStr"/>
      <c r="G82" s="2" t="inlineStr"/>
      <c r="H82" s="2" t="inlineStr">
        <is>
          <t>Not a single numerical formula</t>
        </is>
      </c>
      <c r="I82" s="2" t="inlineStr">
        <is>
          <t>Spending needed to sustain the existing business, including necessary replacements and upgrades. The maintenance/growth split is often an estimate rather than a reported accounting line.</t>
        </is>
      </c>
      <c r="J82" s="2" t="inlineStr">
        <is>
          <t>Build a range from asset age, replacement costs, replacement cycles, capacity, and required upgrades. Compare management’s estimates with spending history.</t>
        </is>
      </c>
      <c r="K82" s="2" t="inlineStr">
        <is>
          <t>Depreciation allocates historical costs. Inflation, technology, asset age, and deferred upkeep can make it a poor estimate of current maintenance needs.</t>
        </is>
      </c>
      <c r="L82" s="2" t="inlineStr">
        <is>
          <t>PP&amp;E notes, capital-spending disclosures, operating data, and management commentary.</t>
        </is>
      </c>
      <c r="M82" s="2" t="inlineStr">
        <is>
          <t>capex, owner-earnings, value-trap, capex-efficiency</t>
        </is>
      </c>
      <c r="N82" s="2" t="inlineStr"/>
    </row>
    <row r="83" ht="42" customHeight="1">
      <c r="A83" s="2" t="inlineStr">
        <is>
          <t>normalized-earnings</t>
        </is>
      </c>
      <c r="B83" s="2" t="inlineStr">
        <is>
          <t>Normalized Earnings</t>
        </is>
      </c>
      <c r="C83" s="2" t="inlineStr">
        <is>
          <t>רווח מנורמל</t>
        </is>
      </c>
      <c r="D83" s="2" t="inlineStr">
        <is>
          <t>value-investing</t>
        </is>
      </c>
      <c r="E83" s="2" t="inlineStr">
        <is>
          <t>2 calculated records; Discussed in steps 2</t>
        </is>
      </c>
      <c r="F83" s="2" t="inlineStr">
        <is>
          <t>normalized-net-income, earnings-value-per-share</t>
        </is>
      </c>
      <c r="G83" s="2" t="inlineStr"/>
      <c r="H83" s="2" t="inlineStr">
        <is>
          <t>Adjusted Earnings = Reported Earnings − Unusual Gains + Unusual Costs (all after tax)</t>
        </is>
      </c>
      <c r="I83" s="2" t="inlineStr">
        <is>
          <t>An estimate of repeatable earning power. Remove genuinely unusual gains and costs symmetrically, then consider whether current demand, prices, and margins are sustainable.</t>
        </is>
      </c>
      <c r="J83" s="2" t="inlineStr">
        <is>
          <t>The arithmetic is a starting point. A cyclical company can still have unusually high adjusted earnings at peak demand.</t>
        </is>
      </c>
      <c r="K83" s="2" t="inlineStr">
        <is>
          <t>Repeated restructuring charges are not automatically exceptional. A historical average can also mislead after structural business changes.</t>
        </is>
      </c>
      <c r="L83" s="2" t="inlineStr">
        <is>
          <t>Income statement, footnotes, and financial history.</t>
        </is>
      </c>
      <c r="M83" s="2" t="inlineStr">
        <is>
          <t>cyclicality, earnings-quality, pe, owner-earnings, value-trap, operating-margin-trend</t>
        </is>
      </c>
      <c r="N83" s="2" t="inlineStr"/>
    </row>
    <row r="84" ht="42" customHeight="1">
      <c r="A84" s="2" t="inlineStr">
        <is>
          <t>capital-allocation</t>
        </is>
      </c>
      <c r="B84" s="2" t="inlineStr">
        <is>
          <t>Capital Allocation</t>
        </is>
      </c>
      <c r="C84" s="2" t="inlineStr">
        <is>
          <t>הקצאת הון</t>
        </is>
      </c>
      <c r="D84" s="2" t="inlineStr">
        <is>
          <t>value-investing</t>
        </is>
      </c>
      <c r="E84" s="2" t="inlineStr">
        <is>
          <t>Discussed in steps 3, 4</t>
        </is>
      </c>
      <c r="F84" s="2" t="inlineStr"/>
      <c r="G84" s="2" t="inlineStr"/>
      <c r="H84" s="2" t="inlineStr">
        <is>
          <t>Not a single numerical formula</t>
        </is>
      </c>
      <c r="I84" s="2" t="inlineStr">
        <is>
          <t>Management chooses between reinvestment, acquisitions, debt repayment, dividends, buybacks, and retaining cash. Judge the results relative to risk and available alternatives.</t>
        </is>
      </c>
      <c r="J84" s="2" t="inlineStr">
        <is>
          <t>Compare the likely value created by each use of funds. A larger company or higher EPS does not necessarily mean better allocation.</t>
        </is>
      </c>
      <c r="K84" s="2" t="inlineStr">
        <is>
          <t>Buybacks can destroy value when shares are overpriced or liquidity is needed. Acquisition growth can conceal poor returns.</t>
        </is>
      </c>
      <c r="L84" s="2" t="inlineStr">
        <is>
          <t>Cash flow statement, acquisition notes, shareholder letters, and proxy disclosures.</t>
        </is>
      </c>
      <c r="M84" s="2" t="inlineStr">
        <is>
          <t>incremental-roic, management-incentives, opportunity-cost, dilution, fcfe, capex-efficiency, profitable-growth</t>
        </is>
      </c>
      <c r="N84" s="2" t="inlineStr"/>
    </row>
    <row r="85" ht="42" customHeight="1">
      <c r="A85" s="2" t="inlineStr">
        <is>
          <t>value-trap</t>
        </is>
      </c>
      <c r="B85" s="2" t="inlineStr">
        <is>
          <t>Value Trap</t>
        </is>
      </c>
      <c r="C85" s="2" t="inlineStr">
        <is>
          <t>מלכודת ערך</t>
        </is>
      </c>
      <c r="D85" s="2" t="inlineStr">
        <is>
          <t>value-investing</t>
        </is>
      </c>
      <c r="E85" s="2" t="inlineStr">
        <is>
          <t>Discussed in steps 5</t>
        </is>
      </c>
      <c r="F85" s="2" t="inlineStr"/>
      <c r="G85" s="2" t="inlineStr"/>
      <c r="H85" s="2" t="inlineStr">
        <is>
          <t>Not a single numerical formula</t>
        </is>
      </c>
      <c r="I85" s="2" t="inlineStr">
        <is>
          <t>A stock can look cheap on past profits or recorded assets while earning power, asset recoverability, or shareholder value deteriorates. The apparent discount may never have represented true value.</t>
        </is>
      </c>
      <c r="J85" s="2" t="inlineStr">
        <is>
          <t>Investigate why the price is low. Separate temporary setbacks from lasting damage, and identify evidence that would disprove your recovery assumptions.</t>
        </is>
      </c>
      <c r="K85" s="2" t="inlineStr">
        <is>
          <t>A missing catalyst or a long period of undervaluation alone does not establish a value trap. A catalyst also cannot repair weak economics by itself.</t>
        </is>
      </c>
      <c r="L85" s="2" t="inlineStr">
        <is>
          <t>Multi-year statements, competitive evidence, and your thesis review.</t>
        </is>
      </c>
      <c r="M85" s="2" t="inlineStr">
        <is>
          <t>catalysts, normalized-earnings, maintenance-capex, invalidation, margin-of-safety, permanent-capital-loss, liquidation-value, ncav</t>
        </is>
      </c>
      <c r="N85" s="2" t="inlineStr"/>
    </row>
    <row r="86" ht="42" customHeight="1">
      <c r="A86" s="2" t="inlineStr">
        <is>
          <t>incremental-roic</t>
        </is>
      </c>
      <c r="B86" s="2" t="inlineStr">
        <is>
          <t>Incremental ROIC</t>
        </is>
      </c>
      <c r="C86" s="2" t="inlineStr">
        <is>
          <t>תשואה על הון מושקע נוסף</t>
        </is>
      </c>
      <c r="D86" s="2" t="inlineStr">
        <is>
          <t>value-investing</t>
        </is>
      </c>
      <c r="E86" s="2" t="inlineStr">
        <is>
          <t>1 calculated records; Discussed in steps 2</t>
        </is>
      </c>
      <c r="F86" s="2" t="inlineStr">
        <is>
          <t>incremental-roic-5</t>
        </is>
      </c>
      <c r="G86" s="2" t="inlineStr"/>
      <c r="H86" s="2" t="inlineStr">
        <is>
          <t>Incremental ROIC ≈ Change in NOPAT / Change in Invested Capital</t>
        </is>
      </c>
      <c r="I86" s="2" t="inlineStr">
        <is>
          <t>Estimate how effectively a business turns new investment into additional after-tax operating profit. Use periods long enough for the investment to produce results.</t>
        </is>
      </c>
      <c r="J86" s="2" t="inlineStr">
        <is>
          <t>Compare incremental returns with the cost of capital. High returns on old assets do not prove new projects will earn similar returns.</t>
        </is>
      </c>
      <c r="K86" s="2" t="inlineStr">
        <is>
          <t>Acquisitions, inflation, timing, and write-downs distort the calculation. A near-zero or negative capital change makes the ratio hard to interpret.</t>
        </is>
      </c>
      <c r="L86" s="2" t="inlineStr">
        <is>
          <t>Comparable statements across several periods.</t>
        </is>
      </c>
      <c r="M86" s="2" t="inlineStr">
        <is>
          <t>roic, wacc, capital-allocation, reverse-dcf, capex-efficiency, profitable-growth</t>
        </is>
      </c>
      <c r="N86" s="2" t="inlineStr"/>
    </row>
    <row r="87" ht="42" customHeight="1">
      <c r="A87" s="2" t="inlineStr">
        <is>
          <t>reverse-dcf</t>
        </is>
      </c>
      <c r="B87" s="2" t="inlineStr">
        <is>
          <t>Reverse DCF</t>
        </is>
      </c>
      <c r="C87" s="2" t="inlineStr">
        <is>
          <t>היוון תזרימים הפוך</t>
        </is>
      </c>
      <c r="D87" s="2" t="inlineStr">
        <is>
          <t>value-investing</t>
        </is>
      </c>
      <c r="E87" s="2" t="inlineStr">
        <is>
          <t>2 calculated records; Discussed in steps 4</t>
        </is>
      </c>
      <c r="F87" s="2" t="inlineStr">
        <is>
          <t>reverse-dcf-growth, reverse-dcf-revenue</t>
        </is>
      </c>
      <c r="G87" s="2" t="inlineStr"/>
      <c r="H87" s="2" t="inlineStr">
        <is>
          <t>Not a single numerical formula</t>
        </is>
      </c>
      <c r="I87" s="2" t="inlineStr">
        <is>
          <t>Start with market value and solve for an assumption, such as revenue growth, that makes the discounted cash flows match it. Hold other assumptions explicit.</t>
        </is>
      </c>
      <c r="J87" s="2" t="inlineStr">
        <is>
          <t>Ask whether the required growth, margins, and reinvestment are plausible. Repeat with different discount rates and terminal assumptions. Test required Revenue Growth, Operating Margin and Free Cash Flow while explicitly fixing Terminal Growth, reinvestment and ROIC assumptions. Change one assumption at a time; many combinations can support the same value.</t>
        </is>
      </c>
      <c r="K87" s="2" t="inlineStr">
        <is>
          <t>Many combinations can explain one price. The implied growth rate is conditional, not an observable market forecast.</t>
        </is>
      </c>
      <c r="L87" s="2" t="inlineStr">
        <is>
          <t>Your DCF model and current market capitalization, debt, and cash.</t>
        </is>
      </c>
      <c r="M87" s="2" t="inlineStr">
        <is>
          <t>dcf-intro, sensitivity, incremental-roic, embedded-expectations</t>
        </is>
      </c>
      <c r="N87" s="2" t="inlineStr">
        <is>
          <t>Traditional DCF:  Assumptions → Estimated Fair Value   Reverse DCF:  Current Market Value → Required Future Performance    Interactive Reverse DCF calculator — planned  Reserved for a future single-assumption solver. No automatic solution is calculated here yet.  Explore assumptions in the existing DCF calculator</t>
        </is>
      </c>
    </row>
    <row r="88" ht="42" customHeight="1">
      <c r="A88" s="2" t="inlineStr">
        <is>
          <t>interest-coverage</t>
        </is>
      </c>
      <c r="B88" s="2" t="inlineStr">
        <is>
          <t>Interest Coverage</t>
        </is>
      </c>
      <c r="C88" s="2" t="inlineStr">
        <is>
          <t>כיסוי ריבית</t>
        </is>
      </c>
      <c r="D88" s="2" t="inlineStr">
        <is>
          <t>value-investing</t>
        </is>
      </c>
      <c r="E88" s="2" t="inlineStr">
        <is>
          <t>10 calculated records; Discussed in steps 1</t>
        </is>
      </c>
      <c r="F88" s="2" t="inlineStr">
        <is>
          <t>interest-coverage</t>
        </is>
      </c>
      <c r="G88" s="2" t="inlineStr"/>
      <c r="H88" s="2" t="inlineStr">
        <is>
          <t>Interest Coverage = EBIT / Interest Expense</t>
        </is>
      </c>
      <c r="I88" s="2" t="inlineStr">
        <is>
          <t>A common measure compares EBIT with interest expense to assess the earnings available to cover financing costs.</t>
        </is>
      </c>
      <c r="J88" s="2" t="inlineStr">
        <is>
          <t>Test coverage under weaker earnings and higher borrowing costs. This ratio does not show whether the principal can be repaid.</t>
        </is>
      </c>
      <c r="K88" s="2" t="inlineStr">
        <is>
          <t>Zero interest expense makes this ratio undefined. Negative EBIT indicates earnings do not cover interest. EBITDA-based coverage is a different measure.</t>
        </is>
      </c>
      <c r="L88" s="2" t="inlineStr">
        <is>
          <t>Income statement and interest/debt notes.</t>
        </is>
      </c>
      <c r="M88" s="2" t="inlineStr">
        <is>
          <t>refinancing-risk, debt-ebitda, fcf</t>
        </is>
      </c>
      <c r="N88" s="2" t="inlineStr"/>
    </row>
    <row r="89" ht="42" customHeight="1">
      <c r="A89" s="2" t="inlineStr">
        <is>
          <t>refinancing-risk</t>
        </is>
      </c>
      <c r="B89" s="2" t="inlineStr">
        <is>
          <t>Refinancing Risk</t>
        </is>
      </c>
      <c r="C89" s="2" t="inlineStr">
        <is>
          <t>סיכון מימון מחדש</t>
        </is>
      </c>
      <c r="D89" s="2" t="inlineStr">
        <is>
          <t>value-investing</t>
        </is>
      </c>
      <c r="E89" s="2" t="inlineStr">
        <is>
          <t>10 calculated records; Discussed in steps 1</t>
        </is>
      </c>
      <c r="F89" s="2" t="inlineStr">
        <is>
          <t>debt-due-3y</t>
        </is>
      </c>
      <c r="G89" s="2" t="inlineStr"/>
      <c r="H89" s="2" t="inlineStr">
        <is>
          <t>Not a single numerical formula</t>
        </is>
      </c>
      <c r="I89" s="2" t="inlineStr">
        <is>
          <t>A company may need a new loan or bond issue when existing debt matures. New funding may be unavailable, more expensive, or subject to tighter conditions.</t>
        </is>
      </c>
      <c r="J89" s="2" t="inlineStr">
        <is>
          <t>Map maturities against available liquidity, realistic cash generation, and committed credit facilities. Examine covenants and collateral.</t>
        </is>
      </c>
      <c r="K89" s="2" t="inlineStr">
        <is>
          <t>Undrawn facilities can have conditions. Restricted cash and optimistic asset-sale proceeds may not be available when needed.</t>
        </is>
      </c>
      <c r="L89" s="2" t="inlineStr">
        <is>
          <t>Debt footnotes, liquidity disclosures, and credit agreements.</t>
        </is>
      </c>
      <c r="M89" s="2" t="inlineStr">
        <is>
          <t>interest-coverage, net-debt, permanent-capital-loss</t>
        </is>
      </c>
      <c r="N89" s="2" t="inlineStr"/>
    </row>
    <row r="90" ht="42" customHeight="1">
      <c r="A90" s="2" t="inlineStr">
        <is>
          <t>earnings-quality</t>
        </is>
      </c>
      <c r="B90" s="2" t="inlineStr">
        <is>
          <t>Earnings Quality</t>
        </is>
      </c>
      <c r="C90" s="2" t="inlineStr">
        <is>
          <t>איכות הרווחים</t>
        </is>
      </c>
      <c r="D90" s="2" t="inlineStr">
        <is>
          <t>value-investing</t>
        </is>
      </c>
      <c r="E90" s="2" t="inlineStr">
        <is>
          <t>10 calculated records; Discussed in steps 1</t>
        </is>
      </c>
      <c r="F90" s="2" t="inlineStr">
        <is>
          <t>earnings-quality</t>
        </is>
      </c>
      <c r="G90" s="2" t="inlineStr"/>
      <c r="H90" s="2" t="inlineStr">
        <is>
          <t>Not a single numerical formula</t>
        </is>
      </c>
      <c r="I90" s="2" t="inlineStr">
        <is>
          <t>Assess whether profits depend on sustainable operations or on temporary events, estimates, and aggressive accounting. Reconcile profit with cash generation over time.</t>
        </is>
      </c>
      <c r="J90" s="2" t="inlineStr">
        <is>
          <t>Look for evidence in revenue recognition, capitalization policies, reserves, and repeated adjustments. A warning signal starts an investigation; it is not proof of misconduct.</t>
        </is>
      </c>
      <c r="K90" s="2" t="inlineStr">
        <is>
          <t>High operating cash flow can come from delayed supplier payments or customer prepayments. Cash conversion alone does not establish earnings quality.</t>
        </is>
      </c>
      <c r="L90" s="2" t="inlineStr">
        <is>
          <t>Accounting policies, financial statements, and reconciliation notes.</t>
        </is>
      </c>
      <c r="M90" s="2" t="inlineStr">
        <is>
          <t>normalized-earnings, profit-vs-cash, working-capital, management-incentives</t>
        </is>
      </c>
      <c r="N90" s="2" t="inlineStr"/>
    </row>
    <row r="91" ht="42" customHeight="1">
      <c r="A91" s="2" t="inlineStr">
        <is>
          <t>fcff</t>
        </is>
      </c>
      <c r="B91" s="2" t="inlineStr">
        <is>
          <t>Free Cash Flow to the Firm</t>
        </is>
      </c>
      <c r="C91" s="2" t="inlineStr">
        <is>
          <t>תזרים מזומנים חופשי לפירמה</t>
        </is>
      </c>
      <c r="D91" s="2" t="inlineStr">
        <is>
          <t>value-investing</t>
        </is>
      </c>
      <c r="E91" s="2" t="inlineStr">
        <is>
          <t>13 calculated records; Discussed in steps 0, 4</t>
        </is>
      </c>
      <c r="F91" s="2" t="inlineStr">
        <is>
          <t>fcff, normalized-fcff-annual, ttm-fcff, normalized-fcff-ttm</t>
        </is>
      </c>
      <c r="G91" s="2" t="inlineStr"/>
      <c r="H91" s="2" t="inlineStr">
        <is>
          <t>FCFF = EBIT × (1 − Tax Rate) + D&amp;A − CapEx − Increase in Non-cash Operating Working Capital</t>
        </is>
      </c>
      <c r="I91" s="2" t="inlineStr">
        <is>
          <t>Cash available to debt and equity providers together. An operating approach starts with after-tax operating profit and deducts reinvestment.</t>
        </is>
      </c>
      <c r="J91" s="2" t="inlineStr">
        <is>
          <t>Discount FCFF at WACC to estimate operating business value. Then account for cash, debt, and other non-operating assets or claims to reach equity value.</t>
        </is>
      </c>
      <c r="K91" s="2" t="inlineStr">
        <is>
          <t>Reported OCF minus CapEx is not automatically FCFF because interest treatment can differ. This simplified formula assumes no other adjustments.</t>
        </is>
      </c>
      <c r="L91" s="2" t="inlineStr">
        <is>
          <t>Operating forecasts and financial-statement adjustments.</t>
        </is>
      </c>
      <c r="M91" s="2" t="inlineStr">
        <is>
          <t>fcfe, nopat, dcf-ev, dcf-intro, wacc</t>
        </is>
      </c>
      <c r="N91" s="2" t="inlineStr"/>
    </row>
    <row r="92" ht="42" customHeight="1">
      <c r="A92" s="2" t="inlineStr">
        <is>
          <t>fcfe</t>
        </is>
      </c>
      <c r="B92" s="2" t="inlineStr">
        <is>
          <t>Free Cash Flow to Equity</t>
        </is>
      </c>
      <c r="C92" s="2" t="inlineStr">
        <is>
          <t>תזרים מזומנים חופשי להון העצמי</t>
        </is>
      </c>
      <c r="D92" s="2" t="inlineStr">
        <is>
          <t>value-investing</t>
        </is>
      </c>
      <c r="E92" s="2" t="inlineStr">
        <is>
          <t>10 calculated records</t>
        </is>
      </c>
      <c r="F92" s="2" t="inlineStr">
        <is>
          <t>fcfe</t>
        </is>
      </c>
      <c r="G92" s="2" t="inlineStr"/>
      <c r="H92" s="2" t="inlineStr">
        <is>
          <t>FCFE = Net Income + D&amp;A − CapEx − Increase in Non-cash Operating Working Capital + Net Borrowing</t>
        </is>
      </c>
      <c r="I92" s="2" t="inlineStr">
        <is>
          <t>Start with earnings after interest and taxes, adjust for reinvestment, and include borrowing less principal repayments.</t>
        </is>
      </c>
      <c r="J92" s="2" t="inlineStr">
        <is>
          <t>Discount FCFE at the cost of equity to value the equity claim directly. Do not subtract debt again from that equity valuation.</t>
        </is>
      </c>
      <c r="K92" s="2" t="inlineStr">
        <is>
          <t>Match cash flows and discount rates. Adjust separately for omitted non-operating assets and other claims; avoid counting them twice.</t>
        </is>
      </c>
      <c r="L92" s="2" t="inlineStr">
        <is>
          <t>Equity cash-flow forecasts and financing schedules.</t>
        </is>
      </c>
      <c r="M92" s="2" t="inlineStr">
        <is>
          <t>cost-of-equity, fcff, discount-rate, capital-allocation, dcf-intro, dcf-ev</t>
        </is>
      </c>
      <c r="N92" s="2" t="inlineStr"/>
    </row>
    <row r="93" ht="42" customHeight="1">
      <c r="A93" s="2" t="inlineStr">
        <is>
          <t>circle-of-competence</t>
        </is>
      </c>
      <c r="B93" s="2" t="inlineStr">
        <is>
          <t>Circle of Competence</t>
        </is>
      </c>
      <c r="C93" s="2" t="inlineStr">
        <is>
          <t>מעגל היכולת</t>
        </is>
      </c>
      <c r="D93" s="2" t="inlineStr">
        <is>
          <t>value-investing</t>
        </is>
      </c>
      <c r="E93" s="2" t="inlineStr">
        <is>
          <t>Discussed in steps 1</t>
        </is>
      </c>
      <c r="F93" s="2" t="inlineStr"/>
      <c r="G93" s="2" t="inlineStr"/>
      <c r="H93" s="2" t="inlineStr">
        <is>
          <t>Not a single numerical formula</t>
        </is>
      </c>
      <c r="I93" s="2" t="inlineStr">
        <is>
          <t>Define where you understand how a business earns money, what can damage it, and which assumptions you can assess. Recognize the limits of that knowledge.</t>
        </is>
      </c>
      <c r="J93" s="2" t="inlineStr">
        <is>
          <t>Write down what you know, what you infer, and what you cannot assess. Expand your knowledge through evidence rather than familiarity alone.</t>
        </is>
      </c>
      <c r="K93" s="2" t="inlineStr">
        <is>
          <t>Using a product or knowing an industry’s vocabulary does not establish valuation competence.</t>
        </is>
      </c>
      <c r="L93" s="2" t="inlineStr">
        <is>
          <t>Your research notes and decision checklist.</t>
        </is>
      </c>
      <c r="M93" s="2" t="inlineStr">
        <is>
          <t>business-model, risk-factors, invalidation</t>
        </is>
      </c>
      <c r="N93" s="2" t="inlineStr"/>
    </row>
    <row r="94" ht="42" customHeight="1">
      <c r="A94" s="2" t="inlineStr">
        <is>
          <t>permanent-capital-loss</t>
        </is>
      </c>
      <c r="B94" s="2" t="inlineStr">
        <is>
          <t>Permanent Capital Loss</t>
        </is>
      </c>
      <c r="C94" s="2" t="inlineStr">
        <is>
          <t>אובדן הון קבוע</t>
        </is>
      </c>
      <c r="D94" s="2" t="inlineStr">
        <is>
          <t>value-investing</t>
        </is>
      </c>
      <c r="E94" s="2" t="inlineStr">
        <is>
          <t>Discussed in steps 1</t>
        </is>
      </c>
      <c r="F94" s="2" t="inlineStr"/>
      <c r="G94" s="2" t="inlineStr"/>
      <c r="H94" s="2" t="inlineStr">
        <is>
          <t>Not a single numerical formula</t>
        </is>
      </c>
      <c r="I94" s="2" t="inlineStr">
        <is>
          <t>Business failure, lasting economic damage, severe dilution, or paying too much can leave an investment unable to recover its original purchasing power.</t>
        </is>
      </c>
      <c r="J94" s="2" t="inlineStr">
        <is>
          <t>Analyze how the investment could fail economically. A share-price decline may signal that risk, but does not by itself prove permanent damage.</t>
        </is>
      </c>
      <c r="K94" s="2" t="inlineStr">
        <is>
          <t>Low price volatility does not establish safety. Forced selling can turn a temporary decline into a realized loss.</t>
        </is>
      </c>
      <c r="L94" s="2" t="inlineStr">
        <is>
          <t>Scenario analysis and portfolio liquidity planning.</t>
        </is>
      </c>
      <c r="M94" s="2" t="inlineStr">
        <is>
          <t>margin-of-safety, refinancing-risk, value-trap</t>
        </is>
      </c>
      <c r="N94" s="2" t="inlineStr"/>
    </row>
    <row r="95" ht="42" customHeight="1">
      <c r="A95" s="2" t="inlineStr">
        <is>
          <t>opportunity-cost</t>
        </is>
      </c>
      <c r="B95" s="2" t="inlineStr">
        <is>
          <t>Opportunity Cost</t>
        </is>
      </c>
      <c r="C95" s="2" t="inlineStr">
        <is>
          <t>עלות אלטרנטיבית</t>
        </is>
      </c>
      <c r="D95" s="2" t="inlineStr">
        <is>
          <t>value-investing</t>
        </is>
      </c>
      <c r="E95" s="2" t="inlineStr">
        <is>
          <t>No direct company-specific mapping; use handbook guidance and add your own evidence.</t>
        </is>
      </c>
      <c r="F95" s="2" t="inlineStr"/>
      <c r="G95" s="2" t="inlineStr"/>
      <c r="H95" s="2" t="inlineStr">
        <is>
          <t>Not a single numerical formula</t>
        </is>
      </c>
      <c r="I95" s="2" t="inlineStr">
        <is>
          <t>Compare an investment with realistic alternatives, including retaining liquidity. Consider risk, time, taxes, and confidence in the estimates. Capital invested in one company cannot simultaneously be invested elsewhere. The opportunity cost of capital reflects alternatives with comparable risk.</t>
        </is>
      </c>
      <c r="J95" s="2" t="inlineStr">
        <is>
          <t>An investment can appear undervalued yet be less attractive than another available use of funds.</t>
        </is>
      </c>
      <c r="K95" s="2" t="inlineStr">
        <is>
          <t>Forecast precision is limited. Switching also has transaction costs and possible taxes.</t>
        </is>
      </c>
      <c r="L95" s="2" t="inlineStr">
        <is>
          <t>Your investment comparisons and management allocation decisions.</t>
        </is>
      </c>
      <c r="M95" s="2" t="inlineStr">
        <is>
          <t>capital-allocation, discount-rate, margin-of-safety, time-value-money, required-return, wacc, growth-vs-valuation</t>
        </is>
      </c>
      <c r="N95" s="2" t="inlineStr"/>
    </row>
    <row r="96" ht="42" customHeight="1">
      <c r="A96" s="2" t="inlineStr">
        <is>
          <t>management-incentives</t>
        </is>
      </c>
      <c r="B96" s="2" t="inlineStr">
        <is>
          <t>Management Incentives</t>
        </is>
      </c>
      <c r="C96" s="2" t="inlineStr">
        <is>
          <t>תמריצי הנהלה</t>
        </is>
      </c>
      <c r="D96" s="2" t="inlineStr">
        <is>
          <t>value-investing</t>
        </is>
      </c>
      <c r="E96" s="2" t="inlineStr">
        <is>
          <t>1 text facts; Discussed in steps 3</t>
        </is>
      </c>
      <c r="F96" s="2" t="inlineStr"/>
      <c r="G96" s="2" t="inlineStr">
        <is>
          <t>ceo_variable_pay_share</t>
        </is>
      </c>
      <c r="H96" s="2" t="inlineStr">
        <is>
          <t>Not a single numerical formula</t>
        </is>
      </c>
      <c r="I96" s="2" t="inlineStr">
        <is>
          <t>Examine what managers are rewarded for and whether those rewards support lasting per-share value. Review targets, vesting periods, ownership, and governance.</t>
        </is>
      </c>
      <c r="J96" s="2" t="inlineStr">
        <is>
          <t>Compare stated priorities with actual pay formulas and capital allocation. Consider minority shareholders as well as controlling owners.</t>
        </is>
      </c>
      <c r="K96" s="2" t="inlineStr">
        <is>
          <t>Large insider ownership can align interests but can also entrench control. Adjusted performance metrics may exclude real costs.</t>
        </is>
      </c>
      <c r="L96" s="2" t="inlineStr">
        <is>
          <t>Proxy statements, remuneration reports, and ownership disclosures.</t>
        </is>
      </c>
      <c r="M96" s="2" t="inlineStr">
        <is>
          <t>capital-allocation, dilution, earnings-quality</t>
        </is>
      </c>
      <c r="N96" s="2" t="inlineStr"/>
    </row>
    <row r="97" ht="42" customHeight="1">
      <c r="A97" s="2" t="inlineStr">
        <is>
          <t>tangible-book-value</t>
        </is>
      </c>
      <c r="B97" s="2" t="inlineStr">
        <is>
          <t>Tangible Book Value</t>
        </is>
      </c>
      <c r="C97" s="2" t="inlineStr">
        <is>
          <t>הון עצמי מוחשי</t>
        </is>
      </c>
      <c r="D97" s="2" t="inlineStr">
        <is>
          <t>value-investing</t>
        </is>
      </c>
      <c r="E97" s="2" t="inlineStr">
        <is>
          <t>11 calculated records; Discussed in steps 4</t>
        </is>
      </c>
      <c r="F97" s="2" t="inlineStr">
        <is>
          <t>tangible-book-value, tbv-per-share</t>
        </is>
      </c>
      <c r="G97" s="2" t="inlineStr"/>
      <c r="H97" s="2" t="inlineStr">
        <is>
          <t>Common Tangible Book Value = Total Equity − Preferred Equity − Goodwill − Other Intangible Assets</t>
        </is>
      </c>
      <c r="I97" s="2" t="inlineStr">
        <is>
          <t>A balance-sheet measure that removes recorded goodwill and other intangibles from equity. For a common-share measure, also exclude preferred equity.</t>
        </is>
      </c>
      <c r="J97" s="2" t="inlineStr">
        <is>
          <t>This can help assess some asset-heavy businesses and financial institutions. It does not measure the full economic value of a franchise.</t>
        </is>
      </c>
      <c r="K97" s="2" t="inlineStr">
        <is>
          <t>Tangible book value is not liquidation value. Recorded assets may require write-downs, and liabilities or disposal costs may exceed expectations.</t>
        </is>
      </c>
      <c r="L97" s="2" t="inlineStr">
        <is>
          <t>Balance sheet and goodwill, intangible-asset, and equity notes.</t>
        </is>
      </c>
      <c r="M97" s="2" t="inlineStr">
        <is>
          <t>book-value, liquidation-value, ncav</t>
        </is>
      </c>
      <c r="N97" s="2" t="inlineStr"/>
    </row>
    <row r="98" ht="42" customHeight="1">
      <c r="A98" s="2" t="inlineStr">
        <is>
          <t>liquidation-value</t>
        </is>
      </c>
      <c r="B98" s="2" t="inlineStr">
        <is>
          <t>Liquidation Value</t>
        </is>
      </c>
      <c r="C98" s="2" t="inlineStr">
        <is>
          <t>שווי פירוק</t>
        </is>
      </c>
      <c r="D98" s="2" t="inlineStr">
        <is>
          <t>value-investing</t>
        </is>
      </c>
      <c r="E98" s="2" t="inlineStr">
        <is>
          <t>No direct company-specific mapping; use handbook guidance and add your own evidence.</t>
        </is>
      </c>
      <c r="F98" s="2" t="inlineStr"/>
      <c r="G98" s="2" t="inlineStr"/>
      <c r="H98" s="2" t="inlineStr">
        <is>
          <t>Common Equity Liquidation Value ≈ Asset Sale Proceeds − Liabilities − Preferred Claims − Closure Costs</t>
        </is>
      </c>
      <c r="I98" s="2" t="inlineStr">
        <is>
          <t>Estimate realizable asset proceeds, then deduct liabilities, senior claims, and closure costs. Distinguish orderly sales from distressed sales.</t>
        </is>
      </c>
      <c r="J98" s="2" t="inlineStr">
        <is>
          <t>Use asset-specific recovery assumptions and allow for the time needed to sell assets. Investigate taxes, leases, pensions, and other obligations.</t>
        </is>
      </c>
      <c r="K98" s="2" t="inlineStr">
        <is>
          <t>Book values are not sale prices. Operating losses can consume assets while shareholders wait, and closure costs are uncertain.</t>
        </is>
      </c>
      <c r="L98" s="2" t="inlineStr">
        <is>
          <t>Asset notes, claim schedules, appraisals, and wind-down estimates.</t>
        </is>
      </c>
      <c r="M98" s="2" t="inlineStr">
        <is>
          <t>tangible-book-value, ncav, value-trap</t>
        </is>
      </c>
      <c r="N98" s="2" t="inlineStr"/>
    </row>
    <row r="99" ht="42" customHeight="1">
      <c r="A99" s="2" t="inlineStr">
        <is>
          <t>ncav</t>
        </is>
      </c>
      <c r="B99" s="2" t="inlineStr">
        <is>
          <t>Net Current Asset Value</t>
        </is>
      </c>
      <c r="C99" s="2" t="inlineStr">
        <is>
          <t>ערך נכסים שוטפים נטו</t>
        </is>
      </c>
      <c r="D99" s="2" t="inlineStr">
        <is>
          <t>value-investing</t>
        </is>
      </c>
      <c r="E99" s="2" t="inlineStr">
        <is>
          <t>11 calculated records; Discussed in steps 4</t>
        </is>
      </c>
      <c r="F99" s="2" t="inlineStr">
        <is>
          <t>ncav, ncav-per-share</t>
        </is>
      </c>
      <c r="G99" s="2" t="inlineStr"/>
      <c r="H99" s="2" t="inlineStr">
        <is>
          <t>Common NCAV = Current Assets − Total Liabilities − Preferred Equity</t>
        </is>
      </c>
      <c r="I99" s="2" t="inlineStr">
        <is>
          <t>A conservative asset-screening measure that excludes long-term assets but deducts all liabilities. A stock below this measure is often called a net-net candidate.</t>
        </is>
      </c>
      <c r="J99" s="2" t="inlineStr">
        <is>
          <t>Compare the measure with market capitalization, then examine asset recoverability and cash consumption. It is a research screen, not a purchase rule.</t>
        </is>
      </c>
      <c r="K99" s="2" t="inlineStr">
        <is>
          <t>Subtract all liabilities, not only current liabilities. NCAV can disappear through losses, poor allocation, or unrecoverable assets.</t>
        </is>
      </c>
      <c r="L99" s="2" t="inlineStr">
        <is>
          <t>Balance sheet and asset-quality notes.</t>
        </is>
      </c>
      <c r="M99" s="2" t="inlineStr">
        <is>
          <t>current-assets, liabilities, liquidation-value, value-trap, tangible-book-value</t>
        </is>
      </c>
      <c r="N99" s="2" t="inlineStr"/>
    </row>
    <row r="100" ht="42" customHeight="1">
      <c r="A100" s="2" t="inlineStr">
        <is>
          <t>price-sales</t>
        </is>
      </c>
      <c r="B100" s="2" t="inlineStr">
        <is>
          <t>Price-to-Sales</t>
        </is>
      </c>
      <c r="C100" s="2" t="inlineStr">
        <is>
          <t>מכפיל מכירות</t>
        </is>
      </c>
      <c r="D100" s="2" t="inlineStr">
        <is>
          <t>valuation</t>
        </is>
      </c>
      <c r="E100" s="2" t="inlineStr">
        <is>
          <t>No direct company-specific mapping; use handbook guidance and add your own evidence. Supplemental editable formula in Workbench: Price / sales (not part of imported metrics).</t>
        </is>
      </c>
      <c r="F100" s="2" t="inlineStr"/>
      <c r="G100" s="2" t="inlineStr"/>
      <c r="H100" s="2" t="inlineStr">
        <is>
          <t>P/S = Market Cap / Revenue</t>
        </is>
      </c>
      <c r="I100" s="2" t="inlineStr">
        <is>
          <t>Equity market value per dollar of revenue. Useful when earnings are negative or temporarily depressed.</t>
        </is>
      </c>
      <c r="J100" s="2" t="inlineStr">
        <is>
          <t>Compare the same revenue period and similar businesses. Two companies with identical P/S can deserve very different valuations because margins, reinvestment and risk differ.</t>
        </is>
      </c>
      <c r="K100" s="2" t="inlineStr">
        <is>
          <t>Does not account for debt or tell you whether sales are profitable. A low multiple is not proof of cheapness.</t>
        </is>
      </c>
      <c r="L100" s="2" t="inlineStr"/>
      <c r="M100" s="2" t="inlineStr">
        <is>
          <t>market-cap, ev-revenue, embedded-expectations</t>
        </is>
      </c>
      <c r="N100" s="2" t="inlineStr"/>
    </row>
    <row r="101" ht="42" customHeight="1">
      <c r="A101" s="2" t="inlineStr">
        <is>
          <t>ev-revenue</t>
        </is>
      </c>
      <c r="B101" s="2" t="inlineStr">
        <is>
          <t>EV / Revenue</t>
        </is>
      </c>
      <c r="C101" s="2" t="inlineStr">
        <is>
          <t>מכפיל שווי פעילות להכנסות</t>
        </is>
      </c>
      <c r="D101" s="2" t="inlineStr">
        <is>
          <t>valuation</t>
        </is>
      </c>
      <c r="E101" s="2" t="inlineStr">
        <is>
          <t>No direct company-specific mapping; use handbook guidance and add your own evidence. Supplemental editable formula in Workbench: EV / revenue (not part of imported metrics).</t>
        </is>
      </c>
      <c r="F101" s="2" t="inlineStr"/>
      <c r="G101" s="2" t="inlineStr"/>
      <c r="H101" s="2" t="inlineStr">
        <is>
          <t>EV / Revenue = Enterprise Value / Revenue</t>
        </is>
      </c>
      <c r="I101" s="2" t="inlineStr">
        <is>
          <t>Operating business value per dollar of revenue. Includes the cash/debt bridge, making comparisons across capital structures more useful than P/S alone.</t>
        </is>
      </c>
      <c r="J101" s="2" t="inlineStr">
        <is>
          <t>Use consistent revenue periods. Consider Revenue Growth, Gross Margin, Operating Margin, expected future margins, capital intensity, Free Cash Flow potential, ROIC, competitive advantage and risk.</t>
        </is>
      </c>
      <c r="K101" s="2" t="inlineStr">
        <is>
          <t>A multiple is not a valuation by itself. A high multiple does not automatically mean expensive; a low multiple does not automatically mean cheap.</t>
        </is>
      </c>
      <c r="L101" s="2" t="inlineStr"/>
      <c r="M101" s="2" t="inlineStr">
        <is>
          <t>enterprise-value, price-sales, gross-margin, operating-margin, capex-efficiency, fcf, roic, moat, embedded-expectations</t>
        </is>
      </c>
      <c r="N101" s="2" t="inlineStr">
        <is>
          <t>A multiple is not a valuation by itself.</t>
        </is>
      </c>
    </row>
    <row r="102" ht="42" customHeight="1">
      <c r="A102" s="2" t="inlineStr">
        <is>
          <t>profitable-growth</t>
        </is>
      </c>
      <c r="B102" s="2" t="inlineStr">
        <is>
          <t>Profitable Growth</t>
        </is>
      </c>
      <c r="C102" s="2" t="inlineStr">
        <is>
          <t>צמיחה רווחית</t>
        </is>
      </c>
      <c r="D102" s="2" t="inlineStr">
        <is>
          <t>business</t>
        </is>
      </c>
      <c r="E102" s="2" t="inlineStr">
        <is>
          <t>No direct company-specific mapping; use handbook guidance and add your own evidence.</t>
        </is>
      </c>
      <c r="F102" s="2" t="inlineStr"/>
      <c r="G102" s="2" t="inlineStr"/>
      <c r="H102" s="2" t="inlineStr">
        <is>
          <t>Not a single numerical formula</t>
        </is>
      </c>
      <c r="I102" s="2" t="inlineStr">
        <is>
          <t>Revenue Growth measures expansion in sales; Profitable Growth asks whether that expansion creates economic value.</t>
        </is>
      </c>
      <c r="J102" s="2" t="inlineStr">
        <is>
          <t>Ask: Is Revenue growing? Is Gross Margin stable or improving? Is Operating Margin improving? Is Free Cash Flow improving? Is ROIC improving?</t>
        </is>
      </c>
      <c r="K102" s="2" t="inlineStr">
        <is>
          <t>Growth alone does not create shareholder value if it permanently destroys capital. Improving ROIC is not sufficient if returns remain below the cost of capital.</t>
        </is>
      </c>
      <c r="L102" s="2" t="inlineStr"/>
      <c r="M102" s="2" t="inlineStr">
        <is>
          <t>revenue, gross-margin, operating-margin, fcf, roic, wacc, capex, invested-capital, incremental-roic, capital-allocation, dcf-intro</t>
        </is>
      </c>
      <c r="N102" s="2" t="inlineStr">
        <is>
          <t>Growth does not automatically create shareholder value.  Growth + ROIC &gt; WACC → Potential value creation.  Growth + ROIC &lt; WACC → Potential value destruction.  For new growth, test incremental ROIC: rapid Revenue Growth can destroy value when new investment earns less than its Cost of Capital.</t>
        </is>
      </c>
    </row>
    <row r="103" ht="42" customHeight="1">
      <c r="A103" s="2" t="inlineStr">
        <is>
          <t>operating-margin-trend</t>
        </is>
      </c>
      <c r="B103" s="2" t="inlineStr">
        <is>
          <t>Operating Margin Trend</t>
        </is>
      </c>
      <c r="C103" s="2" t="inlineStr">
        <is>
          <t>מגמת הרווחיות התפעולית</t>
        </is>
      </c>
      <c r="D103" s="2" t="inlineStr">
        <is>
          <t>margins</t>
        </is>
      </c>
      <c r="E103" s="2" t="inlineStr">
        <is>
          <t>No direct company-specific mapping; use handbook guidance and add your own evidence.</t>
        </is>
      </c>
      <c r="F103" s="2" t="inlineStr"/>
      <c r="G103" s="2" t="inlineStr"/>
      <c r="H103" s="2" t="inlineStr">
        <is>
          <t>Operating Margin = Operating Income / Revenue</t>
        </is>
      </c>
      <c r="I103" s="2" t="inlineStr">
        <is>
          <t>The direction and durability of operating profitability across periods, not just today’s margin.</t>
        </is>
      </c>
      <c r="J103" s="2" t="inlineStr">
        <is>
          <t>Compare quarter-over-quarter, year-over-year and multi-year trends. This reveals whether an early-stage or high-growth company is approaching a sustainable profit model.</t>
        </is>
      </c>
      <c r="K103" s="2" t="inlineStr">
        <is>
          <t>Control for seasonality, acquisitions, one-off costs and accounting changes. An improving loss is progress, not proof of future profitability.</t>
        </is>
      </c>
      <c r="L103" s="2" t="inlineStr"/>
      <c r="M103" s="2" t="inlineStr">
        <is>
          <t>operating-margin, operating-leverage, normalized-earnings</t>
        </is>
      </c>
      <c r="N103" s="2" t="inlineStr">
        <is>
          <t>Operating Loss  Smaller Operating Loss  Operating Breakeven  Positive Operating Margin  Operating Margin Expansion</t>
        </is>
      </c>
    </row>
    <row r="104" ht="42" customHeight="1">
      <c r="A104" s="2" t="inlineStr">
        <is>
          <t>backlog</t>
        </is>
      </c>
      <c r="B104" s="2" t="inlineStr">
        <is>
          <t>Backlog</t>
        </is>
      </c>
      <c r="C104" s="2" t="inlineStr">
        <is>
          <t>צבר הזמנות</t>
        </is>
      </c>
      <c r="D104" s="2" t="inlineStr">
        <is>
          <t>business</t>
        </is>
      </c>
      <c r="E104" s="2" t="inlineStr">
        <is>
          <t>No direct company-specific mapping; use handbook guidance and add your own evidence.</t>
        </is>
      </c>
      <c r="F104" s="2" t="inlineStr"/>
      <c r="G104" s="2" t="inlineStr"/>
      <c r="H104" s="2" t="inlineStr">
        <is>
          <t>Not a single numerical formula</t>
        </is>
      </c>
      <c r="I104" s="2" t="inlineStr">
        <is>
          <t>Contracted future business that has not yet been recognized as Revenue. Reported definitions vary by company.</t>
        </is>
      </c>
      <c r="J104" s="2" t="inlineStr">
        <is>
          <t>Examine backlog growth, expected recognition period, cancellation risk, customer concentration, contract profitability and conversion into Revenue.</t>
        </is>
      </c>
      <c r="K104" s="2" t="inlineStr">
        <is>
          <t>Backlog ≠ Revenue. Backlog ≠ Profit. Backlog ≠ Cash Flow. Options, funding conditions and cancellations can change reported totals.</t>
        </is>
      </c>
      <c r="L104" s="2" t="inlineStr"/>
      <c r="M104" s="2" t="inlineStr">
        <is>
          <t>backlog-quality, contracted-sales, revenue-recognition, revenue, deferred-revenue</t>
        </is>
      </c>
      <c r="N104" s="2" t="inlineStr"/>
    </row>
    <row r="105" ht="42" customHeight="1">
      <c r="A105" s="2" t="inlineStr">
        <is>
          <t>backlog-quality</t>
        </is>
      </c>
      <c r="B105" s="2" t="inlineStr">
        <is>
          <t>Backlog Quality</t>
        </is>
      </c>
      <c r="C105" s="2" t="inlineStr">
        <is>
          <t>איכות צבר ההזמנות</t>
        </is>
      </c>
      <c r="D105" s="2" t="inlineStr">
        <is>
          <t>business</t>
        </is>
      </c>
      <c r="E105" s="2" t="inlineStr">
        <is>
          <t>No direct company-specific mapping; use handbook guidance and add your own evidence.</t>
        </is>
      </c>
      <c r="F105" s="2" t="inlineStr"/>
      <c r="G105" s="2" t="inlineStr"/>
      <c r="H105" s="2" t="inlineStr">
        <is>
          <t>Not a single numerical formula</t>
        </is>
      </c>
      <c r="I105" s="2" t="inlineStr">
        <is>
          <t>The likelihood that contracted business converts into profitable revenue and collectible cash.</t>
        </is>
      </c>
      <c r="J105" s="2" t="inlineStr">
        <is>
          <t>A large backlog is valuable only if the company can fulfill it profitably. Favor credible customers, realistic delivery schedules and sustainable contract margins.</t>
        </is>
      </c>
      <c r="K105" s="2" t="inlineStr">
        <is>
          <t>Size alone hides cancellation rights, concentration, fixed-price cost overruns and execution constraints.</t>
        </is>
      </c>
      <c r="L105" s="2" t="inlineStr"/>
      <c r="M105" s="2" t="inlineStr">
        <is>
          <t>backlog, customer-concentration, gross-margin, fcf</t>
        </is>
      </c>
      <c r="N105" s="2" t="inlineStr"/>
    </row>
    <row r="106" ht="42" customHeight="1">
      <c r="A106" s="2" t="inlineStr">
        <is>
          <t>deferred-revenue</t>
        </is>
      </c>
      <c r="B106" s="2" t="inlineStr">
        <is>
          <t>Deferred Revenue</t>
        </is>
      </c>
      <c r="C106" s="2" t="inlineStr">
        <is>
          <t>הכנסות נדחות</t>
        </is>
      </c>
      <c r="D106" s="2" t="inlineStr">
        <is>
          <t>balance</t>
        </is>
      </c>
      <c r="E106" s="2" t="inlineStr">
        <is>
          <t>No direct company-specific mapping; use handbook guidance and add your own evidence.</t>
        </is>
      </c>
      <c r="F106" s="2" t="inlineStr"/>
      <c r="G106" s="2" t="inlineStr"/>
      <c r="H106" s="2" t="inlineStr">
        <is>
          <t>Not a single numerical formula</t>
        </is>
      </c>
      <c r="I106" s="2" t="inlineStr">
        <is>
          <t>A contract liability generally arising when payment is received, or becomes due, before the related goods or services are transferred.</t>
        </is>
      </c>
      <c r="J106" s="2" t="inlineStr">
        <is>
          <t>Customer prepayments can finance operations. Unlike Backlog, Deferred Revenue reflects advance consideration received or due for unfulfilled performance; definitions and overlap must be checked in the notes.</t>
        </is>
      </c>
      <c r="K106" s="2" t="inlineStr">
        <is>
          <t>Billing is not necessarily cash collection. Do not add Deferred Revenue to Backlog if it is already included in the reported Backlog.</t>
        </is>
      </c>
      <c r="L106" s="2" t="inlineStr"/>
      <c r="M106" s="2" t="inlineStr">
        <is>
          <t>backlog, contracted-sales, revenue-recognition, liabilities, ocf</t>
        </is>
      </c>
      <c r="N106" s="2" t="inlineStr">
        <is>
          <t>Illustrative prepaid service:   Customer pays  Cash received  Deferred Revenue liability  Product/service delivered  Revenue recognized</t>
        </is>
      </c>
    </row>
    <row r="107" ht="42" customHeight="1">
      <c r="A107" s="2" t="inlineStr">
        <is>
          <t>contracted-sales</t>
        </is>
      </c>
      <c r="B107" s="2" t="inlineStr">
        <is>
          <t>Contracted Sales</t>
        </is>
      </c>
      <c r="C107" s="2" t="inlineStr">
        <is>
          <t>מכירות בחוזים חתומים</t>
        </is>
      </c>
      <c r="D107" s="2" t="inlineStr">
        <is>
          <t>business</t>
        </is>
      </c>
      <c r="E107" s="2" t="inlineStr">
        <is>
          <t>No direct company-specific mapping; use handbook guidance and add your own evidence.</t>
        </is>
      </c>
      <c r="F107" s="2" t="inlineStr"/>
      <c r="G107" s="2" t="inlineStr"/>
      <c r="H107" s="2" t="inlineStr">
        <is>
          <t>Not a single numerical formula</t>
        </is>
      </c>
      <c r="I107" s="2" t="inlineStr">
        <is>
          <t>Sales value announced under signed agreements, often covering several future periods. It is not a standardized substitute for recognized revenue.</t>
        </is>
      </c>
      <c r="J107" s="2" t="inlineStr">
        <is>
          <t>Read contract duration, enforceability, cancellation clauses, delivery obligations and collection terms. Distinguish each stage in the comparison below.</t>
        </is>
      </c>
      <c r="K107" s="2" t="inlineStr">
        <is>
          <t>A press release announcing billions in signed contracts does not mean billions in Revenue were generated during that period. Do not sum overlapping contract metrics.</t>
        </is>
      </c>
      <c r="L107" s="2" t="inlineStr"/>
      <c r="M107" s="2" t="inlineStr">
        <is>
          <t>backlog, deferred-revenue, revenue-recognition, cash</t>
        </is>
      </c>
      <c r="N107" s="2" t="inlineStr">
        <is>
          <t>Contracted Sales  Signed agreement value; may span years.    Backlog  Contracted business not yet recognized as Revenue.    Deferred Revenue  Advance consideration received or due before performance.    Recognized Revenue  Goods/services transferred under accounting rules.    Cash Received  Actual collection; can precede or follow recognition.</t>
        </is>
      </c>
    </row>
    <row r="108" ht="42" customHeight="1">
      <c r="A108" s="2" t="inlineStr">
        <is>
          <t>revenue-recognition</t>
        </is>
      </c>
      <c r="B108" s="2" t="inlineStr">
        <is>
          <t>Revenue Recognition</t>
        </is>
      </c>
      <c r="C108" s="2" t="inlineStr">
        <is>
          <t>הכרה בהכנסה</t>
        </is>
      </c>
      <c r="D108" s="2" t="inlineStr">
        <is>
          <t>income</t>
        </is>
      </c>
      <c r="E108" s="2" t="inlineStr">
        <is>
          <t>No direct company-specific mapping; use handbook guidance and add your own evidence.</t>
        </is>
      </c>
      <c r="F108" s="2" t="inlineStr"/>
      <c r="G108" s="2" t="inlineStr"/>
      <c r="H108" s="2" t="inlineStr">
        <is>
          <t>Not a single numerical formula</t>
        </is>
      </c>
      <c r="I108" s="2" t="inlineStr">
        <is>
          <t>Revenue is recorded as promised goods or services are transferred to the customer—at a point in time or over time as performance obligations are satisfied.</t>
        </is>
      </c>
      <c r="J108" s="2" t="inlineStr">
        <is>
          <t>An order signals demand; a contract sets obligations; cash collection records payment. Recognition follows delivery/performance under the accounting rules, not simply the signature or payment date.</t>
        </is>
      </c>
      <c r="K108" s="2" t="inlineStr">
        <is>
          <t>Orders can be cancelled and cash can arrive before or after Revenue. Use accounting policies and contract notes to understand timing.</t>
        </is>
      </c>
      <c r="L108" s="2" t="inlineStr"/>
      <c r="M108" s="2" t="inlineStr">
        <is>
          <t>revenue, contracted-sales, backlog, deferred-revenue, receivables</t>
        </is>
      </c>
      <c r="N108" s="2" t="inlineStr"/>
    </row>
    <row r="109" ht="42" customHeight="1">
      <c r="A109" s="2" t="inlineStr">
        <is>
          <t>capex-efficiency</t>
        </is>
      </c>
      <c r="B109" s="2" t="inlineStr">
        <is>
          <t>CapEx Efficiency</t>
        </is>
      </c>
      <c r="C109" s="2" t="inlineStr">
        <is>
          <t>יעילות השקעות הוניות</t>
        </is>
      </c>
      <c r="D109" s="2" t="inlineStr">
        <is>
          <t>efficiency</t>
        </is>
      </c>
      <c r="E109" s="2" t="inlineStr">
        <is>
          <t>No direct company-specific mapping; use handbook guidance and add your own evidence.</t>
        </is>
      </c>
      <c r="F109" s="2" t="inlineStr"/>
      <c r="G109" s="2" t="inlineStr"/>
      <c r="H109" s="2" t="inlineStr">
        <is>
          <t>Not a single numerical formula</t>
        </is>
      </c>
      <c r="I109" s="2" t="inlineStr">
        <is>
          <t>How effectively capital spending produces future economic returns. Falling CapEx is not automatically good; rising CapEx is not automatically bad.</t>
        </is>
      </c>
      <c r="J109" s="2" t="inlineStr">
        <is>
          <t>What economic return is the company generating from incremental capital investment? Connect spending to capacity, Revenue, Operating Leverage, Free Cash Flow and ROIC.</t>
        </is>
      </c>
      <c r="K109" s="2" t="inlineStr">
        <is>
          <t>Compare investment cohorts over appropriate lags. The examples are signals to investigate, not causal proof. Falling spending can reflect underinvestment; high growth can require substantial reinvestment.</t>
        </is>
      </c>
      <c r="L109" s="2" t="inlineStr"/>
      <c r="M109" s="2" t="inlineStr">
        <is>
          <t>capex, maintenance-capex, fcf, roic, incremental-roic, operating-leverage, capital-allocation, ev-revenue</t>
        </is>
      </c>
      <c r="N109" s="2" t="inlineStr"/>
    </row>
    <row r="110" ht="42" customHeight="1">
      <c r="A110" s="2" t="inlineStr">
        <is>
          <t>embedded-expectations</t>
        </is>
      </c>
      <c r="B110" s="2" t="inlineStr">
        <is>
          <t>Embedded Expectations</t>
        </is>
      </c>
      <c r="C110" s="2" t="inlineStr">
        <is>
          <t>הציפיות הגלומות במחיר</t>
        </is>
      </c>
      <c r="D110" s="2" t="inlineStr">
        <is>
          <t>valuation</t>
        </is>
      </c>
      <c r="E110" s="2" t="inlineStr">
        <is>
          <t>No direct company-specific mapping; use handbook guidance and add your own evidence.</t>
        </is>
      </c>
      <c r="F110" s="2" t="inlineStr"/>
      <c r="G110" s="2" t="inlineStr"/>
      <c r="H110" s="2" t="inlineStr">
        <is>
          <t>Not a single numerical formula</t>
        </is>
      </c>
      <c r="I110" s="2" t="inlineStr">
        <is>
          <t>Today’s stock price already reflects expectations about future performance.</t>
        </is>
      </c>
      <c r="J110" s="2" t="inlineStr">
        <is>
          <t>What must happen for today’s valuation to make sense? Test Revenue Growth, future Operating Margin, Free Cash Flow Margin, ROIC, market share, Total Addressable Market and the duration of high growth.</t>
        </is>
      </c>
      <c r="K110" s="2" t="inlineStr">
        <is>
          <t>A great company can still be a poor investment if the market price assumes an unrealistically successful future. Price alone cannot uniquely identify all implied assumptions.</t>
        </is>
      </c>
      <c r="L110" s="2" t="inlineStr"/>
      <c r="M110" s="2" t="inlineStr">
        <is>
          <t>growth-vs-valuation, reverse-dcf, sensitivity, fcf-margin, roic, market-share, tam, price-sales, ev-revenue</t>
        </is>
      </c>
      <c r="N110" s="2" t="inlineStr"/>
    </row>
  </sheetData>
  <autoFilter ref="A1:N11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G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72" customWidth="1" min="3" max="3"/>
    <col width="35" customWidth="1" min="4" max="4"/>
    <col width="60" customWidth="1" min="5" max="5"/>
    <col width="85" customWidth="1" min="6" max="6"/>
    <col width="75" customWidth="1" min="7" max="7"/>
  </cols>
  <sheetData>
    <row r="1" ht="32" customHeight="1">
      <c r="A1" s="1" t="inlineStr">
        <is>
          <t>Card ID</t>
        </is>
      </c>
      <c r="B1" s="1" t="inlineStr">
        <is>
          <t>Card title</t>
        </is>
      </c>
      <c r="C1" s="1" t="inlineStr">
        <is>
          <t>Available AVGO evidence</t>
        </is>
      </c>
      <c r="D1" s="1" t="inlineStr">
        <is>
          <t>My value / estimate</t>
        </is>
      </c>
      <c r="E1" s="1" t="inlineStr">
        <is>
          <t>My source</t>
        </is>
      </c>
      <c r="F1" s="1" t="inlineStr">
        <is>
          <t>My interpretation</t>
        </is>
      </c>
      <c r="G1" s="1" t="inlineStr">
        <is>
          <t>What would change my view</t>
        </is>
      </c>
    </row>
    <row r="2" ht="42" customHeight="1">
      <c r="A2" s="2" t="inlineStr">
        <is>
          <t>business-model</t>
        </is>
      </c>
      <c r="B2" s="2" t="inlineStr">
        <is>
          <t>Business Model</t>
        </is>
      </c>
      <c r="C2" s="2" t="inlineStr">
        <is>
          <t>No direct company-specific mapping; use handbook guidance and add your own evidence.</t>
        </is>
      </c>
      <c r="D2" s="9" t="inlineStr"/>
      <c r="E2" s="9" t="inlineStr"/>
      <c r="F2" s="9" t="inlineStr"/>
      <c r="G2" s="9" t="inlineStr"/>
    </row>
    <row r="3" ht="42" customHeight="1">
      <c r="A3" s="2" t="inlineStr">
        <is>
          <t>revenue-model</t>
        </is>
      </c>
      <c r="B3" s="2" t="inlineStr">
        <is>
          <t>Revenue Model</t>
        </is>
      </c>
      <c r="C3" s="2" t="inlineStr">
        <is>
          <t>No direct company-specific mapping; use handbook guidance and add your own evidence.</t>
        </is>
      </c>
      <c r="D3" s="9" t="inlineStr"/>
      <c r="E3" s="9" t="inlineStr"/>
      <c r="F3" s="9" t="inlineStr"/>
      <c r="G3" s="9" t="inlineStr"/>
    </row>
    <row r="4" ht="42" customHeight="1">
      <c r="A4" s="2" t="inlineStr">
        <is>
          <t>segments</t>
        </is>
      </c>
      <c r="B4" s="2" t="inlineStr">
        <is>
          <t>Business Segments</t>
        </is>
      </c>
      <c r="C4" s="2" t="inlineStr">
        <is>
          <t>8 text facts; Discussed in steps 0, 4</t>
        </is>
      </c>
      <c r="D4" s="9" t="inlineStr"/>
      <c r="E4" s="9" t="inlineStr"/>
      <c r="F4" s="9" t="inlineStr"/>
      <c r="G4" s="9" t="inlineStr"/>
    </row>
    <row r="5" ht="42" customHeight="1">
      <c r="A5" s="2" t="inlineStr">
        <is>
          <t>revenue-mix</t>
        </is>
      </c>
      <c r="B5" s="2" t="inlineStr">
        <is>
          <t>Revenue Mix</t>
        </is>
      </c>
      <c r="C5" s="2" t="inlineStr">
        <is>
          <t>No direct company-specific mapping; use handbook guidance and add your own evidence.</t>
        </is>
      </c>
      <c r="D5" s="9" t="inlineStr"/>
      <c r="E5" s="9" t="inlineStr"/>
      <c r="F5" s="9" t="inlineStr"/>
      <c r="G5" s="9" t="inlineStr"/>
    </row>
    <row r="6" ht="42" customHeight="1">
      <c r="A6" s="2" t="inlineStr">
        <is>
          <t>growth-drivers</t>
        </is>
      </c>
      <c r="B6" s="2" t="inlineStr">
        <is>
          <t>Growth Drivers</t>
        </is>
      </c>
      <c r="C6" s="2" t="inlineStr">
        <is>
          <t>No direct company-specific mapping; use handbook guidance and add your own evidence.</t>
        </is>
      </c>
      <c r="D6" s="9" t="inlineStr"/>
      <c r="E6" s="9" t="inlineStr"/>
      <c r="F6" s="9" t="inlineStr"/>
      <c r="G6" s="9" t="inlineStr"/>
    </row>
    <row r="7" ht="42" customHeight="1">
      <c r="A7" s="2" t="inlineStr">
        <is>
          <t>competitive-advantage</t>
        </is>
      </c>
      <c r="B7" s="2" t="inlineStr">
        <is>
          <t>Competitive Advantage</t>
        </is>
      </c>
      <c r="C7" s="2" t="inlineStr">
        <is>
          <t>No direct company-specific mapping; use handbook guidance and add your own evidence.</t>
        </is>
      </c>
      <c r="D7" s="9" t="inlineStr"/>
      <c r="E7" s="9" t="inlineStr"/>
      <c r="F7" s="9" t="inlineStr"/>
      <c r="G7" s="9" t="inlineStr"/>
    </row>
    <row r="8" ht="42" customHeight="1">
      <c r="A8" s="2" t="inlineStr">
        <is>
          <t>moat</t>
        </is>
      </c>
      <c r="B8" s="2" t="inlineStr">
        <is>
          <t>Economic Moat</t>
        </is>
      </c>
      <c r="C8" s="2" t="inlineStr">
        <is>
          <t>Discussed in steps 2</t>
        </is>
      </c>
      <c r="D8" s="9" t="inlineStr"/>
      <c r="E8" s="9" t="inlineStr"/>
      <c r="F8" s="9" t="inlineStr"/>
      <c r="G8" s="9" t="inlineStr"/>
    </row>
    <row r="9" ht="42" customHeight="1">
      <c r="A9" s="2" t="inlineStr">
        <is>
          <t>market-share</t>
        </is>
      </c>
      <c r="B9" s="2" t="inlineStr">
        <is>
          <t>Market Share</t>
        </is>
      </c>
      <c r="C9" s="2" t="inlineStr">
        <is>
          <t>No direct company-specific mapping; use handbook guidance and add your own evidence.</t>
        </is>
      </c>
      <c r="D9" s="9" t="inlineStr"/>
      <c r="E9" s="9" t="inlineStr"/>
      <c r="F9" s="9" t="inlineStr"/>
      <c r="G9" s="9" t="inlineStr"/>
    </row>
    <row r="10" ht="42" customHeight="1">
      <c r="A10" s="2" t="inlineStr">
        <is>
          <t>tam</t>
        </is>
      </c>
      <c r="B10" s="2" t="inlineStr">
        <is>
          <t>TAM</t>
        </is>
      </c>
      <c r="C10" s="2" t="inlineStr">
        <is>
          <t>No direct company-specific mapping; use handbook guidance and add your own evidence.</t>
        </is>
      </c>
      <c r="D10" s="9" t="inlineStr"/>
      <c r="E10" s="9" t="inlineStr"/>
      <c r="F10" s="9" t="inlineStr"/>
      <c r="G10" s="9" t="inlineStr"/>
    </row>
    <row r="11" ht="42" customHeight="1">
      <c r="A11" s="2" t="inlineStr">
        <is>
          <t>competition</t>
        </is>
      </c>
      <c r="B11" s="2" t="inlineStr">
        <is>
          <t>Competition</t>
        </is>
      </c>
      <c r="C11" s="2" t="inlineStr">
        <is>
          <t>No direct company-specific mapping; use handbook guidance and add your own evidence.</t>
        </is>
      </c>
      <c r="D11" s="9" t="inlineStr"/>
      <c r="E11" s="9" t="inlineStr"/>
      <c r="F11" s="9" t="inlineStr"/>
      <c r="G11" s="9" t="inlineStr"/>
    </row>
    <row r="12" ht="42" customHeight="1">
      <c r="A12" s="2" t="inlineStr">
        <is>
          <t>customer-concentration</t>
        </is>
      </c>
      <c r="B12" s="2" t="inlineStr">
        <is>
          <t>Customer Concentration</t>
        </is>
      </c>
      <c r="C12" s="2" t="inlineStr">
        <is>
          <t>3 text facts; Discussed in steps 2</t>
        </is>
      </c>
      <c r="D12" s="9" t="inlineStr"/>
      <c r="E12" s="9" t="inlineStr"/>
      <c r="F12" s="9" t="inlineStr"/>
      <c r="G12" s="9" t="inlineStr"/>
    </row>
    <row r="13" ht="42" customHeight="1">
      <c r="A13" s="2" t="inlineStr">
        <is>
          <t>cyclicality</t>
        </is>
      </c>
      <c r="B13" s="2" t="inlineStr">
        <is>
          <t>Cyclicality</t>
        </is>
      </c>
      <c r="C13" s="2" t="inlineStr">
        <is>
          <t>Discussed in steps 2</t>
        </is>
      </c>
      <c r="D13" s="9" t="inlineStr"/>
      <c r="E13" s="9" t="inlineStr"/>
      <c r="F13" s="9" t="inlineStr"/>
      <c r="G13" s="9" t="inlineStr"/>
    </row>
    <row r="14" ht="42" customHeight="1">
      <c r="A14" s="2" t="inlineStr">
        <is>
          <t>catalysts</t>
        </is>
      </c>
      <c r="B14" s="2" t="inlineStr">
        <is>
          <t>Catalysts</t>
        </is>
      </c>
      <c r="C14" s="2" t="inlineStr">
        <is>
          <t>No direct company-specific mapping; use handbook guidance and add your own evidence.</t>
        </is>
      </c>
      <c r="D14" s="9" t="inlineStr"/>
      <c r="E14" s="9" t="inlineStr"/>
      <c r="F14" s="9" t="inlineStr"/>
      <c r="G14" s="9" t="inlineStr"/>
    </row>
    <row r="15" ht="42" customHeight="1">
      <c r="A15" s="2" t="inlineStr">
        <is>
          <t>risk-factors</t>
        </is>
      </c>
      <c r="B15" s="2" t="inlineStr">
        <is>
          <t>Risk Factors</t>
        </is>
      </c>
      <c r="C15" s="2" t="inlineStr">
        <is>
          <t>No direct company-specific mapping; use handbook guidance and add your own evidence.</t>
        </is>
      </c>
      <c r="D15" s="9" t="inlineStr"/>
      <c r="E15" s="9" t="inlineStr"/>
      <c r="F15" s="9" t="inlineStr"/>
      <c r="G15" s="9" t="inlineStr"/>
    </row>
    <row r="16" ht="42" customHeight="1">
      <c r="A16" s="2" t="inlineStr">
        <is>
          <t>revenue</t>
        </is>
      </c>
      <c r="B16" s="2" t="inlineStr">
        <is>
          <t>Revenue</t>
        </is>
      </c>
      <c r="C16" s="2" t="inlineStr">
        <is>
          <t>13 calculated records; 11 reported records (includes unavailable rows)</t>
        </is>
      </c>
      <c r="D16" s="9" t="inlineStr"/>
      <c r="E16" s="9" t="inlineStr"/>
      <c r="F16" s="9" t="inlineStr"/>
      <c r="G16" s="9" t="inlineStr"/>
    </row>
    <row r="17" ht="42" customHeight="1">
      <c r="A17" s="2" t="inlineStr">
        <is>
          <t>cogs</t>
        </is>
      </c>
      <c r="B17" s="2" t="inlineStr">
        <is>
          <t>Cost of Revenue</t>
        </is>
      </c>
      <c r="C17" s="2" t="inlineStr">
        <is>
          <t>11 reported records (includes unavailable rows)</t>
        </is>
      </c>
      <c r="D17" s="9" t="inlineStr"/>
      <c r="E17" s="9" t="inlineStr"/>
      <c r="F17" s="9" t="inlineStr"/>
      <c r="G17" s="9" t="inlineStr"/>
    </row>
    <row r="18" ht="42" customHeight="1">
      <c r="A18" s="2" t="inlineStr">
        <is>
          <t>gross-profit</t>
        </is>
      </c>
      <c r="B18" s="2" t="inlineStr">
        <is>
          <t>Gross Profit</t>
        </is>
      </c>
      <c r="C18" s="2" t="inlineStr">
        <is>
          <t>11 reported records (includes unavailable rows)</t>
        </is>
      </c>
      <c r="D18" s="9" t="inlineStr"/>
      <c r="E18" s="9" t="inlineStr"/>
      <c r="F18" s="9" t="inlineStr"/>
      <c r="G18" s="9" t="inlineStr"/>
    </row>
    <row r="19" ht="42" customHeight="1">
      <c r="A19" s="2" t="inlineStr">
        <is>
          <t>opex</t>
        </is>
      </c>
      <c r="B19" s="2" t="inlineStr">
        <is>
          <t>Operating Expenses</t>
        </is>
      </c>
      <c r="C19" s="2" t="inlineStr">
        <is>
          <t>22 reported records (includes unavailable rows)</t>
        </is>
      </c>
      <c r="D19" s="9" t="inlineStr"/>
      <c r="E19" s="9" t="inlineStr"/>
      <c r="F19" s="9" t="inlineStr"/>
      <c r="G19" s="9" t="inlineStr"/>
    </row>
    <row r="20" ht="42" customHeight="1">
      <c r="A20" s="2" t="inlineStr">
        <is>
          <t>operating-income</t>
        </is>
      </c>
      <c r="B20" s="2" t="inlineStr">
        <is>
          <t>Operating Income</t>
        </is>
      </c>
      <c r="C20" s="2" t="inlineStr">
        <is>
          <t>11 reported records (includes unavailable rows)</t>
        </is>
      </c>
      <c r="D20" s="9" t="inlineStr"/>
      <c r="E20" s="9" t="inlineStr"/>
      <c r="F20" s="9" t="inlineStr"/>
      <c r="G20" s="9" t="inlineStr"/>
    </row>
    <row r="21" ht="42" customHeight="1">
      <c r="A21" s="2" t="inlineStr">
        <is>
          <t>net-income</t>
        </is>
      </c>
      <c r="B21" s="2" t="inlineStr">
        <is>
          <t>Net Income</t>
        </is>
      </c>
      <c r="C21" s="2" t="inlineStr">
        <is>
          <t>1 calculated records; 11 reported records (includes unavailable rows)</t>
        </is>
      </c>
      <c r="D21" s="9" t="inlineStr"/>
      <c r="E21" s="9" t="inlineStr"/>
      <c r="F21" s="9" t="inlineStr"/>
      <c r="G21" s="9" t="inlineStr"/>
    </row>
    <row r="22" ht="42" customHeight="1">
      <c r="A22" s="2" t="inlineStr">
        <is>
          <t>gross-margin</t>
        </is>
      </c>
      <c r="B22" s="2" t="inlineStr">
        <is>
          <t>Gross Margin</t>
        </is>
      </c>
      <c r="C22" s="2" t="inlineStr">
        <is>
          <t>10 calculated records; Discussed in steps 2</t>
        </is>
      </c>
      <c r="D22" s="9" t="inlineStr"/>
      <c r="E22" s="9" t="inlineStr"/>
      <c r="F22" s="9" t="inlineStr"/>
      <c r="G22" s="9" t="inlineStr"/>
    </row>
    <row r="23" ht="42" customHeight="1">
      <c r="A23" s="2" t="inlineStr">
        <is>
          <t>operating-margin</t>
        </is>
      </c>
      <c r="B23" s="2" t="inlineStr">
        <is>
          <t>Operating Margin</t>
        </is>
      </c>
      <c r="C23" s="2" t="inlineStr">
        <is>
          <t>10 calculated records; Discussed in steps 2</t>
        </is>
      </c>
      <c r="D23" s="9" t="inlineStr"/>
      <c r="E23" s="9" t="inlineStr"/>
      <c r="F23" s="9" t="inlineStr"/>
      <c r="G23" s="9" t="inlineStr"/>
    </row>
    <row r="24" ht="42" customHeight="1">
      <c r="A24" s="2" t="inlineStr">
        <is>
          <t>operating-leverage</t>
        </is>
      </c>
      <c r="B24" s="2" t="inlineStr">
        <is>
          <t>Operating Leverage</t>
        </is>
      </c>
      <c r="C24" s="2" t="inlineStr">
        <is>
          <t>No direct company-specific mapping; use handbook guidance and add your own evidence.</t>
        </is>
      </c>
      <c r="D24" s="9" t="inlineStr"/>
      <c r="E24" s="9" t="inlineStr"/>
      <c r="F24" s="9" t="inlineStr"/>
      <c r="G24" s="9" t="inlineStr"/>
    </row>
    <row r="25" ht="42" customHeight="1">
      <c r="A25" s="2" t="inlineStr">
        <is>
          <t>net-margin</t>
        </is>
      </c>
      <c r="B25" s="2" t="inlineStr">
        <is>
          <t>Net Profit Margin</t>
        </is>
      </c>
      <c r="C25" s="2" t="inlineStr">
        <is>
          <t>10 calculated records</t>
        </is>
      </c>
      <c r="D25" s="9" t="inlineStr"/>
      <c r="E25" s="9" t="inlineStr"/>
      <c r="F25" s="9" t="inlineStr"/>
      <c r="G25" s="9" t="inlineStr"/>
    </row>
    <row r="26" ht="42" customHeight="1">
      <c r="A26" s="2" t="inlineStr">
        <is>
          <t>profit-vs-cash</t>
        </is>
      </c>
      <c r="B26" s="2" t="inlineStr">
        <is>
          <t>PROFIT ≠ CASH</t>
        </is>
      </c>
      <c r="C26" s="2" t="inlineStr">
        <is>
          <t>No direct company-specific mapping; use handbook guidance and add your own evidence.</t>
        </is>
      </c>
      <c r="D26" s="9" t="inlineStr"/>
      <c r="E26" s="9" t="inlineStr"/>
      <c r="F26" s="9" t="inlineStr"/>
      <c r="G26" s="9" t="inlineStr"/>
    </row>
    <row r="27" ht="42" customHeight="1">
      <c r="A27" s="2" t="inlineStr">
        <is>
          <t>working-capital</t>
        </is>
      </c>
      <c r="B27" s="2" t="inlineStr">
        <is>
          <t>Working Capital</t>
        </is>
      </c>
      <c r="C27" s="2" t="inlineStr">
        <is>
          <t>No direct company-specific mapping; use handbook guidance and add your own evidence.</t>
        </is>
      </c>
      <c r="D27" s="9" t="inlineStr"/>
      <c r="E27" s="9" t="inlineStr"/>
      <c r="F27" s="9" t="inlineStr"/>
      <c r="G27" s="9" t="inlineStr"/>
    </row>
    <row r="28" ht="42" customHeight="1">
      <c r="A28" s="2" t="inlineStr">
        <is>
          <t>cfs</t>
        </is>
      </c>
      <c r="B28" s="2" t="inlineStr">
        <is>
          <t>Cash Flow Statement</t>
        </is>
      </c>
      <c r="C28" s="2" t="inlineStr">
        <is>
          <t>No direct company-specific mapping; use handbook guidance and add your own evidence.</t>
        </is>
      </c>
      <c r="D28" s="9" t="inlineStr"/>
      <c r="E28" s="9" t="inlineStr"/>
      <c r="F28" s="9" t="inlineStr"/>
      <c r="G28" s="9" t="inlineStr"/>
    </row>
    <row r="29" ht="42" customHeight="1">
      <c r="A29" s="2" t="inlineStr">
        <is>
          <t>ocf</t>
        </is>
      </c>
      <c r="B29" s="2" t="inlineStr">
        <is>
          <t>Operating Cash Flow</t>
        </is>
      </c>
      <c r="C29" s="2" t="inlineStr">
        <is>
          <t>11 reported records (includes unavailable rows)</t>
        </is>
      </c>
      <c r="D29" s="9" t="inlineStr"/>
      <c r="E29" s="9" t="inlineStr"/>
      <c r="F29" s="9" t="inlineStr"/>
      <c r="G29" s="9" t="inlineStr"/>
    </row>
    <row r="30" ht="42" customHeight="1">
      <c r="A30" s="2" t="inlineStr">
        <is>
          <t>capex</t>
        </is>
      </c>
      <c r="B30" s="2" t="inlineStr">
        <is>
          <t>CapEx</t>
        </is>
      </c>
      <c r="C30" s="2" t="inlineStr">
        <is>
          <t>11 reported records (includes unavailable rows)</t>
        </is>
      </c>
      <c r="D30" s="9" t="inlineStr"/>
      <c r="E30" s="9" t="inlineStr"/>
      <c r="F30" s="9" t="inlineStr"/>
      <c r="G30" s="9" t="inlineStr"/>
    </row>
    <row r="31" ht="42" customHeight="1">
      <c r="A31" s="2" t="inlineStr">
        <is>
          <t>fcf</t>
        </is>
      </c>
      <c r="B31" s="2" t="inlineStr">
        <is>
          <t>Free Cash Flow</t>
        </is>
      </c>
      <c r="C31" s="2" t="inlineStr">
        <is>
          <t>11 calculated records</t>
        </is>
      </c>
      <c r="D31" s="9" t="inlineStr"/>
      <c r="E31" s="9" t="inlineStr"/>
      <c r="F31" s="9" t="inlineStr"/>
      <c r="G31" s="9" t="inlineStr"/>
    </row>
    <row r="32" ht="42" customHeight="1">
      <c r="A32" s="2" t="inlineStr">
        <is>
          <t>fcf-margin</t>
        </is>
      </c>
      <c r="B32" s="2" t="inlineStr">
        <is>
          <t>FCF Margin</t>
        </is>
      </c>
      <c r="C32" s="2" t="inlineStr">
        <is>
          <t>11 calculated records</t>
        </is>
      </c>
      <c r="D32" s="9" t="inlineStr"/>
      <c r="E32" s="9" t="inlineStr"/>
      <c r="F32" s="9" t="inlineStr"/>
      <c r="G32" s="9" t="inlineStr"/>
    </row>
    <row r="33" ht="42" customHeight="1">
      <c r="A33" s="2" t="inlineStr">
        <is>
          <t>assets</t>
        </is>
      </c>
      <c r="B33" s="2" t="inlineStr">
        <is>
          <t>Assets</t>
        </is>
      </c>
      <c r="C33" s="2" t="inlineStr">
        <is>
          <t>13 reported records (includes unavailable rows)</t>
        </is>
      </c>
      <c r="D33" s="9" t="inlineStr"/>
      <c r="E33" s="9" t="inlineStr"/>
      <c r="F33" s="9" t="inlineStr"/>
      <c r="G33" s="9" t="inlineStr"/>
    </row>
    <row r="34" ht="42" customHeight="1">
      <c r="A34" s="2" t="inlineStr">
        <is>
          <t>current-assets</t>
        </is>
      </c>
      <c r="B34" s="2" t="inlineStr">
        <is>
          <t>Current Assets</t>
        </is>
      </c>
      <c r="C34" s="2" t="inlineStr">
        <is>
          <t>13 reported records (includes unavailable rows)</t>
        </is>
      </c>
      <c r="D34" s="9" t="inlineStr"/>
      <c r="E34" s="9" t="inlineStr"/>
      <c r="F34" s="9" t="inlineStr"/>
      <c r="G34" s="9" t="inlineStr"/>
    </row>
    <row r="35" ht="42" customHeight="1">
      <c r="A35" s="2" t="inlineStr">
        <is>
          <t>cash</t>
        </is>
      </c>
      <c r="B35" s="2" t="inlineStr">
        <is>
          <t>Cash &amp; Cash Equivalents</t>
        </is>
      </c>
      <c r="C35" s="2" t="inlineStr">
        <is>
          <t>13 reported records (includes unavailable rows)</t>
        </is>
      </c>
      <c r="D35" s="9" t="inlineStr"/>
      <c r="E35" s="9" t="inlineStr"/>
      <c r="F35" s="9" t="inlineStr"/>
      <c r="G35" s="9" t="inlineStr"/>
    </row>
    <row r="36" ht="42" customHeight="1">
      <c r="A36" s="2" t="inlineStr">
        <is>
          <t>receivables</t>
        </is>
      </c>
      <c r="B36" s="2" t="inlineStr">
        <is>
          <t>Accounts Receivable</t>
        </is>
      </c>
      <c r="C36" s="2" t="inlineStr">
        <is>
          <t>13 reported records (includes unavailable rows); Discussed in steps 1</t>
        </is>
      </c>
      <c r="D36" s="9" t="inlineStr"/>
      <c r="E36" s="9" t="inlineStr"/>
      <c r="F36" s="9" t="inlineStr"/>
      <c r="G36" s="9" t="inlineStr"/>
    </row>
    <row r="37" ht="42" customHeight="1">
      <c r="A37" s="2" t="inlineStr">
        <is>
          <t>inventory</t>
        </is>
      </c>
      <c r="B37" s="2" t="inlineStr">
        <is>
          <t>Inventory</t>
        </is>
      </c>
      <c r="C37" s="2" t="inlineStr">
        <is>
          <t>13 reported records (includes unavailable rows)</t>
        </is>
      </c>
      <c r="D37" s="9" t="inlineStr"/>
      <c r="E37" s="9" t="inlineStr"/>
      <c r="F37" s="9" t="inlineStr"/>
      <c r="G37" s="9" t="inlineStr"/>
    </row>
    <row r="38" ht="42" customHeight="1">
      <c r="A38" s="2" t="inlineStr">
        <is>
          <t>ppe</t>
        </is>
      </c>
      <c r="B38" s="2" t="inlineStr">
        <is>
          <t>PP&amp;E</t>
        </is>
      </c>
      <c r="C38" s="2" t="inlineStr">
        <is>
          <t>13 reported records (includes unavailable rows)</t>
        </is>
      </c>
      <c r="D38" s="9" t="inlineStr"/>
      <c r="E38" s="9" t="inlineStr"/>
      <c r="F38" s="9" t="inlineStr"/>
      <c r="G38" s="9" t="inlineStr"/>
    </row>
    <row r="39" ht="42" customHeight="1">
      <c r="A39" s="2" t="inlineStr">
        <is>
          <t>liabilities</t>
        </is>
      </c>
      <c r="B39" s="2" t="inlineStr">
        <is>
          <t>Liabilities</t>
        </is>
      </c>
      <c r="C39" s="2" t="inlineStr">
        <is>
          <t>13 reported records (includes unavailable rows)</t>
        </is>
      </c>
      <c r="D39" s="9" t="inlineStr"/>
      <c r="E39" s="9" t="inlineStr"/>
      <c r="F39" s="9" t="inlineStr"/>
      <c r="G39" s="9" t="inlineStr"/>
    </row>
    <row r="40" ht="42" customHeight="1">
      <c r="A40" s="2" t="inlineStr">
        <is>
          <t>current-liabilities</t>
        </is>
      </c>
      <c r="B40" s="2" t="inlineStr">
        <is>
          <t>Current Liabilities</t>
        </is>
      </c>
      <c r="C40" s="2" t="inlineStr">
        <is>
          <t>13 reported records (includes unavailable rows)</t>
        </is>
      </c>
      <c r="D40" s="9" t="inlineStr"/>
      <c r="E40" s="9" t="inlineStr"/>
      <c r="F40" s="9" t="inlineStr"/>
      <c r="G40" s="9" t="inlineStr"/>
    </row>
    <row r="41" ht="42" customHeight="1">
      <c r="A41" s="2" t="inlineStr">
        <is>
          <t>payables</t>
        </is>
      </c>
      <c r="B41" s="2" t="inlineStr">
        <is>
          <t>Accounts Payable</t>
        </is>
      </c>
      <c r="C41" s="2" t="inlineStr">
        <is>
          <t>13 reported records (includes unavailable rows)</t>
        </is>
      </c>
      <c r="D41" s="9" t="inlineStr"/>
      <c r="E41" s="9" t="inlineStr"/>
      <c r="F41" s="9" t="inlineStr"/>
      <c r="G41" s="9" t="inlineStr"/>
    </row>
    <row r="42" ht="42" customHeight="1">
      <c r="A42" s="2" t="inlineStr">
        <is>
          <t>debt</t>
        </is>
      </c>
      <c r="B42" s="2" t="inlineStr">
        <is>
          <t>Debt</t>
        </is>
      </c>
      <c r="C42" s="2" t="inlineStr">
        <is>
          <t>39 reported records (includes unavailable rows)</t>
        </is>
      </c>
      <c r="D42" s="9" t="inlineStr"/>
      <c r="E42" s="9" t="inlineStr"/>
      <c r="F42" s="9" t="inlineStr"/>
      <c r="G42" s="9" t="inlineStr"/>
    </row>
    <row r="43" ht="42" customHeight="1">
      <c r="A43" s="2" t="inlineStr">
        <is>
          <t>net-cash</t>
        </is>
      </c>
      <c r="B43" s="2" t="inlineStr">
        <is>
          <t>Net Cash</t>
        </is>
      </c>
      <c r="C43" s="2" t="inlineStr">
        <is>
          <t>No direct company-specific mapping; use handbook guidance and add your own evidence.</t>
        </is>
      </c>
      <c r="D43" s="9" t="inlineStr"/>
      <c r="E43" s="9" t="inlineStr"/>
      <c r="F43" s="9" t="inlineStr"/>
      <c r="G43" s="9" t="inlineStr"/>
    </row>
    <row r="44" ht="42" customHeight="1">
      <c r="A44" s="2" t="inlineStr">
        <is>
          <t>net-debt</t>
        </is>
      </c>
      <c r="B44" s="2" t="inlineStr">
        <is>
          <t>Net Debt</t>
        </is>
      </c>
      <c r="C44" s="2" t="inlineStr">
        <is>
          <t>10 calculated records</t>
        </is>
      </c>
      <c r="D44" s="9" t="inlineStr"/>
      <c r="E44" s="9" t="inlineStr"/>
      <c r="F44" s="9" t="inlineStr"/>
      <c r="G44" s="9" t="inlineStr"/>
    </row>
    <row r="45" ht="42" customHeight="1">
      <c r="A45" s="2" t="inlineStr">
        <is>
          <t>current-ratio</t>
        </is>
      </c>
      <c r="B45" s="2" t="inlineStr">
        <is>
          <t>Current Ratio</t>
        </is>
      </c>
      <c r="C45" s="2" t="inlineStr">
        <is>
          <t>10 calculated records</t>
        </is>
      </c>
      <c r="D45" s="9" t="inlineStr"/>
      <c r="E45" s="9" t="inlineStr"/>
      <c r="F45" s="9" t="inlineStr"/>
      <c r="G45" s="9" t="inlineStr"/>
    </row>
    <row r="46" ht="42" customHeight="1">
      <c r="A46" s="2" t="inlineStr">
        <is>
          <t>equity</t>
        </is>
      </c>
      <c r="B46" s="2" t="inlineStr">
        <is>
          <t>Shareholders’ Equity</t>
        </is>
      </c>
      <c r="C46" s="2" t="inlineStr">
        <is>
          <t>13 reported records (includes unavailable rows)</t>
        </is>
      </c>
      <c r="D46" s="9" t="inlineStr"/>
      <c r="E46" s="9" t="inlineStr"/>
      <c r="F46" s="9" t="inlineStr"/>
      <c r="G46" s="9" t="inlineStr"/>
    </row>
    <row r="47" ht="42" customHeight="1">
      <c r="A47" s="2" t="inlineStr">
        <is>
          <t>book-value</t>
        </is>
      </c>
      <c r="B47" s="2" t="inlineStr">
        <is>
          <t>Book Value</t>
        </is>
      </c>
      <c r="C47" s="2" t="inlineStr">
        <is>
          <t>13 reported records (includes unavailable rows)</t>
        </is>
      </c>
      <c r="D47" s="9" t="inlineStr"/>
      <c r="E47" s="9" t="inlineStr"/>
      <c r="F47" s="9" t="inlineStr"/>
      <c r="G47" s="9" t="inlineStr"/>
    </row>
    <row r="48" ht="42" customHeight="1">
      <c r="A48" s="2" t="inlineStr">
        <is>
          <t>ebitda</t>
        </is>
      </c>
      <c r="B48" s="2" t="inlineStr">
        <is>
          <t>EBITDA</t>
        </is>
      </c>
      <c r="C48" s="2" t="inlineStr">
        <is>
          <t>11 calculated records</t>
        </is>
      </c>
      <c r="D48" s="9" t="inlineStr"/>
      <c r="E48" s="9" t="inlineStr"/>
      <c r="F48" s="9" t="inlineStr"/>
      <c r="G48" s="9" t="inlineStr"/>
    </row>
    <row r="49" ht="42" customHeight="1">
      <c r="A49" s="2" t="inlineStr">
        <is>
          <t>debt-ebitda</t>
        </is>
      </c>
      <c r="B49" s="2" t="inlineStr">
        <is>
          <t>Debt / EBITDA</t>
        </is>
      </c>
      <c r="C49" s="2" t="inlineStr">
        <is>
          <t>10 calculated records; Discussed in steps 1</t>
        </is>
      </c>
      <c r="D49" s="9" t="inlineStr"/>
      <c r="E49" s="9" t="inlineStr"/>
      <c r="F49" s="9" t="inlineStr"/>
      <c r="G49" s="9" t="inlineStr"/>
    </row>
    <row r="50" ht="42" customHeight="1">
      <c r="A50" s="2" t="inlineStr">
        <is>
          <t>nopat</t>
        </is>
      </c>
      <c r="B50" s="2" t="inlineStr">
        <is>
          <t>NOPAT</t>
        </is>
      </c>
      <c r="C50" s="2" t="inlineStr">
        <is>
          <t>16 calculated records; Discussed in steps 2</t>
        </is>
      </c>
      <c r="D50" s="9" t="inlineStr"/>
      <c r="E50" s="9" t="inlineStr"/>
      <c r="F50" s="9" t="inlineStr"/>
      <c r="G50" s="9" t="inlineStr"/>
    </row>
    <row r="51" ht="42" customHeight="1">
      <c r="A51" s="2" t="inlineStr">
        <is>
          <t>invested-capital</t>
        </is>
      </c>
      <c r="B51" s="2" t="inlineStr">
        <is>
          <t>Invested Capital</t>
        </is>
      </c>
      <c r="C51" s="2" t="inlineStr">
        <is>
          <t>10 calculated records</t>
        </is>
      </c>
      <c r="D51" s="9" t="inlineStr"/>
      <c r="E51" s="9" t="inlineStr"/>
      <c r="F51" s="9" t="inlineStr"/>
      <c r="G51" s="9" t="inlineStr"/>
    </row>
    <row r="52" ht="42" customHeight="1">
      <c r="A52" s="2" t="inlineStr">
        <is>
          <t>roic</t>
        </is>
      </c>
      <c r="B52" s="2" t="inlineStr">
        <is>
          <t>ROIC</t>
        </is>
      </c>
      <c r="C52" s="2" t="inlineStr">
        <is>
          <t>13 calculated records; Discussed in steps 0, 2</t>
        </is>
      </c>
      <c r="D52" s="9" t="inlineStr"/>
      <c r="E52" s="9" t="inlineStr"/>
      <c r="F52" s="9" t="inlineStr"/>
      <c r="G52" s="9" t="inlineStr"/>
    </row>
    <row r="53" ht="42" customHeight="1">
      <c r="A53" s="2" t="inlineStr">
        <is>
          <t>wacc</t>
        </is>
      </c>
      <c r="B53" s="2" t="inlineStr">
        <is>
          <t>WACC</t>
        </is>
      </c>
      <c r="C53" s="2" t="inlineStr">
        <is>
          <t>Discussed in steps 2, 4; Model assumption: WACC 9.00%</t>
        </is>
      </c>
      <c r="D53" s="9" t="inlineStr"/>
      <c r="E53" s="9" t="inlineStr"/>
      <c r="F53" s="9" t="inlineStr"/>
      <c r="G53" s="9" t="inlineStr"/>
    </row>
    <row r="54" ht="42" customHeight="1">
      <c r="A54" s="2" t="inlineStr">
        <is>
          <t>cost-of-equity</t>
        </is>
      </c>
      <c r="B54" s="2" t="inlineStr">
        <is>
          <t>Cost of Equity</t>
        </is>
      </c>
      <c r="C54" s="2" t="inlineStr">
        <is>
          <t>Discussed in steps 4</t>
        </is>
      </c>
      <c r="D54" s="9" t="inlineStr"/>
      <c r="E54" s="9" t="inlineStr"/>
      <c r="F54" s="9" t="inlineStr"/>
      <c r="G54" s="9" t="inlineStr"/>
    </row>
    <row r="55" ht="42" customHeight="1">
      <c r="A55" s="2" t="inlineStr">
        <is>
          <t>shares-outstanding</t>
        </is>
      </c>
      <c r="B55" s="2" t="inlineStr">
        <is>
          <t>Shares Outstanding</t>
        </is>
      </c>
      <c r="C55" s="2" t="inlineStr">
        <is>
          <t>1 reported records (includes unavailable rows)</t>
        </is>
      </c>
      <c r="D55" s="9" t="inlineStr"/>
      <c r="E55" s="9" t="inlineStr"/>
      <c r="F55" s="9" t="inlineStr"/>
      <c r="G55" s="9" t="inlineStr"/>
    </row>
    <row r="56" ht="42" customHeight="1">
      <c r="A56" s="2" t="inlineStr">
        <is>
          <t>basic-shares</t>
        </is>
      </c>
      <c r="B56" s="2" t="inlineStr">
        <is>
          <t>Basic Shares</t>
        </is>
      </c>
      <c r="C56" s="2" t="inlineStr">
        <is>
          <t>No direct company-specific mapping; use handbook guidance and add your own evidence.</t>
        </is>
      </c>
      <c r="D56" s="9" t="inlineStr"/>
      <c r="E56" s="9" t="inlineStr"/>
      <c r="F56" s="9" t="inlineStr"/>
      <c r="G56" s="9" t="inlineStr"/>
    </row>
    <row r="57" ht="42" customHeight="1">
      <c r="A57" s="2" t="inlineStr">
        <is>
          <t>diluted-shares</t>
        </is>
      </c>
      <c r="B57" s="2" t="inlineStr">
        <is>
          <t>Diluted Shares</t>
        </is>
      </c>
      <c r="C57" s="2" t="inlineStr">
        <is>
          <t>10 reported records (includes unavailable rows); Discussed in steps 3</t>
        </is>
      </c>
      <c r="D57" s="9" t="inlineStr"/>
      <c r="E57" s="9" t="inlineStr"/>
      <c r="F57" s="9" t="inlineStr"/>
      <c r="G57" s="9" t="inlineStr"/>
    </row>
    <row r="58" ht="42" customHeight="1">
      <c r="A58" s="2" t="inlineStr">
        <is>
          <t>dilution</t>
        </is>
      </c>
      <c r="B58" s="2" t="inlineStr">
        <is>
          <t>Dilution</t>
        </is>
      </c>
      <c r="C58" s="2" t="inlineStr">
        <is>
          <t>21 calculated records; Discussed in steps 3</t>
        </is>
      </c>
      <c r="D58" s="9" t="inlineStr"/>
      <c r="E58" s="9" t="inlineStr"/>
      <c r="F58" s="9" t="inlineStr"/>
      <c r="G58" s="9" t="inlineStr"/>
    </row>
    <row r="59" ht="42" customHeight="1">
      <c r="A59" s="2" t="inlineStr">
        <is>
          <t>eps</t>
        </is>
      </c>
      <c r="B59" s="2" t="inlineStr">
        <is>
          <t>EPS</t>
        </is>
      </c>
      <c r="C59" s="2" t="inlineStr">
        <is>
          <t>10 calculated records</t>
        </is>
      </c>
      <c r="D59" s="9" t="inlineStr"/>
      <c r="E59" s="9" t="inlineStr"/>
      <c r="F59" s="9" t="inlineStr"/>
      <c r="G59" s="9" t="inlineStr"/>
    </row>
    <row r="60" ht="42" customHeight="1">
      <c r="A60" s="2" t="inlineStr">
        <is>
          <t>market-cap</t>
        </is>
      </c>
      <c r="B60" s="2" t="inlineStr">
        <is>
          <t>Market Capitalization</t>
        </is>
      </c>
      <c r="C60" s="2" t="inlineStr">
        <is>
          <t>1 calculated records</t>
        </is>
      </c>
      <c r="D60" s="9" t="inlineStr"/>
      <c r="E60" s="9" t="inlineStr"/>
      <c r="F60" s="9" t="inlineStr"/>
      <c r="G60" s="9" t="inlineStr"/>
    </row>
    <row r="61" ht="42" customHeight="1">
      <c r="A61" s="2" t="inlineStr">
        <is>
          <t>pe</t>
        </is>
      </c>
      <c r="B61" s="2" t="inlineStr">
        <is>
          <t>P/E</t>
        </is>
      </c>
      <c r="C61" s="2" t="inlineStr">
        <is>
          <t>2 calculated records; Discussed in steps 4</t>
        </is>
      </c>
      <c r="D61" s="9" t="inlineStr"/>
      <c r="E61" s="9" t="inlineStr"/>
      <c r="F61" s="9" t="inlineStr"/>
      <c r="G61" s="9" t="inlineStr"/>
    </row>
    <row r="62" ht="42" customHeight="1">
      <c r="A62" s="2" t="inlineStr">
        <is>
          <t>enterprise-value</t>
        </is>
      </c>
      <c r="B62" s="2" t="inlineStr">
        <is>
          <t>Enterprise Value</t>
        </is>
      </c>
      <c r="C62" s="2" t="inlineStr">
        <is>
          <t>1 calculated records</t>
        </is>
      </c>
      <c r="D62" s="9" t="inlineStr"/>
      <c r="E62" s="9" t="inlineStr"/>
      <c r="F62" s="9" t="inlineStr"/>
      <c r="G62" s="9" t="inlineStr"/>
    </row>
    <row r="63" ht="42" customHeight="1">
      <c r="A63" s="2" t="inlineStr">
        <is>
          <t>ev-ebitda</t>
        </is>
      </c>
      <c r="B63" s="2" t="inlineStr">
        <is>
          <t>EV / EBITDA</t>
        </is>
      </c>
      <c r="C63" s="2" t="inlineStr">
        <is>
          <t>2 calculated records</t>
        </is>
      </c>
      <c r="D63" s="9" t="inlineStr"/>
      <c r="E63" s="9" t="inlineStr"/>
      <c r="F63" s="9" t="inlineStr"/>
      <c r="G63" s="9" t="inlineStr"/>
    </row>
    <row r="64" ht="42" customHeight="1">
      <c r="A64" s="2" t="inlineStr">
        <is>
          <t>price-fcf</t>
        </is>
      </c>
      <c r="B64" s="2" t="inlineStr">
        <is>
          <t>Price / FCF</t>
        </is>
      </c>
      <c r="C64" s="2" t="inlineStr">
        <is>
          <t>No direct company-specific mapping; use handbook guidance and add your own evidence. Supplemental editable formula in Workbench: Price / FCF (not part of imported metrics).</t>
        </is>
      </c>
      <c r="D64" s="9" t="inlineStr"/>
      <c r="E64" s="9" t="inlineStr"/>
      <c r="F64" s="9" t="inlineStr"/>
      <c r="G64" s="9" t="inlineStr"/>
    </row>
    <row r="65" ht="42" customHeight="1">
      <c r="A65" s="2" t="inlineStr">
        <is>
          <t>fcf-yield</t>
        </is>
      </c>
      <c r="B65" s="2" t="inlineStr">
        <is>
          <t>FCF Yield</t>
        </is>
      </c>
      <c r="C65" s="2" t="inlineStr">
        <is>
          <t>2 calculated records; Discussed in steps 4</t>
        </is>
      </c>
      <c r="D65" s="9" t="inlineStr"/>
      <c r="E65" s="9" t="inlineStr"/>
      <c r="F65" s="9" t="inlineStr"/>
      <c r="G65" s="9" t="inlineStr"/>
    </row>
    <row r="66" ht="42" customHeight="1">
      <c r="A66" s="2" t="inlineStr">
        <is>
          <t>growth-vs-valuation</t>
        </is>
      </c>
      <c r="B66" s="2" t="inlineStr">
        <is>
          <t>Growth vs Valuation</t>
        </is>
      </c>
      <c r="C66" s="2" t="inlineStr">
        <is>
          <t>No direct company-specific mapping; use handbook guidance and add your own evidence.</t>
        </is>
      </c>
      <c r="D66" s="9" t="inlineStr"/>
      <c r="E66" s="9" t="inlineStr"/>
      <c r="F66" s="9" t="inlineStr"/>
      <c r="G66" s="9" t="inlineStr"/>
    </row>
    <row r="67" ht="42" customHeight="1">
      <c r="A67" s="2" t="inlineStr">
        <is>
          <t>time-value-money</t>
        </is>
      </c>
      <c r="B67" s="2" t="inlineStr">
        <is>
          <t>Time Value of Money</t>
        </is>
      </c>
      <c r="C67" s="2" t="inlineStr">
        <is>
          <t>No direct company-specific mapping; use handbook guidance and add your own evidence.</t>
        </is>
      </c>
      <c r="D67" s="9" t="inlineStr"/>
      <c r="E67" s="9" t="inlineStr"/>
      <c r="F67" s="9" t="inlineStr"/>
      <c r="G67" s="9" t="inlineStr"/>
    </row>
    <row r="68" ht="42" customHeight="1">
      <c r="A68" s="2" t="inlineStr">
        <is>
          <t>dcf-intro</t>
        </is>
      </c>
      <c r="B68" s="2" t="inlineStr">
        <is>
          <t>DCF</t>
        </is>
      </c>
      <c r="C68" s="2" t="inlineStr">
        <is>
          <t>No direct company-specific mapping; use handbook guidance and add your own evidence.</t>
        </is>
      </c>
      <c r="D68" s="9" t="inlineStr"/>
      <c r="E68" s="9" t="inlineStr"/>
      <c r="F68" s="9" t="inlineStr"/>
      <c r="G68" s="9" t="inlineStr"/>
    </row>
    <row r="69" ht="42" customHeight="1">
      <c r="A69" s="2" t="inlineStr">
        <is>
          <t>present-value</t>
        </is>
      </c>
      <c r="B69" s="2" t="inlineStr">
        <is>
          <t>Present Value</t>
        </is>
      </c>
      <c r="C69" s="2" t="inlineStr">
        <is>
          <t>No direct company-specific mapping; use handbook guidance and add your own evidence.</t>
        </is>
      </c>
      <c r="D69" s="9" t="inlineStr"/>
      <c r="E69" s="9" t="inlineStr"/>
      <c r="F69" s="9" t="inlineStr"/>
      <c r="G69" s="9" t="inlineStr"/>
    </row>
    <row r="70" ht="42" customHeight="1">
      <c r="A70" s="2" t="inlineStr">
        <is>
          <t>future-value</t>
        </is>
      </c>
      <c r="B70" s="2" t="inlineStr">
        <is>
          <t>Future Value</t>
        </is>
      </c>
      <c r="C70" s="2" t="inlineStr">
        <is>
          <t>No direct company-specific mapping; use handbook guidance and add your own evidence.</t>
        </is>
      </c>
      <c r="D70" s="9" t="inlineStr"/>
      <c r="E70" s="9" t="inlineStr"/>
      <c r="F70" s="9" t="inlineStr"/>
      <c r="G70" s="9" t="inlineStr"/>
    </row>
    <row r="71" ht="42" customHeight="1">
      <c r="A71" s="2" t="inlineStr">
        <is>
          <t>required-return</t>
        </is>
      </c>
      <c r="B71" s="2" t="inlineStr">
        <is>
          <t>Required Return</t>
        </is>
      </c>
      <c r="C71" s="2" t="inlineStr">
        <is>
          <t>Model assumption: WACC 9.00%</t>
        </is>
      </c>
      <c r="D71" s="9" t="inlineStr"/>
      <c r="E71" s="9" t="inlineStr"/>
      <c r="F71" s="9" t="inlineStr"/>
      <c r="G71" s="9" t="inlineStr"/>
    </row>
    <row r="72" ht="42" customHeight="1">
      <c r="A72" s="2" t="inlineStr">
        <is>
          <t>discount-rate</t>
        </is>
      </c>
      <c r="B72" s="2" t="inlineStr">
        <is>
          <t>Discount Rate</t>
        </is>
      </c>
      <c r="C72" s="2" t="inlineStr">
        <is>
          <t>Model assumption: WACC 9.00%</t>
        </is>
      </c>
      <c r="D72" s="9" t="inlineStr"/>
      <c r="E72" s="9" t="inlineStr"/>
      <c r="F72" s="9" t="inlineStr"/>
      <c r="G72" s="9" t="inlineStr"/>
    </row>
    <row r="73" ht="42" customHeight="1">
      <c r="A73" s="2" t="inlineStr">
        <is>
          <t>terminal-value</t>
        </is>
      </c>
      <c r="B73" s="2" t="inlineStr">
        <is>
          <t>Terminal Value</t>
        </is>
      </c>
      <c r="C73" s="2" t="inlineStr">
        <is>
          <t>Discussed in steps 4</t>
        </is>
      </c>
      <c r="D73" s="9" t="inlineStr"/>
      <c r="E73" s="9" t="inlineStr"/>
      <c r="F73" s="9" t="inlineStr"/>
      <c r="G73" s="9" t="inlineStr"/>
    </row>
    <row r="74" ht="42" customHeight="1">
      <c r="A74" s="2" t="inlineStr">
        <is>
          <t>dcf-ev</t>
        </is>
      </c>
      <c r="B74" s="2" t="inlineStr">
        <is>
          <t>DCF Enterprise Value</t>
        </is>
      </c>
      <c r="C74" s="2" t="inlineStr">
        <is>
          <t>No direct company-specific mapping; use handbook guidance and add your own evidence.</t>
        </is>
      </c>
      <c r="D74" s="9" t="inlineStr"/>
      <c r="E74" s="9" t="inlineStr"/>
      <c r="F74" s="9" t="inlineStr"/>
      <c r="G74" s="9" t="inlineStr"/>
    </row>
    <row r="75" ht="42" customHeight="1">
      <c r="A75" s="2" t="inlineStr">
        <is>
          <t>equity-value</t>
        </is>
      </c>
      <c r="B75" s="2" t="inlineStr">
        <is>
          <t>Equity Value</t>
        </is>
      </c>
      <c r="C75" s="2" t="inlineStr">
        <is>
          <t>No direct company-specific mapping; use handbook guidance and add your own evidence.</t>
        </is>
      </c>
      <c r="D75" s="9" t="inlineStr"/>
      <c r="E75" s="9" t="inlineStr"/>
      <c r="F75" s="9" t="inlineStr"/>
      <c r="G75" s="9" t="inlineStr"/>
    </row>
    <row r="76" ht="42" customHeight="1">
      <c r="A76" s="2" t="inlineStr">
        <is>
          <t>fair-value-per-share</t>
        </is>
      </c>
      <c r="B76" s="2" t="inlineStr">
        <is>
          <t>Fair Value Per Share</t>
        </is>
      </c>
      <c r="C76" s="2" t="inlineStr">
        <is>
          <t>6 calculated records; Discussed in steps 4</t>
        </is>
      </c>
      <c r="D76" s="9" t="inlineStr"/>
      <c r="E76" s="9" t="inlineStr"/>
      <c r="F76" s="9" t="inlineStr"/>
      <c r="G76" s="9" t="inlineStr"/>
    </row>
    <row r="77" ht="42" customHeight="1">
      <c r="A77" s="2" t="inlineStr">
        <is>
          <t>sensitivity</t>
        </is>
      </c>
      <c r="B77" s="2" t="inlineStr">
        <is>
          <t>Sensitivity Analysis</t>
        </is>
      </c>
      <c r="C77" s="2" t="inlineStr">
        <is>
          <t>No direct company-specific mapping; use handbook guidance and add your own evidence.</t>
        </is>
      </c>
      <c r="D77" s="9" t="inlineStr"/>
      <c r="E77" s="9" t="inlineStr"/>
      <c r="F77" s="9" t="inlineStr"/>
      <c r="G77" s="9" t="inlineStr"/>
    </row>
    <row r="78" ht="42" customHeight="1">
      <c r="A78" s="2" t="inlineStr">
        <is>
          <t>thesis-def</t>
        </is>
      </c>
      <c r="B78" s="2" t="inlineStr">
        <is>
          <t>Investment Thesis</t>
        </is>
      </c>
      <c r="C78" s="2" t="inlineStr">
        <is>
          <t>Discussed in steps 6</t>
        </is>
      </c>
      <c r="D78" s="9" t="inlineStr"/>
      <c r="E78" s="9" t="inlineStr"/>
      <c r="F78" s="9" t="inlineStr"/>
      <c r="G78" s="9" t="inlineStr"/>
    </row>
    <row r="79" ht="42" customHeight="1">
      <c r="A79" s="2" t="inlineStr">
        <is>
          <t>invalidation</t>
        </is>
      </c>
      <c r="B79" s="2" t="inlineStr">
        <is>
          <t>Thesis Invalidation</t>
        </is>
      </c>
      <c r="C79" s="2" t="inlineStr">
        <is>
          <t>Discussed in steps 6</t>
        </is>
      </c>
      <c r="D79" s="9" t="inlineStr"/>
      <c r="E79" s="9" t="inlineStr"/>
      <c r="F79" s="9" t="inlineStr"/>
      <c r="G79" s="9" t="inlineStr"/>
    </row>
    <row r="80" ht="42" customHeight="1">
      <c r="A80" s="2" t="inlineStr">
        <is>
          <t>margin-of-safety</t>
        </is>
      </c>
      <c r="B80" s="2" t="inlineStr">
        <is>
          <t>Margin of Safety</t>
        </is>
      </c>
      <c r="C80" s="2" t="inlineStr">
        <is>
          <t>2 calculated records; Discussed in steps 5</t>
        </is>
      </c>
      <c r="D80" s="9" t="inlineStr"/>
      <c r="E80" s="9" t="inlineStr"/>
      <c r="F80" s="9" t="inlineStr"/>
      <c r="G80" s="9" t="inlineStr"/>
    </row>
    <row r="81" ht="42" customHeight="1">
      <c r="A81" s="2" t="inlineStr">
        <is>
          <t>owner-earnings</t>
        </is>
      </c>
      <c r="B81" s="2" t="inlineStr">
        <is>
          <t>Owner Earnings</t>
        </is>
      </c>
      <c r="C81" s="2" t="inlineStr">
        <is>
          <t>12 calculated records; Discussed in steps 2</t>
        </is>
      </c>
      <c r="D81" s="9" t="inlineStr"/>
      <c r="E81" s="9" t="inlineStr"/>
      <c r="F81" s="9" t="inlineStr"/>
      <c r="G81" s="9" t="inlineStr"/>
    </row>
    <row r="82" ht="42" customHeight="1">
      <c r="A82" s="2" t="inlineStr">
        <is>
          <t>maintenance-capex</t>
        </is>
      </c>
      <c r="B82" s="2" t="inlineStr">
        <is>
          <t>Maintenance CapEx</t>
        </is>
      </c>
      <c r="C82" s="2" t="inlineStr">
        <is>
          <t>No direct company-specific mapping; use handbook guidance and add your own evidence.</t>
        </is>
      </c>
      <c r="D82" s="9" t="inlineStr"/>
      <c r="E82" s="9" t="inlineStr"/>
      <c r="F82" s="9" t="inlineStr"/>
      <c r="G82" s="9" t="inlineStr"/>
    </row>
    <row r="83" ht="42" customHeight="1">
      <c r="A83" s="2" t="inlineStr">
        <is>
          <t>normalized-earnings</t>
        </is>
      </c>
      <c r="B83" s="2" t="inlineStr">
        <is>
          <t>Normalized Earnings</t>
        </is>
      </c>
      <c r="C83" s="2" t="inlineStr">
        <is>
          <t>2 calculated records; Discussed in steps 2</t>
        </is>
      </c>
      <c r="D83" s="9" t="inlineStr"/>
      <c r="E83" s="9" t="inlineStr"/>
      <c r="F83" s="9" t="inlineStr"/>
      <c r="G83" s="9" t="inlineStr"/>
    </row>
    <row r="84" ht="42" customHeight="1">
      <c r="A84" s="2" t="inlineStr">
        <is>
          <t>capital-allocation</t>
        </is>
      </c>
      <c r="B84" s="2" t="inlineStr">
        <is>
          <t>Capital Allocation</t>
        </is>
      </c>
      <c r="C84" s="2" t="inlineStr">
        <is>
          <t>Discussed in steps 3, 4</t>
        </is>
      </c>
      <c r="D84" s="9" t="inlineStr"/>
      <c r="E84" s="9" t="inlineStr"/>
      <c r="F84" s="9" t="inlineStr"/>
      <c r="G84" s="9" t="inlineStr"/>
    </row>
    <row r="85" ht="42" customHeight="1">
      <c r="A85" s="2" t="inlineStr">
        <is>
          <t>value-trap</t>
        </is>
      </c>
      <c r="B85" s="2" t="inlineStr">
        <is>
          <t>Value Trap</t>
        </is>
      </c>
      <c r="C85" s="2" t="inlineStr">
        <is>
          <t>Discussed in steps 5</t>
        </is>
      </c>
      <c r="D85" s="9" t="inlineStr"/>
      <c r="E85" s="9" t="inlineStr"/>
      <c r="F85" s="9" t="inlineStr"/>
      <c r="G85" s="9" t="inlineStr"/>
    </row>
    <row r="86" ht="42" customHeight="1">
      <c r="A86" s="2" t="inlineStr">
        <is>
          <t>incremental-roic</t>
        </is>
      </c>
      <c r="B86" s="2" t="inlineStr">
        <is>
          <t>Incremental ROIC</t>
        </is>
      </c>
      <c r="C86" s="2" t="inlineStr">
        <is>
          <t>1 calculated records; Discussed in steps 2</t>
        </is>
      </c>
      <c r="D86" s="9" t="inlineStr"/>
      <c r="E86" s="9" t="inlineStr"/>
      <c r="F86" s="9" t="inlineStr"/>
      <c r="G86" s="9" t="inlineStr"/>
    </row>
    <row r="87" ht="42" customHeight="1">
      <c r="A87" s="2" t="inlineStr">
        <is>
          <t>reverse-dcf</t>
        </is>
      </c>
      <c r="B87" s="2" t="inlineStr">
        <is>
          <t>Reverse DCF</t>
        </is>
      </c>
      <c r="C87" s="2" t="inlineStr">
        <is>
          <t>2 calculated records; Discussed in steps 4</t>
        </is>
      </c>
      <c r="D87" s="9" t="inlineStr"/>
      <c r="E87" s="9" t="inlineStr"/>
      <c r="F87" s="9" t="inlineStr"/>
      <c r="G87" s="9" t="inlineStr"/>
    </row>
    <row r="88" ht="42" customHeight="1">
      <c r="A88" s="2" t="inlineStr">
        <is>
          <t>interest-coverage</t>
        </is>
      </c>
      <c r="B88" s="2" t="inlineStr">
        <is>
          <t>Interest Coverage</t>
        </is>
      </c>
      <c r="C88" s="2" t="inlineStr">
        <is>
          <t>10 calculated records; Discussed in steps 1</t>
        </is>
      </c>
      <c r="D88" s="9" t="inlineStr"/>
      <c r="E88" s="9" t="inlineStr"/>
      <c r="F88" s="9" t="inlineStr"/>
      <c r="G88" s="9" t="inlineStr"/>
    </row>
    <row r="89" ht="42" customHeight="1">
      <c r="A89" s="2" t="inlineStr">
        <is>
          <t>refinancing-risk</t>
        </is>
      </c>
      <c r="B89" s="2" t="inlineStr">
        <is>
          <t>Refinancing Risk</t>
        </is>
      </c>
      <c r="C89" s="2" t="inlineStr">
        <is>
          <t>10 calculated records; Discussed in steps 1</t>
        </is>
      </c>
      <c r="D89" s="9" t="inlineStr"/>
      <c r="E89" s="9" t="inlineStr"/>
      <c r="F89" s="9" t="inlineStr"/>
      <c r="G89" s="9" t="inlineStr"/>
    </row>
    <row r="90" ht="42" customHeight="1">
      <c r="A90" s="2" t="inlineStr">
        <is>
          <t>earnings-quality</t>
        </is>
      </c>
      <c r="B90" s="2" t="inlineStr">
        <is>
          <t>Earnings Quality</t>
        </is>
      </c>
      <c r="C90" s="2" t="inlineStr">
        <is>
          <t>10 calculated records; Discussed in steps 1</t>
        </is>
      </c>
      <c r="D90" s="9" t="inlineStr"/>
      <c r="E90" s="9" t="inlineStr"/>
      <c r="F90" s="9" t="inlineStr"/>
      <c r="G90" s="9" t="inlineStr"/>
    </row>
    <row r="91" ht="42" customHeight="1">
      <c r="A91" s="2" t="inlineStr">
        <is>
          <t>fcff</t>
        </is>
      </c>
      <c r="B91" s="2" t="inlineStr">
        <is>
          <t>Free Cash Flow to the Firm</t>
        </is>
      </c>
      <c r="C91" s="2" t="inlineStr">
        <is>
          <t>13 calculated records; Discussed in steps 0, 4</t>
        </is>
      </c>
      <c r="D91" s="9" t="inlineStr"/>
      <c r="E91" s="9" t="inlineStr"/>
      <c r="F91" s="9" t="inlineStr"/>
      <c r="G91" s="9" t="inlineStr"/>
    </row>
    <row r="92" ht="42" customHeight="1">
      <c r="A92" s="2" t="inlineStr">
        <is>
          <t>fcfe</t>
        </is>
      </c>
      <c r="B92" s="2" t="inlineStr">
        <is>
          <t>Free Cash Flow to Equity</t>
        </is>
      </c>
      <c r="C92" s="2" t="inlineStr">
        <is>
          <t>10 calculated records</t>
        </is>
      </c>
      <c r="D92" s="9" t="inlineStr"/>
      <c r="E92" s="9" t="inlineStr"/>
      <c r="F92" s="9" t="inlineStr"/>
      <c r="G92" s="9" t="inlineStr"/>
    </row>
    <row r="93" ht="42" customHeight="1">
      <c r="A93" s="2" t="inlineStr">
        <is>
          <t>circle-of-competence</t>
        </is>
      </c>
      <c r="B93" s="2" t="inlineStr">
        <is>
          <t>Circle of Competence</t>
        </is>
      </c>
      <c r="C93" s="2" t="inlineStr">
        <is>
          <t>Discussed in steps 1</t>
        </is>
      </c>
      <c r="D93" s="9" t="inlineStr"/>
      <c r="E93" s="9" t="inlineStr"/>
      <c r="F93" s="9" t="inlineStr"/>
      <c r="G93" s="9" t="inlineStr"/>
    </row>
    <row r="94" ht="42" customHeight="1">
      <c r="A94" s="2" t="inlineStr">
        <is>
          <t>permanent-capital-loss</t>
        </is>
      </c>
      <c r="B94" s="2" t="inlineStr">
        <is>
          <t>Permanent Capital Loss</t>
        </is>
      </c>
      <c r="C94" s="2" t="inlineStr">
        <is>
          <t>Discussed in steps 1</t>
        </is>
      </c>
      <c r="D94" s="9" t="inlineStr"/>
      <c r="E94" s="9" t="inlineStr"/>
      <c r="F94" s="9" t="inlineStr"/>
      <c r="G94" s="9" t="inlineStr"/>
    </row>
    <row r="95" ht="42" customHeight="1">
      <c r="A95" s="2" t="inlineStr">
        <is>
          <t>opportunity-cost</t>
        </is>
      </c>
      <c r="B95" s="2" t="inlineStr">
        <is>
          <t>Opportunity Cost</t>
        </is>
      </c>
      <c r="C95" s="2" t="inlineStr">
        <is>
          <t>No direct company-specific mapping; use handbook guidance and add your own evidence.</t>
        </is>
      </c>
      <c r="D95" s="9" t="inlineStr"/>
      <c r="E95" s="9" t="inlineStr"/>
      <c r="F95" s="9" t="inlineStr"/>
      <c r="G95" s="9" t="inlineStr"/>
    </row>
    <row r="96" ht="42" customHeight="1">
      <c r="A96" s="2" t="inlineStr">
        <is>
          <t>management-incentives</t>
        </is>
      </c>
      <c r="B96" s="2" t="inlineStr">
        <is>
          <t>Management Incentives</t>
        </is>
      </c>
      <c r="C96" s="2" t="inlineStr">
        <is>
          <t>1 text facts; Discussed in steps 3</t>
        </is>
      </c>
      <c r="D96" s="9" t="inlineStr"/>
      <c r="E96" s="9" t="inlineStr"/>
      <c r="F96" s="9" t="inlineStr"/>
      <c r="G96" s="9" t="inlineStr"/>
    </row>
    <row r="97" ht="42" customHeight="1">
      <c r="A97" s="2" t="inlineStr">
        <is>
          <t>tangible-book-value</t>
        </is>
      </c>
      <c r="B97" s="2" t="inlineStr">
        <is>
          <t>Tangible Book Value</t>
        </is>
      </c>
      <c r="C97" s="2" t="inlineStr">
        <is>
          <t>11 calculated records; Discussed in steps 4</t>
        </is>
      </c>
      <c r="D97" s="9" t="inlineStr"/>
      <c r="E97" s="9" t="inlineStr"/>
      <c r="F97" s="9" t="inlineStr"/>
      <c r="G97" s="9" t="inlineStr"/>
    </row>
    <row r="98" ht="42" customHeight="1">
      <c r="A98" s="2" t="inlineStr">
        <is>
          <t>liquidation-value</t>
        </is>
      </c>
      <c r="B98" s="2" t="inlineStr">
        <is>
          <t>Liquidation Value</t>
        </is>
      </c>
      <c r="C98" s="2" t="inlineStr">
        <is>
          <t>No direct company-specific mapping; use handbook guidance and add your own evidence.</t>
        </is>
      </c>
      <c r="D98" s="9" t="inlineStr"/>
      <c r="E98" s="9" t="inlineStr"/>
      <c r="F98" s="9" t="inlineStr"/>
      <c r="G98" s="9" t="inlineStr"/>
    </row>
    <row r="99" ht="42" customHeight="1">
      <c r="A99" s="2" t="inlineStr">
        <is>
          <t>ncav</t>
        </is>
      </c>
      <c r="B99" s="2" t="inlineStr">
        <is>
          <t>Net Current Asset Value</t>
        </is>
      </c>
      <c r="C99" s="2" t="inlineStr">
        <is>
          <t>11 calculated records; Discussed in steps 4</t>
        </is>
      </c>
      <c r="D99" s="9" t="inlineStr"/>
      <c r="E99" s="9" t="inlineStr"/>
      <c r="F99" s="9" t="inlineStr"/>
      <c r="G99" s="9" t="inlineStr"/>
    </row>
    <row r="100" ht="42" customHeight="1">
      <c r="A100" s="2" t="inlineStr">
        <is>
          <t>price-sales</t>
        </is>
      </c>
      <c r="B100" s="2" t="inlineStr">
        <is>
          <t>Price-to-Sales</t>
        </is>
      </c>
      <c r="C100" s="2" t="inlineStr">
        <is>
          <t>No direct company-specific mapping; use handbook guidance and add your own evidence. Supplemental editable formula in Workbench: Price / sales (not part of imported metrics).</t>
        </is>
      </c>
      <c r="D100" s="9" t="inlineStr"/>
      <c r="E100" s="9" t="inlineStr"/>
      <c r="F100" s="9" t="inlineStr"/>
      <c r="G100" s="9" t="inlineStr"/>
    </row>
    <row r="101" ht="42" customHeight="1">
      <c r="A101" s="2" t="inlineStr">
        <is>
          <t>ev-revenue</t>
        </is>
      </c>
      <c r="B101" s="2" t="inlineStr">
        <is>
          <t>EV / Revenue</t>
        </is>
      </c>
      <c r="C101" s="2" t="inlineStr">
        <is>
          <t>No direct company-specific mapping; use handbook guidance and add your own evidence. Supplemental editable formula in Workbench: EV / revenue (not part of imported metrics).</t>
        </is>
      </c>
      <c r="D101" s="9" t="inlineStr"/>
      <c r="E101" s="9" t="inlineStr"/>
      <c r="F101" s="9" t="inlineStr"/>
      <c r="G101" s="9" t="inlineStr"/>
    </row>
    <row r="102" ht="42" customHeight="1">
      <c r="A102" s="2" t="inlineStr">
        <is>
          <t>profitable-growth</t>
        </is>
      </c>
      <c r="B102" s="2" t="inlineStr">
        <is>
          <t>Profitable Growth</t>
        </is>
      </c>
      <c r="C102" s="2" t="inlineStr">
        <is>
          <t>No direct company-specific mapping; use handbook guidance and add your own evidence.</t>
        </is>
      </c>
      <c r="D102" s="9" t="inlineStr"/>
      <c r="E102" s="9" t="inlineStr"/>
      <c r="F102" s="9" t="inlineStr"/>
      <c r="G102" s="9" t="inlineStr"/>
    </row>
    <row r="103" ht="42" customHeight="1">
      <c r="A103" s="2" t="inlineStr">
        <is>
          <t>operating-margin-trend</t>
        </is>
      </c>
      <c r="B103" s="2" t="inlineStr">
        <is>
          <t>Operating Margin Trend</t>
        </is>
      </c>
      <c r="C103" s="2" t="inlineStr">
        <is>
          <t>No direct company-specific mapping; use handbook guidance and add your own evidence.</t>
        </is>
      </c>
      <c r="D103" s="9" t="inlineStr"/>
      <c r="E103" s="9" t="inlineStr"/>
      <c r="F103" s="9" t="inlineStr"/>
      <c r="G103" s="9" t="inlineStr"/>
    </row>
    <row r="104" ht="42" customHeight="1">
      <c r="A104" s="2" t="inlineStr">
        <is>
          <t>backlog</t>
        </is>
      </c>
      <c r="B104" s="2" t="inlineStr">
        <is>
          <t>Backlog</t>
        </is>
      </c>
      <c r="C104" s="2" t="inlineStr">
        <is>
          <t>No direct company-specific mapping; use handbook guidance and add your own evidence.</t>
        </is>
      </c>
      <c r="D104" s="9" t="inlineStr"/>
      <c r="E104" s="9" t="inlineStr"/>
      <c r="F104" s="9" t="inlineStr"/>
      <c r="G104" s="9" t="inlineStr"/>
    </row>
    <row r="105" ht="42" customHeight="1">
      <c r="A105" s="2" t="inlineStr">
        <is>
          <t>backlog-quality</t>
        </is>
      </c>
      <c r="B105" s="2" t="inlineStr">
        <is>
          <t>Backlog Quality</t>
        </is>
      </c>
      <c r="C105" s="2" t="inlineStr">
        <is>
          <t>No direct company-specific mapping; use handbook guidance and add your own evidence.</t>
        </is>
      </c>
      <c r="D105" s="9" t="inlineStr"/>
      <c r="E105" s="9" t="inlineStr"/>
      <c r="F105" s="9" t="inlineStr"/>
      <c r="G105" s="9" t="inlineStr"/>
    </row>
    <row r="106" ht="42" customHeight="1">
      <c r="A106" s="2" t="inlineStr">
        <is>
          <t>deferred-revenue</t>
        </is>
      </c>
      <c r="B106" s="2" t="inlineStr">
        <is>
          <t>Deferred Revenue</t>
        </is>
      </c>
      <c r="C106" s="2" t="inlineStr">
        <is>
          <t>No direct company-specific mapping; use handbook guidance and add your own evidence.</t>
        </is>
      </c>
      <c r="D106" s="9" t="inlineStr"/>
      <c r="E106" s="9" t="inlineStr"/>
      <c r="F106" s="9" t="inlineStr"/>
      <c r="G106" s="9" t="inlineStr"/>
    </row>
    <row r="107" ht="42" customHeight="1">
      <c r="A107" s="2" t="inlineStr">
        <is>
          <t>contracted-sales</t>
        </is>
      </c>
      <c r="B107" s="2" t="inlineStr">
        <is>
          <t>Contracted Sales</t>
        </is>
      </c>
      <c r="C107" s="2" t="inlineStr">
        <is>
          <t>No direct company-specific mapping; use handbook guidance and add your own evidence.</t>
        </is>
      </c>
      <c r="D107" s="9" t="inlineStr"/>
      <c r="E107" s="9" t="inlineStr"/>
      <c r="F107" s="9" t="inlineStr"/>
      <c r="G107" s="9" t="inlineStr"/>
    </row>
    <row r="108" ht="42" customHeight="1">
      <c r="A108" s="2" t="inlineStr">
        <is>
          <t>revenue-recognition</t>
        </is>
      </c>
      <c r="B108" s="2" t="inlineStr">
        <is>
          <t>Revenue Recognition</t>
        </is>
      </c>
      <c r="C108" s="2" t="inlineStr">
        <is>
          <t>No direct company-specific mapping; use handbook guidance and add your own evidence.</t>
        </is>
      </c>
      <c r="D108" s="9" t="inlineStr"/>
      <c r="E108" s="9" t="inlineStr"/>
      <c r="F108" s="9" t="inlineStr"/>
      <c r="G108" s="9" t="inlineStr"/>
    </row>
    <row r="109" ht="42" customHeight="1">
      <c r="A109" s="2" t="inlineStr">
        <is>
          <t>capex-efficiency</t>
        </is>
      </c>
      <c r="B109" s="2" t="inlineStr">
        <is>
          <t>CapEx Efficiency</t>
        </is>
      </c>
      <c r="C109" s="2" t="inlineStr">
        <is>
          <t>No direct company-specific mapping; use handbook guidance and add your own evidence.</t>
        </is>
      </c>
      <c r="D109" s="9" t="inlineStr"/>
      <c r="E109" s="9" t="inlineStr"/>
      <c r="F109" s="9" t="inlineStr"/>
      <c r="G109" s="9" t="inlineStr"/>
    </row>
    <row r="110" ht="42" customHeight="1">
      <c r="A110" s="2" t="inlineStr">
        <is>
          <t>embedded-expectations</t>
        </is>
      </c>
      <c r="B110" s="2" t="inlineStr">
        <is>
          <t>Embedded Expectations</t>
        </is>
      </c>
      <c r="C110" s="2" t="inlineStr">
        <is>
          <t>No direct company-specific mapping; use handbook guidance and add your own evidence.</t>
        </is>
      </c>
      <c r="D110" s="9" t="inlineStr"/>
      <c r="E110" s="9" t="inlineStr"/>
      <c r="F110" s="9" t="inlineStr"/>
      <c r="G110" s="9" t="inlineStr"/>
    </row>
  </sheetData>
  <autoFilter ref="A1:G110"/>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C511"/>
  <sheetViews>
    <sheetView showGridLines="0" workbookViewId="0">
      <pane ySplit="1" topLeftCell="A2" activePane="bottomLeft" state="frozen"/>
      <selection pane="bottomLeft" activeCell="A1" sqref="A1"/>
    </sheetView>
  </sheetViews>
  <sheetFormatPr baseColWidth="8" defaultRowHeight="15"/>
  <cols>
    <col width="65" customWidth="1" min="1" max="1"/>
    <col width="25" customWidth="1" min="2" max="2"/>
    <col width="80" customWidth="1" min="3" max="3"/>
  </cols>
  <sheetData>
    <row r="1" ht="32" customHeight="1">
      <c r="A1" s="1" t="inlineStr">
        <is>
          <t>Setting</t>
        </is>
      </c>
      <c r="B1" s="1" t="inlineStr">
        <is>
          <t>Value</t>
        </is>
      </c>
      <c r="C1" s="1" t="inlineStr">
        <is>
          <t>Source</t>
        </is>
      </c>
    </row>
    <row r="2" ht="42" customHeight="1">
      <c r="A2" s="2" t="inlineStr">
        <is>
          <t>policy.required_margin_of_safety.5</t>
        </is>
      </c>
      <c r="B2" s="3" t="n">
        <v>0.2</v>
      </c>
      <c r="C2" s="2" t="inlineStr">
        <is>
          <t>agent/policy.json and data/AVGO/metrics.json</t>
        </is>
      </c>
    </row>
    <row r="3" ht="42" customHeight="1">
      <c r="A3" s="2" t="inlineStr">
        <is>
          <t>policy.required_margin_of_safety.4</t>
        </is>
      </c>
      <c r="B3" s="3" t="n">
        <v>0.25</v>
      </c>
      <c r="C3" s="2" t="inlineStr">
        <is>
          <t>agent/policy.json and data/AVGO/metrics.json</t>
        </is>
      </c>
    </row>
    <row r="4" ht="42" customHeight="1">
      <c r="A4" s="2" t="inlineStr">
        <is>
          <t>policy.required_margin_of_safety.3</t>
        </is>
      </c>
      <c r="B4" s="3" t="n">
        <v>0.4</v>
      </c>
      <c r="C4" s="2" t="inlineStr">
        <is>
          <t>agent/policy.json and data/AVGO/metrics.json</t>
        </is>
      </c>
    </row>
    <row r="5" ht="42" customHeight="1">
      <c r="A5" s="2" t="inlineStr">
        <is>
          <t>policy.required_margin_of_safety.2</t>
        </is>
      </c>
      <c r="B5" s="2" t="n"/>
      <c r="C5" s="2" t="inlineStr">
        <is>
          <t>agent/policy.json and data/AVGO/metrics.json</t>
        </is>
      </c>
    </row>
    <row r="6" ht="42" customHeight="1">
      <c r="A6" s="2" t="inlineStr">
        <is>
          <t>policy.required_margin_of_safety.1</t>
        </is>
      </c>
      <c r="B6" s="2" t="n"/>
      <c r="C6" s="2" t="inlineStr">
        <is>
          <t>agent/policy.json and data/AVGO/metrics.json</t>
        </is>
      </c>
    </row>
    <row r="7" ht="42" customHeight="1">
      <c r="A7" s="2" t="inlineStr">
        <is>
          <t>policy.max_debt_to_ebitda</t>
        </is>
      </c>
      <c r="B7" s="3" t="n">
        <v>3</v>
      </c>
      <c r="C7" s="2" t="inlineStr">
        <is>
          <t>agent/policy.json and data/AVGO/metrics.json</t>
        </is>
      </c>
    </row>
    <row r="8" ht="42" customHeight="1">
      <c r="A8" s="2" t="inlineStr">
        <is>
          <t>policy.min_interest_coverage</t>
        </is>
      </c>
      <c r="B8" s="3" t="n">
        <v>5</v>
      </c>
      <c r="C8" s="2" t="inlineStr">
        <is>
          <t>agent/policy.json and data/AVGO/metrics.json</t>
        </is>
      </c>
    </row>
    <row r="9" ht="42" customHeight="1">
      <c r="A9" s="2" t="inlineStr">
        <is>
          <t>policy.min_roic_years_above_wacc</t>
        </is>
      </c>
      <c r="B9" s="3" t="n">
        <v>7</v>
      </c>
      <c r="C9" s="2" t="inlineStr">
        <is>
          <t>agent/policy.json and data/AVGO/metrics.json</t>
        </is>
      </c>
    </row>
    <row r="10" ht="42" customHeight="1">
      <c r="A10" s="2" t="inlineStr">
        <is>
          <t>policy.lookback_years</t>
        </is>
      </c>
      <c r="B10" s="3" t="n">
        <v>10</v>
      </c>
      <c r="C10" s="2" t="inlineStr">
        <is>
          <t>agent/policy.json and data/AVGO/metrics.json</t>
        </is>
      </c>
    </row>
    <row r="11" ht="42" customHeight="1">
      <c r="A11" s="2" t="inlineStr">
        <is>
          <t>policy.evidence.high_years</t>
        </is>
      </c>
      <c r="B11" s="3" t="n">
        <v>5</v>
      </c>
      <c r="C11" s="2" t="inlineStr">
        <is>
          <t>agent/policy.json and data/AVGO/metrics.json</t>
        </is>
      </c>
    </row>
    <row r="12" ht="42" customHeight="1">
      <c r="A12" s="2" t="inlineStr">
        <is>
          <t>policy.evidence.medium_years</t>
        </is>
      </c>
      <c r="B12" s="3" t="n">
        <v>3</v>
      </c>
      <c r="C12" s="2" t="inlineStr">
        <is>
          <t>agent/policy.json and data/AVGO/metrics.json</t>
        </is>
      </c>
    </row>
    <row r="13" ht="42" customHeight="1">
      <c r="A13" s="2" t="inlineStr">
        <is>
          <t>policy.evidence.margin_add.high</t>
        </is>
      </c>
      <c r="B13" s="3" t="n">
        <v>0</v>
      </c>
      <c r="C13" s="2" t="inlineStr">
        <is>
          <t>agent/policy.json and data/AVGO/metrics.json</t>
        </is>
      </c>
    </row>
    <row r="14" ht="42" customHeight="1">
      <c r="A14" s="2" t="inlineStr">
        <is>
          <t>policy.evidence.margin_add.medium</t>
        </is>
      </c>
      <c r="B14" s="3" t="n">
        <v>0.1</v>
      </c>
      <c r="C14" s="2" t="inlineStr">
        <is>
          <t>agent/policy.json and data/AVGO/metrics.json</t>
        </is>
      </c>
    </row>
    <row r="15" ht="42" customHeight="1">
      <c r="A15" s="2" t="inlineStr">
        <is>
          <t>policy.evidence.margin_add.low</t>
        </is>
      </c>
      <c r="B15" s="3" t="n">
        <v>0.2</v>
      </c>
      <c r="C15" s="2" t="inlineStr">
        <is>
          <t>agent/policy.json and data/AVGO/metrics.json</t>
        </is>
      </c>
    </row>
    <row r="16" ht="42" customHeight="1">
      <c r="A16" s="2" t="inlineStr">
        <is>
          <t>policy.valuation.wacc</t>
        </is>
      </c>
      <c r="B16" s="3" t="n">
        <v>0.09</v>
      </c>
      <c r="C16" s="2" t="inlineStr">
        <is>
          <t>agent/policy.json and data/AVGO/metrics.json</t>
        </is>
      </c>
    </row>
    <row r="17" ht="42" customHeight="1">
      <c r="A17" s="2" t="inlineStr">
        <is>
          <t>policy.valuation.normal_pe</t>
        </is>
      </c>
      <c r="B17" s="3" t="n">
        <v>15</v>
      </c>
      <c r="C17" s="2" t="inlineStr">
        <is>
          <t>agent/policy.json and data/AVGO/metrics.json</t>
        </is>
      </c>
    </row>
    <row r="18" ht="42" customHeight="1">
      <c r="A18" s="2" t="inlineStr">
        <is>
          <t>policy.valuation.maintenance_capex_ratio</t>
        </is>
      </c>
      <c r="B18" s="3" t="n">
        <v>1</v>
      </c>
      <c r="C18" s="2" t="inlineStr">
        <is>
          <t>agent/policy.json and data/AVGO/metrics.json</t>
        </is>
      </c>
    </row>
    <row r="19" ht="42" customHeight="1">
      <c r="A19" s="2" t="inlineStr">
        <is>
          <t>policy.valuation.dcf.years</t>
        </is>
      </c>
      <c r="B19" s="3" t="n">
        <v>10</v>
      </c>
      <c r="C19" s="2" t="inlineStr">
        <is>
          <t>agent/policy.json and data/AVGO/metrics.json</t>
        </is>
      </c>
    </row>
    <row r="20" ht="42" customHeight="1">
      <c r="A20" s="2" t="inlineStr">
        <is>
          <t>policy.valuation.dcf.growth_cap</t>
        </is>
      </c>
      <c r="B20" s="3" t="n">
        <v>0.1</v>
      </c>
      <c r="C20" s="2" t="inlineStr">
        <is>
          <t>agent/policy.json and data/AVGO/metrics.json</t>
        </is>
      </c>
    </row>
    <row r="21" ht="42" customHeight="1">
      <c r="A21" s="2" t="inlineStr">
        <is>
          <t>policy.valuation.dcf.growth_delta.bear</t>
        </is>
      </c>
      <c r="B21" s="3" t="n">
        <v>-0.05</v>
      </c>
      <c r="C21" s="2" t="inlineStr">
        <is>
          <t>agent/policy.json and data/AVGO/metrics.json</t>
        </is>
      </c>
    </row>
    <row r="22" ht="42" customHeight="1">
      <c r="A22" s="2" t="inlineStr">
        <is>
          <t>policy.valuation.dcf.growth_delta.bull</t>
        </is>
      </c>
      <c r="B22" s="3" t="n">
        <v>0.03</v>
      </c>
      <c r="C22" s="2" t="inlineStr">
        <is>
          <t>agent/policy.json and data/AVGO/metrics.json</t>
        </is>
      </c>
    </row>
    <row r="23" ht="42" customHeight="1">
      <c r="A23" s="2" t="inlineStr">
        <is>
          <t>policy.valuation.dcf.terminal_growth.bear</t>
        </is>
      </c>
      <c r="B23" s="3" t="n">
        <v>0.02</v>
      </c>
      <c r="C23" s="2" t="inlineStr">
        <is>
          <t>agent/policy.json and data/AVGO/metrics.json</t>
        </is>
      </c>
    </row>
    <row r="24" ht="42" customHeight="1">
      <c r="A24" s="2" t="inlineStr">
        <is>
          <t>policy.valuation.dcf.terminal_growth.base</t>
        </is>
      </c>
      <c r="B24" s="3" t="n">
        <v>0.025</v>
      </c>
      <c r="C24" s="2" t="inlineStr">
        <is>
          <t>agent/policy.json and data/AVGO/metrics.json</t>
        </is>
      </c>
    </row>
    <row r="25" ht="42" customHeight="1">
      <c r="A25" s="2" t="inlineStr">
        <is>
          <t>policy.valuation.dcf.terminal_growth.bull</t>
        </is>
      </c>
      <c r="B25" s="3" t="n">
        <v>0.03</v>
      </c>
      <c r="C25" s="2" t="inlineStr">
        <is>
          <t>agent/policy.json and data/AVGO/metrics.json</t>
        </is>
      </c>
    </row>
    <row r="26" ht="42" customHeight="1">
      <c r="A26" s="2" t="inlineStr">
        <is>
          <t>applied_assumptions.wacc</t>
        </is>
      </c>
      <c r="B26" s="3" t="n">
        <v>0.09</v>
      </c>
      <c r="C26" s="2" t="inlineStr">
        <is>
          <t>agent/policy.json and data/AVGO/metrics.json</t>
        </is>
      </c>
    </row>
    <row r="27" ht="42" customHeight="1">
      <c r="A27" s="2" t="inlineStr">
        <is>
          <t>applied_assumptions.normal_pe</t>
        </is>
      </c>
      <c r="B27" s="3" t="n">
        <v>15</v>
      </c>
      <c r="C27" s="2" t="inlineStr">
        <is>
          <t>agent/policy.json and data/AVGO/metrics.json</t>
        </is>
      </c>
    </row>
    <row r="28" ht="42" customHeight="1">
      <c r="A28" s="2" t="inlineStr">
        <is>
          <t>applied_assumptions.maintenance_capex_ratio</t>
        </is>
      </c>
      <c r="B28" s="3" t="n">
        <v>1</v>
      </c>
      <c r="C28" s="2" t="inlineStr">
        <is>
          <t>agent/policy.json and data/AVGO/metrics.json</t>
        </is>
      </c>
    </row>
    <row r="29" ht="42" customHeight="1">
      <c r="A29" s="2" t="inlineStr">
        <is>
          <t>applied_assumptions.dcf.years</t>
        </is>
      </c>
      <c r="B29" s="3" t="n">
        <v>10</v>
      </c>
      <c r="C29" s="2" t="inlineStr">
        <is>
          <t>agent/policy.json and data/AVGO/metrics.json</t>
        </is>
      </c>
    </row>
    <row r="30" ht="42" customHeight="1">
      <c r="A30" s="2" t="inlineStr">
        <is>
          <t>applied_assumptions.dcf.growth_cap</t>
        </is>
      </c>
      <c r="B30" s="3" t="n">
        <v>0.1</v>
      </c>
      <c r="C30" s="2" t="inlineStr">
        <is>
          <t>agent/policy.json and data/AVGO/metrics.json</t>
        </is>
      </c>
    </row>
    <row r="31" ht="42" customHeight="1">
      <c r="A31" s="2" t="inlineStr">
        <is>
          <t>applied_assumptions.dcf.growth_delta.bear</t>
        </is>
      </c>
      <c r="B31" s="3" t="n">
        <v>-0.05</v>
      </c>
      <c r="C31" s="2" t="inlineStr">
        <is>
          <t>agent/policy.json and data/AVGO/metrics.json</t>
        </is>
      </c>
    </row>
    <row r="32" ht="42" customHeight="1">
      <c r="A32" s="2" t="inlineStr">
        <is>
          <t>applied_assumptions.dcf.growth_delta.bull</t>
        </is>
      </c>
      <c r="B32" s="3" t="n">
        <v>0.03</v>
      </c>
      <c r="C32" s="2" t="inlineStr">
        <is>
          <t>agent/policy.json and data/AVGO/metrics.json</t>
        </is>
      </c>
    </row>
    <row r="33" ht="42" customHeight="1">
      <c r="A33" s="2" t="inlineStr">
        <is>
          <t>applied_assumptions.dcf.terminal_growth.bear</t>
        </is>
      </c>
      <c r="B33" s="3" t="n">
        <v>0.02</v>
      </c>
      <c r="C33" s="2" t="inlineStr">
        <is>
          <t>agent/policy.json and data/AVGO/metrics.json</t>
        </is>
      </c>
    </row>
    <row r="34" ht="42" customHeight="1">
      <c r="A34" s="2" t="inlineStr">
        <is>
          <t>applied_assumptions.dcf.terminal_growth.base</t>
        </is>
      </c>
      <c r="B34" s="3" t="n">
        <v>0.025</v>
      </c>
      <c r="C34" s="2" t="inlineStr">
        <is>
          <t>agent/policy.json and data/AVGO/metrics.json</t>
        </is>
      </c>
    </row>
    <row r="35" ht="42" customHeight="1">
      <c r="A35" s="2" t="inlineStr">
        <is>
          <t>applied_assumptions.dcf.terminal_growth.bull</t>
        </is>
      </c>
      <c r="B35" s="3" t="n">
        <v>0.03</v>
      </c>
      <c r="C35" s="2" t="inlineStr">
        <is>
          <t>agent/policy.json and data/AVGO/metrics.json</t>
        </is>
      </c>
    </row>
    <row r="36" ht="42" customHeight="1">
      <c r="A36" s="2" t="inlineStr">
        <is>
          <t>applied_assumptions.lookback_years</t>
        </is>
      </c>
      <c r="B36" s="3" t="n">
        <v>10</v>
      </c>
      <c r="C36" s="2" t="inlineStr">
        <is>
          <t>agent/policy.json and data/AVGO/metrics.json</t>
        </is>
      </c>
    </row>
    <row r="37" ht="42" customHeight="1">
      <c r="A37" s="2" t="inlineStr">
        <is>
          <t>applied_assumptions.min_roic_years_above_wacc</t>
        </is>
      </c>
      <c r="B37" s="3" t="n">
        <v>7</v>
      </c>
      <c r="C37" s="2" t="inlineStr">
        <is>
          <t>agent/policy.json and data/AVGO/metrics.json</t>
        </is>
      </c>
    </row>
    <row r="38" ht="42" customHeight="1">
      <c r="A38" s="2" t="inlineStr">
        <is>
          <t>applied_assumptions.normalization.tax_rate.value</t>
        </is>
      </c>
      <c r="B38" s="3" t="n">
        <v>0.21</v>
      </c>
      <c r="C38" s="2" t="inlineStr">
        <is>
          <t>agent/policy.json and data/AVGO/metrics.json</t>
        </is>
      </c>
    </row>
    <row r="39" ht="42" customHeight="1">
      <c r="A39" s="2" t="inlineStr">
        <is>
          <t>applied_assumptions.normalization.tax_rate.reason</t>
        </is>
      </c>
      <c r="B39" s="2" t="inlineStr">
        <is>
          <t>Illustrative normalized cash-tax estimate for comparison; sustainable company tax rate is not established.</t>
        </is>
      </c>
      <c r="C39" s="2" t="inlineStr">
        <is>
          <t>agent/policy.json and data/AVGO/metrics.json</t>
        </is>
      </c>
    </row>
    <row r="40" ht="42" customHeight="1">
      <c r="A40" s="2" t="inlineStr">
        <is>
          <t>applied_assumptions.normalization.tax_rate.source</t>
        </is>
      </c>
      <c r="B40" s="2" t="inlineStr">
        <is>
          <t>Analyst assumption, 2026-10-11</t>
        </is>
      </c>
      <c r="C40" s="2" t="inlineStr">
        <is>
          <t>agent/policy.json and data/AVGO/metrics.json</t>
        </is>
      </c>
    </row>
    <row r="41" ht="42" customHeight="1">
      <c r="A41" s="2" t="inlineStr">
        <is>
          <t>applied_assumptions.normalization.maintenance_capex.method</t>
        </is>
      </c>
      <c r="B41" s="2" t="inlineStr">
        <is>
          <t>depreciation</t>
        </is>
      </c>
      <c r="C41" s="2" t="inlineStr">
        <is>
          <t>agent/policy.json and data/AVGO/metrics.json</t>
        </is>
      </c>
    </row>
    <row r="42" ht="42" customHeight="1">
      <c r="A42" s="2" t="inlineStr">
        <is>
          <t>applied_assumptions.normalization.maintenance_capex.reason</t>
        </is>
      </c>
      <c r="B42" s="2" t="inlineStr">
        <is>
          <t>Physical depreciation used as an explicit maintenance proxy, excluding acquisition amortization; replacement spending is not independently verified.</t>
        </is>
      </c>
      <c r="C42" s="2" t="inlineStr">
        <is>
          <t>agent/policy.json and data/AVGO/metrics.json</t>
        </is>
      </c>
    </row>
    <row r="43" ht="42" customHeight="1">
      <c r="A43" s="2" t="inlineStr">
        <is>
          <t>applied_assumptions.normalization.maintenance_capex.source</t>
        </is>
      </c>
      <c r="B43" s="2" t="inlineStr">
        <is>
          <t>Analyst proxy using reported physical depreciation</t>
        </is>
      </c>
      <c r="C43" s="2" t="inlineStr">
        <is>
          <t>agent/policy.json and data/AVGO/metrics.json</t>
        </is>
      </c>
    </row>
    <row r="44" ht="42" customHeight="1">
      <c r="A44" s="2" t="inlineStr">
        <is>
          <t>applied_assumptions.forward_scenarios.0.id</t>
        </is>
      </c>
      <c r="B44" s="2" t="inlineStr">
        <is>
          <t>illustrative-growth</t>
        </is>
      </c>
      <c r="C44" s="2" t="inlineStr">
        <is>
          <t>agent/policy.json and data/AVGO/metrics.json</t>
        </is>
      </c>
    </row>
    <row r="45" ht="42" customHeight="1">
      <c r="A45" s="2" t="inlineStr">
        <is>
          <t>applied_assumptions.forward_scenarios.0.style</t>
        </is>
      </c>
      <c r="B45" s="2" t="inlineStr">
        <is>
          <t>growth</t>
        </is>
      </c>
      <c r="C45" s="2" t="inlineStr">
        <is>
          <t>agent/policy.json and data/AVGO/metrics.json</t>
        </is>
      </c>
    </row>
    <row r="46" ht="42" customHeight="1">
      <c r="A46" s="2" t="inlineStr">
        <is>
          <t>applied_assumptions.forward_scenarios.0.years</t>
        </is>
      </c>
      <c r="B46" s="3" t="n">
        <v>10</v>
      </c>
      <c r="C46" s="2" t="inlineStr">
        <is>
          <t>agent/policy.json and data/AVGO/metrics.json</t>
        </is>
      </c>
    </row>
    <row r="47" ht="42" customHeight="1">
      <c r="A47" s="2" t="inlineStr">
        <is>
          <t>applied_assumptions.forward_scenarios.0.tax_rate</t>
        </is>
      </c>
      <c r="B47" s="3" t="n">
        <v>0.21</v>
      </c>
      <c r="C47" s="2" t="inlineStr">
        <is>
          <t>agent/policy.json and data/AVGO/metrics.json</t>
        </is>
      </c>
    </row>
    <row r="48" ht="42" customHeight="1">
      <c r="A48" s="2" t="inlineStr">
        <is>
          <t>applied_assumptions.forward_scenarios.0.wacc</t>
        </is>
      </c>
      <c r="B48" s="3" t="n">
        <v>0.09</v>
      </c>
      <c r="C48" s="2" t="inlineStr">
        <is>
          <t>agent/policy.json and data/AVGO/metrics.json</t>
        </is>
      </c>
    </row>
    <row r="49" ht="42" customHeight="1">
      <c r="A49" s="2" t="inlineStr">
        <is>
          <t>applied_assumptions.forward_scenarios.0.terminal_growth</t>
        </is>
      </c>
      <c r="B49" s="3" t="n">
        <v>0.025</v>
      </c>
      <c r="C49" s="2" t="inlineStr">
        <is>
          <t>agent/policy.json and data/AVGO/metrics.json</t>
        </is>
      </c>
    </row>
    <row r="50" ht="42" customHeight="1">
      <c r="A50" s="2" t="inlineStr">
        <is>
          <t>applied_assumptions.forward_scenarios.0.terminal_roic</t>
        </is>
      </c>
      <c r="B50" s="3" t="n">
        <v>0.15</v>
      </c>
      <c r="C50" s="2" t="inlineStr">
        <is>
          <t>agent/policy.json and data/AVGO/metrics.json</t>
        </is>
      </c>
    </row>
    <row r="51" ht="42" customHeight="1">
      <c r="A51" s="2" t="inlineStr">
        <is>
          <t>applied_assumptions.forward_scenarios.0.sbc_treatment</t>
        </is>
      </c>
      <c r="B51" s="2" t="inlineStr">
        <is>
          <t>expensed_in_margins</t>
        </is>
      </c>
      <c r="C51" s="2" t="inlineStr">
        <is>
          <t>agent/policy.json and data/AVGO/metrics.json</t>
        </is>
      </c>
    </row>
    <row r="52" ht="42" customHeight="1">
      <c r="A52" s="2" t="inlineStr">
        <is>
          <t>applied_assumptions.forward_scenarios.0.corporate_costs.0</t>
        </is>
      </c>
      <c r="B52" s="3" t="n">
        <v>0</v>
      </c>
      <c r="C52" s="2" t="inlineStr">
        <is>
          <t>agent/policy.json and data/AVGO/metrics.json</t>
        </is>
      </c>
    </row>
    <row r="53" ht="42" customHeight="1">
      <c r="A53" s="2" t="inlineStr">
        <is>
          <t>applied_assumptions.forward_scenarios.0.corporate_costs.1</t>
        </is>
      </c>
      <c r="B53" s="3" t="n">
        <v>0</v>
      </c>
      <c r="C53" s="2" t="inlineStr">
        <is>
          <t>agent/policy.json and data/AVGO/metrics.json</t>
        </is>
      </c>
    </row>
    <row r="54" ht="42" customHeight="1">
      <c r="A54" s="2" t="inlineStr">
        <is>
          <t>applied_assumptions.forward_scenarios.0.corporate_costs.2</t>
        </is>
      </c>
      <c r="B54" s="3" t="n">
        <v>0</v>
      </c>
      <c r="C54" s="2" t="inlineStr">
        <is>
          <t>agent/policy.json and data/AVGO/metrics.json</t>
        </is>
      </c>
    </row>
    <row r="55" ht="42" customHeight="1">
      <c r="A55" s="2" t="inlineStr">
        <is>
          <t>applied_assumptions.forward_scenarios.0.corporate_costs.3</t>
        </is>
      </c>
      <c r="B55" s="3" t="n">
        <v>0</v>
      </c>
      <c r="C55" s="2" t="inlineStr">
        <is>
          <t>agent/policy.json and data/AVGO/metrics.json</t>
        </is>
      </c>
    </row>
    <row r="56" ht="42" customHeight="1">
      <c r="A56" s="2" t="inlineStr">
        <is>
          <t>applied_assumptions.forward_scenarios.0.corporate_costs.4</t>
        </is>
      </c>
      <c r="B56" s="3" t="n">
        <v>0</v>
      </c>
      <c r="C56" s="2" t="inlineStr">
        <is>
          <t>agent/policy.json and data/AVGO/metrics.json</t>
        </is>
      </c>
    </row>
    <row r="57" ht="42" customHeight="1">
      <c r="A57" s="2" t="inlineStr">
        <is>
          <t>applied_assumptions.forward_scenarios.0.corporate_costs.5</t>
        </is>
      </c>
      <c r="B57" s="3" t="n">
        <v>0</v>
      </c>
      <c r="C57" s="2" t="inlineStr">
        <is>
          <t>agent/policy.json and data/AVGO/metrics.json</t>
        </is>
      </c>
    </row>
    <row r="58" ht="42" customHeight="1">
      <c r="A58" s="2" t="inlineStr">
        <is>
          <t>applied_assumptions.forward_scenarios.0.corporate_costs.6</t>
        </is>
      </c>
      <c r="B58" s="3" t="n">
        <v>0</v>
      </c>
      <c r="C58" s="2" t="inlineStr">
        <is>
          <t>agent/policy.json and data/AVGO/metrics.json</t>
        </is>
      </c>
    </row>
    <row r="59" ht="42" customHeight="1">
      <c r="A59" s="2" t="inlineStr">
        <is>
          <t>applied_assumptions.forward_scenarios.0.corporate_costs.7</t>
        </is>
      </c>
      <c r="B59" s="3" t="n">
        <v>0</v>
      </c>
      <c r="C59" s="2" t="inlineStr">
        <is>
          <t>agent/policy.json and data/AVGO/metrics.json</t>
        </is>
      </c>
    </row>
    <row r="60" ht="42" customHeight="1">
      <c r="A60" s="2" t="inlineStr">
        <is>
          <t>applied_assumptions.forward_scenarios.0.corporate_costs.8</t>
        </is>
      </c>
      <c r="B60" s="3" t="n">
        <v>0</v>
      </c>
      <c r="C60" s="2" t="inlineStr">
        <is>
          <t>agent/policy.json and data/AVGO/metrics.json</t>
        </is>
      </c>
    </row>
    <row r="61" ht="42" customHeight="1">
      <c r="A61" s="2" t="inlineStr">
        <is>
          <t>applied_assumptions.forward_scenarios.0.corporate_costs.9</t>
        </is>
      </c>
      <c r="B61" s="3" t="n">
        <v>0</v>
      </c>
      <c r="C61" s="2" t="inlineStr">
        <is>
          <t>agent/policy.json and data/AVGO/metrics.json</t>
        </is>
      </c>
    </row>
    <row r="62" ht="42" customHeight="1">
      <c r="A62" s="2" t="inlineStr">
        <is>
          <t>applied_assumptions.forward_scenarios.0.segments.0.name</t>
        </is>
      </c>
      <c r="B62" s="2" t="inlineStr">
        <is>
          <t>Semiconductor solutions (including AI)</t>
        </is>
      </c>
      <c r="C62" s="2" t="inlineStr">
        <is>
          <t>agent/policy.json and data/AVGO/metrics.json</t>
        </is>
      </c>
    </row>
    <row r="63" ht="42" customHeight="1">
      <c r="A63" s="2" t="inlineStr">
        <is>
          <t>applied_assumptions.forward_scenarios.0.segments.0.base_revenue.period_end</t>
        </is>
      </c>
      <c r="B63" s="2" t="inlineStr">
        <is>
          <t>2026-08-02</t>
        </is>
      </c>
      <c r="C63" s="2" t="inlineStr">
        <is>
          <t>agent/policy.json and data/AVGO/metrics.json</t>
        </is>
      </c>
    </row>
    <row r="64" ht="42" customHeight="1">
      <c r="A64" s="2" t="inlineStr">
        <is>
          <t>applied_assumptions.forward_scenarios.0.segments.0.base_revenue.components.0.item</t>
        </is>
      </c>
      <c r="B64" s="2" t="inlineStr">
        <is>
          <t>segment_revenue_semiconductor</t>
        </is>
      </c>
      <c r="C64" s="2" t="inlineStr">
        <is>
          <t>agent/policy.json and data/AVGO/metrics.json</t>
        </is>
      </c>
    </row>
    <row r="65" ht="42" customHeight="1">
      <c r="A65" s="2" t="inlineStr">
        <is>
          <t>applied_assumptions.forward_scenarios.0.segments.0.base_revenue.components.0.period_end</t>
        </is>
      </c>
      <c r="B65" s="2" t="inlineStr">
        <is>
          <t>2025-11-02</t>
        </is>
      </c>
      <c r="C65" s="2" t="inlineStr">
        <is>
          <t>agent/policy.json and data/AVGO/metrics.json</t>
        </is>
      </c>
    </row>
    <row r="66" ht="42" customHeight="1">
      <c r="A66" s="2" t="inlineStr">
        <is>
          <t>applied_assumptions.forward_scenarios.0.segments.0.base_revenue.components.0.value</t>
        </is>
      </c>
      <c r="B66" s="3" t="n">
        <v>36858000000</v>
      </c>
      <c r="C66" s="2" t="inlineStr">
        <is>
          <t>agent/policy.json and data/AVGO/metrics.json</t>
        </is>
      </c>
    </row>
    <row r="67" ht="42" customHeight="1">
      <c r="A67" s="2" t="inlineStr">
        <is>
          <t>applied_assumptions.forward_scenarios.0.segments.0.base_revenue.components.0.source</t>
        </is>
      </c>
      <c r="B67" s="2" t="inlineStr">
        <is>
          <t>10-K 0001730168-25-000121</t>
        </is>
      </c>
      <c r="C67" s="2" t="inlineStr">
        <is>
          <t>agent/policy.json and data/AVGO/metrics.json</t>
        </is>
      </c>
    </row>
    <row r="68" ht="42" customHeight="1">
      <c r="A68" s="2" t="inlineStr">
        <is>
          <t>applied_assumptions.forward_scenarios.0.segments.0.base_revenue.components.0.sign</t>
        </is>
      </c>
      <c r="B68" s="3" t="n">
        <v>1</v>
      </c>
      <c r="C68" s="2" t="inlineStr">
        <is>
          <t>agent/policy.json and data/AVGO/metrics.json</t>
        </is>
      </c>
    </row>
    <row r="69" ht="42" customHeight="1">
      <c r="A69" s="2" t="inlineStr">
        <is>
          <t>applied_assumptions.forward_scenarios.0.segments.0.base_revenue.components.1.item</t>
        </is>
      </c>
      <c r="B69" s="2" t="inlineStr">
        <is>
          <t>segment_revenue_semiconductor</t>
        </is>
      </c>
      <c r="C69" s="2" t="inlineStr">
        <is>
          <t>agent/policy.json and data/AVGO/metrics.json</t>
        </is>
      </c>
    </row>
    <row r="70" ht="42" customHeight="1">
      <c r="A70" s="2" t="inlineStr">
        <is>
          <t>applied_assumptions.forward_scenarios.0.segments.0.base_revenue.components.1.period_end</t>
        </is>
      </c>
      <c r="B70" s="2" t="inlineStr">
        <is>
          <t>2026-08-02</t>
        </is>
      </c>
      <c r="C70" s="2" t="inlineStr">
        <is>
          <t>agent/policy.json and data/AVGO/metrics.json</t>
        </is>
      </c>
    </row>
    <row r="71" ht="42" customHeight="1">
      <c r="A71" s="2" t="inlineStr">
        <is>
          <t>applied_assumptions.forward_scenarios.0.segments.0.base_revenue.components.1.value</t>
        </is>
      </c>
      <c r="B71" s="3" t="n">
        <v>48363000000</v>
      </c>
      <c r="C71" s="2" t="inlineStr">
        <is>
          <t>agent/policy.json and data/AVGO/metrics.json</t>
        </is>
      </c>
    </row>
    <row r="72" ht="42" customHeight="1">
      <c r="A72" s="2" t="inlineStr">
        <is>
          <t>applied_assumptions.forward_scenarios.0.segments.0.base_revenue.components.1.source</t>
        </is>
      </c>
      <c r="B72" s="2" t="inlineStr">
        <is>
          <t>10-Q 0001730168-26-000080</t>
        </is>
      </c>
      <c r="C72" s="2" t="inlineStr">
        <is>
          <t>agent/policy.json and data/AVGO/metrics.json</t>
        </is>
      </c>
    </row>
    <row r="73" ht="42" customHeight="1">
      <c r="A73" s="2" t="inlineStr">
        <is>
          <t>applied_assumptions.forward_scenarios.0.segments.0.base_revenue.components.1.sign</t>
        </is>
      </c>
      <c r="B73" s="3" t="n">
        <v>1</v>
      </c>
      <c r="C73" s="2" t="inlineStr">
        <is>
          <t>agent/policy.json and data/AVGO/metrics.json</t>
        </is>
      </c>
    </row>
    <row r="74" ht="42" customHeight="1">
      <c r="A74" s="2" t="inlineStr">
        <is>
          <t>applied_assumptions.forward_scenarios.0.segments.0.base_revenue.components.2.item</t>
        </is>
      </c>
      <c r="B74" s="2" t="inlineStr">
        <is>
          <t>segment_revenue_semiconductor</t>
        </is>
      </c>
      <c r="C74" s="2" t="inlineStr">
        <is>
          <t>agent/policy.json and data/AVGO/metrics.json</t>
        </is>
      </c>
    </row>
    <row r="75" ht="42" customHeight="1">
      <c r="A75" s="2" t="inlineStr">
        <is>
          <t>applied_assumptions.forward_scenarios.0.segments.0.base_revenue.components.2.period_end</t>
        </is>
      </c>
      <c r="B75" s="2" t="inlineStr">
        <is>
          <t>2025-08-03</t>
        </is>
      </c>
      <c r="C75" s="2" t="inlineStr">
        <is>
          <t>agent/policy.json and data/AVGO/metrics.json</t>
        </is>
      </c>
    </row>
    <row r="76" ht="42" customHeight="1">
      <c r="A76" s="2" t="inlineStr">
        <is>
          <t>applied_assumptions.forward_scenarios.0.segments.0.base_revenue.components.2.value</t>
        </is>
      </c>
      <c r="B76" s="3" t="n">
        <v>25786000000</v>
      </c>
      <c r="C76" s="2" t="inlineStr">
        <is>
          <t>agent/policy.json and data/AVGO/metrics.json</t>
        </is>
      </c>
    </row>
    <row r="77" ht="42" customHeight="1">
      <c r="A77" s="2" t="inlineStr">
        <is>
          <t>applied_assumptions.forward_scenarios.0.segments.0.base_revenue.components.2.source</t>
        </is>
      </c>
      <c r="B77" s="2" t="inlineStr">
        <is>
          <t>10-Q 0001730168-26-000080</t>
        </is>
      </c>
      <c r="C77" s="2" t="inlineStr">
        <is>
          <t>agent/policy.json and data/AVGO/metrics.json</t>
        </is>
      </c>
    </row>
    <row r="78" ht="42" customHeight="1">
      <c r="A78" s="2" t="inlineStr">
        <is>
          <t>applied_assumptions.forward_scenarios.0.segments.0.base_revenue.components.2.sign</t>
        </is>
      </c>
      <c r="B78" s="3" t="n">
        <v>-1</v>
      </c>
      <c r="C78" s="2" t="inlineStr">
        <is>
          <t>agent/policy.json and data/AVGO/metrics.json</t>
        </is>
      </c>
    </row>
    <row r="79" ht="42" customHeight="1">
      <c r="A79" s="2" t="inlineStr">
        <is>
          <t>applied_assumptions.forward_scenarios.0.segments.0.base_working_capital_ratio</t>
        </is>
      </c>
      <c r="B79" s="3" t="n">
        <v>0.18</v>
      </c>
      <c r="C79" s="2" t="inlineStr">
        <is>
          <t>agent/policy.json and data/AVGO/metrics.json</t>
        </is>
      </c>
    </row>
    <row r="80" ht="42" customHeight="1">
      <c r="A80" s="2" t="inlineStr">
        <is>
          <t>applied_assumptions.forward_scenarios.0.segments.0.growth.0</t>
        </is>
      </c>
      <c r="B80" s="3" t="n">
        <v>0.3</v>
      </c>
      <c r="C80" s="2" t="inlineStr">
        <is>
          <t>agent/policy.json and data/AVGO/metrics.json</t>
        </is>
      </c>
    </row>
    <row r="81" ht="42" customHeight="1">
      <c r="A81" s="2" t="inlineStr">
        <is>
          <t>applied_assumptions.forward_scenarios.0.segments.0.growth.1</t>
        </is>
      </c>
      <c r="B81" s="3" t="n">
        <v>0.25</v>
      </c>
      <c r="C81" s="2" t="inlineStr">
        <is>
          <t>agent/policy.json and data/AVGO/metrics.json</t>
        </is>
      </c>
    </row>
    <row r="82" ht="42" customHeight="1">
      <c r="A82" s="2" t="inlineStr">
        <is>
          <t>applied_assumptions.forward_scenarios.0.segments.0.growth.2</t>
        </is>
      </c>
      <c r="B82" s="3" t="n">
        <v>0.2</v>
      </c>
      <c r="C82" s="2" t="inlineStr">
        <is>
          <t>agent/policy.json and data/AVGO/metrics.json</t>
        </is>
      </c>
    </row>
    <row r="83" ht="42" customHeight="1">
      <c r="A83" s="2" t="inlineStr">
        <is>
          <t>applied_assumptions.forward_scenarios.0.segments.0.growth.3</t>
        </is>
      </c>
      <c r="B83" s="3" t="n">
        <v>0.15</v>
      </c>
      <c r="C83" s="2" t="inlineStr">
        <is>
          <t>agent/policy.json and data/AVGO/metrics.json</t>
        </is>
      </c>
    </row>
    <row r="84" ht="42" customHeight="1">
      <c r="A84" s="2" t="inlineStr">
        <is>
          <t>applied_assumptions.forward_scenarios.0.segments.0.growth.4</t>
        </is>
      </c>
      <c r="B84" s="3" t="n">
        <v>0.12</v>
      </c>
      <c r="C84" s="2" t="inlineStr">
        <is>
          <t>agent/policy.json and data/AVGO/metrics.json</t>
        </is>
      </c>
    </row>
    <row r="85" ht="42" customHeight="1">
      <c r="A85" s="2" t="inlineStr">
        <is>
          <t>applied_assumptions.forward_scenarios.0.segments.0.growth.5</t>
        </is>
      </c>
      <c r="B85" s="3" t="n">
        <v>0.1</v>
      </c>
      <c r="C85" s="2" t="inlineStr">
        <is>
          <t>agent/policy.json and data/AVGO/metrics.json</t>
        </is>
      </c>
    </row>
    <row r="86" ht="42" customHeight="1">
      <c r="A86" s="2" t="inlineStr">
        <is>
          <t>applied_assumptions.forward_scenarios.0.segments.0.growth.6</t>
        </is>
      </c>
      <c r="B86" s="3" t="n">
        <v>0.08</v>
      </c>
      <c r="C86" s="2" t="inlineStr">
        <is>
          <t>agent/policy.json and data/AVGO/metrics.json</t>
        </is>
      </c>
    </row>
    <row r="87" ht="42" customHeight="1">
      <c r="A87" s="2" t="inlineStr">
        <is>
          <t>applied_assumptions.forward_scenarios.0.segments.0.growth.7</t>
        </is>
      </c>
      <c r="B87" s="3" t="n">
        <v>0.06</v>
      </c>
      <c r="C87" s="2" t="inlineStr">
        <is>
          <t>agent/policy.json and data/AVGO/metrics.json</t>
        </is>
      </c>
    </row>
    <row r="88" ht="42" customHeight="1">
      <c r="A88" s="2" t="inlineStr">
        <is>
          <t>applied_assumptions.forward_scenarios.0.segments.0.growth.8</t>
        </is>
      </c>
      <c r="B88" s="3" t="n">
        <v>0.05</v>
      </c>
      <c r="C88" s="2" t="inlineStr">
        <is>
          <t>agent/policy.json and data/AVGO/metrics.json</t>
        </is>
      </c>
    </row>
    <row r="89" ht="42" customHeight="1">
      <c r="A89" s="2" t="inlineStr">
        <is>
          <t>applied_assumptions.forward_scenarios.0.segments.0.growth.9</t>
        </is>
      </c>
      <c r="B89" s="3" t="n">
        <v>0.04</v>
      </c>
      <c r="C89" s="2" t="inlineStr">
        <is>
          <t>agent/policy.json and data/AVGO/metrics.json</t>
        </is>
      </c>
    </row>
    <row r="90" ht="42" customHeight="1">
      <c r="A90" s="2" t="inlineStr">
        <is>
          <t>applied_assumptions.forward_scenarios.0.segments.0.operating_margin.0</t>
        </is>
      </c>
      <c r="B90" s="3" t="n">
        <v>0.4</v>
      </c>
      <c r="C90" s="2" t="inlineStr">
        <is>
          <t>agent/policy.json and data/AVGO/metrics.json</t>
        </is>
      </c>
    </row>
    <row r="91" ht="42" customHeight="1">
      <c r="A91" s="2" t="inlineStr">
        <is>
          <t>applied_assumptions.forward_scenarios.0.segments.0.operating_margin.1</t>
        </is>
      </c>
      <c r="B91" s="3" t="n">
        <v>0.4</v>
      </c>
      <c r="C91" s="2" t="inlineStr">
        <is>
          <t>agent/policy.json and data/AVGO/metrics.json</t>
        </is>
      </c>
    </row>
    <row r="92" ht="42" customHeight="1">
      <c r="A92" s="2" t="inlineStr">
        <is>
          <t>applied_assumptions.forward_scenarios.0.segments.0.operating_margin.2</t>
        </is>
      </c>
      <c r="B92" s="3" t="n">
        <v>0.4</v>
      </c>
      <c r="C92" s="2" t="inlineStr">
        <is>
          <t>agent/policy.json and data/AVGO/metrics.json</t>
        </is>
      </c>
    </row>
    <row r="93" ht="42" customHeight="1">
      <c r="A93" s="2" t="inlineStr">
        <is>
          <t>applied_assumptions.forward_scenarios.0.segments.0.operating_margin.3</t>
        </is>
      </c>
      <c r="B93" s="3" t="n">
        <v>0.4</v>
      </c>
      <c r="C93" s="2" t="inlineStr">
        <is>
          <t>agent/policy.json and data/AVGO/metrics.json</t>
        </is>
      </c>
    </row>
    <row r="94" ht="42" customHeight="1">
      <c r="A94" s="2" t="inlineStr">
        <is>
          <t>applied_assumptions.forward_scenarios.0.segments.0.operating_margin.4</t>
        </is>
      </c>
      <c r="B94" s="3" t="n">
        <v>0.4</v>
      </c>
      <c r="C94" s="2" t="inlineStr">
        <is>
          <t>agent/policy.json and data/AVGO/metrics.json</t>
        </is>
      </c>
    </row>
    <row r="95" ht="42" customHeight="1">
      <c r="A95" s="2" t="inlineStr">
        <is>
          <t>applied_assumptions.forward_scenarios.0.segments.0.operating_margin.5</t>
        </is>
      </c>
      <c r="B95" s="3" t="n">
        <v>0.4</v>
      </c>
      <c r="C95" s="2" t="inlineStr">
        <is>
          <t>agent/policy.json and data/AVGO/metrics.json</t>
        </is>
      </c>
    </row>
    <row r="96" ht="42" customHeight="1">
      <c r="A96" s="2" t="inlineStr">
        <is>
          <t>applied_assumptions.forward_scenarios.0.segments.0.operating_margin.6</t>
        </is>
      </c>
      <c r="B96" s="3" t="n">
        <v>0.4</v>
      </c>
      <c r="C96" s="2" t="inlineStr">
        <is>
          <t>agent/policy.json and data/AVGO/metrics.json</t>
        </is>
      </c>
    </row>
    <row r="97" ht="42" customHeight="1">
      <c r="A97" s="2" t="inlineStr">
        <is>
          <t>applied_assumptions.forward_scenarios.0.segments.0.operating_margin.7</t>
        </is>
      </c>
      <c r="B97" s="3" t="n">
        <v>0.4</v>
      </c>
      <c r="C97" s="2" t="inlineStr">
        <is>
          <t>agent/policy.json and data/AVGO/metrics.json</t>
        </is>
      </c>
    </row>
    <row r="98" ht="42" customHeight="1">
      <c r="A98" s="2" t="inlineStr">
        <is>
          <t>applied_assumptions.forward_scenarios.0.segments.0.operating_margin.8</t>
        </is>
      </c>
      <c r="B98" s="3" t="n">
        <v>0.4</v>
      </c>
      <c r="C98" s="2" t="inlineStr">
        <is>
          <t>agent/policy.json and data/AVGO/metrics.json</t>
        </is>
      </c>
    </row>
    <row r="99" ht="42" customHeight="1">
      <c r="A99" s="2" t="inlineStr">
        <is>
          <t>applied_assumptions.forward_scenarios.0.segments.0.operating_margin.9</t>
        </is>
      </c>
      <c r="B99" s="3" t="n">
        <v>0.4</v>
      </c>
      <c r="C99" s="2" t="inlineStr">
        <is>
          <t>agent/policy.json and data/AVGO/metrics.json</t>
        </is>
      </c>
    </row>
    <row r="100" ht="42" customHeight="1">
      <c r="A100" s="2" t="inlineStr">
        <is>
          <t>applied_assumptions.forward_scenarios.0.segments.0.depreciation_to_revenue.0</t>
        </is>
      </c>
      <c r="B100" s="3" t="n">
        <v>0.015</v>
      </c>
      <c r="C100" s="2" t="inlineStr">
        <is>
          <t>agent/policy.json and data/AVGO/metrics.json</t>
        </is>
      </c>
    </row>
    <row r="101" ht="42" customHeight="1">
      <c r="A101" s="2" t="inlineStr">
        <is>
          <t>applied_assumptions.forward_scenarios.0.segments.0.depreciation_to_revenue.1</t>
        </is>
      </c>
      <c r="B101" s="3" t="n">
        <v>0.015</v>
      </c>
      <c r="C101" s="2" t="inlineStr">
        <is>
          <t>agent/policy.json and data/AVGO/metrics.json</t>
        </is>
      </c>
    </row>
    <row r="102" ht="42" customHeight="1">
      <c r="A102" s="2" t="inlineStr">
        <is>
          <t>applied_assumptions.forward_scenarios.0.segments.0.depreciation_to_revenue.2</t>
        </is>
      </c>
      <c r="B102" s="3" t="n">
        <v>0.015</v>
      </c>
      <c r="C102" s="2" t="inlineStr">
        <is>
          <t>agent/policy.json and data/AVGO/metrics.json</t>
        </is>
      </c>
    </row>
    <row r="103" ht="42" customHeight="1">
      <c r="A103" s="2" t="inlineStr">
        <is>
          <t>applied_assumptions.forward_scenarios.0.segments.0.depreciation_to_revenue.3</t>
        </is>
      </c>
      <c r="B103" s="3" t="n">
        <v>0.015</v>
      </c>
      <c r="C103" s="2" t="inlineStr">
        <is>
          <t>agent/policy.json and data/AVGO/metrics.json</t>
        </is>
      </c>
    </row>
    <row r="104" ht="42" customHeight="1">
      <c r="A104" s="2" t="inlineStr">
        <is>
          <t>applied_assumptions.forward_scenarios.0.segments.0.depreciation_to_revenue.4</t>
        </is>
      </c>
      <c r="B104" s="3" t="n">
        <v>0.015</v>
      </c>
      <c r="C104" s="2" t="inlineStr">
        <is>
          <t>agent/policy.json and data/AVGO/metrics.json</t>
        </is>
      </c>
    </row>
    <row r="105" ht="42" customHeight="1">
      <c r="A105" s="2" t="inlineStr">
        <is>
          <t>applied_assumptions.forward_scenarios.0.segments.0.depreciation_to_revenue.5</t>
        </is>
      </c>
      <c r="B105" s="3" t="n">
        <v>0.015</v>
      </c>
      <c r="C105" s="2" t="inlineStr">
        <is>
          <t>agent/policy.json and data/AVGO/metrics.json</t>
        </is>
      </c>
    </row>
    <row r="106" ht="42" customHeight="1">
      <c r="A106" s="2" t="inlineStr">
        <is>
          <t>applied_assumptions.forward_scenarios.0.segments.0.depreciation_to_revenue.6</t>
        </is>
      </c>
      <c r="B106" s="3" t="n">
        <v>0.015</v>
      </c>
      <c r="C106" s="2" t="inlineStr">
        <is>
          <t>agent/policy.json and data/AVGO/metrics.json</t>
        </is>
      </c>
    </row>
    <row r="107" ht="42" customHeight="1">
      <c r="A107" s="2" t="inlineStr">
        <is>
          <t>applied_assumptions.forward_scenarios.0.segments.0.depreciation_to_revenue.7</t>
        </is>
      </c>
      <c r="B107" s="3" t="n">
        <v>0.015</v>
      </c>
      <c r="C107" s="2" t="inlineStr">
        <is>
          <t>agent/policy.json and data/AVGO/metrics.json</t>
        </is>
      </c>
    </row>
    <row r="108" ht="42" customHeight="1">
      <c r="A108" s="2" t="inlineStr">
        <is>
          <t>applied_assumptions.forward_scenarios.0.segments.0.depreciation_to_revenue.8</t>
        </is>
      </c>
      <c r="B108" s="3" t="n">
        <v>0.015</v>
      </c>
      <c r="C108" s="2" t="inlineStr">
        <is>
          <t>agent/policy.json and data/AVGO/metrics.json</t>
        </is>
      </c>
    </row>
    <row r="109" ht="42" customHeight="1">
      <c r="A109" s="2" t="inlineStr">
        <is>
          <t>applied_assumptions.forward_scenarios.0.segments.0.depreciation_to_revenue.9</t>
        </is>
      </c>
      <c r="B109" s="3" t="n">
        <v>0.015</v>
      </c>
      <c r="C109" s="2" t="inlineStr">
        <is>
          <t>agent/policy.json and data/AVGO/metrics.json</t>
        </is>
      </c>
    </row>
    <row r="110" ht="42" customHeight="1">
      <c r="A110" s="2" t="inlineStr">
        <is>
          <t>applied_assumptions.forward_scenarios.0.segments.0.capex_to_revenue.0</t>
        </is>
      </c>
      <c r="B110" s="3" t="n">
        <v>0.025</v>
      </c>
      <c r="C110" s="2" t="inlineStr">
        <is>
          <t>agent/policy.json and data/AVGO/metrics.json</t>
        </is>
      </c>
    </row>
    <row r="111" ht="42" customHeight="1">
      <c r="A111" s="2" t="inlineStr">
        <is>
          <t>applied_assumptions.forward_scenarios.0.segments.0.capex_to_revenue.1</t>
        </is>
      </c>
      <c r="B111" s="3" t="n">
        <v>0.025</v>
      </c>
      <c r="C111" s="2" t="inlineStr">
        <is>
          <t>agent/policy.json and data/AVGO/metrics.json</t>
        </is>
      </c>
    </row>
    <row r="112" ht="42" customHeight="1">
      <c r="A112" s="2" t="inlineStr">
        <is>
          <t>applied_assumptions.forward_scenarios.0.segments.0.capex_to_revenue.2</t>
        </is>
      </c>
      <c r="B112" s="3" t="n">
        <v>0.025</v>
      </c>
      <c r="C112" s="2" t="inlineStr">
        <is>
          <t>agent/policy.json and data/AVGO/metrics.json</t>
        </is>
      </c>
    </row>
    <row r="113" ht="42" customHeight="1">
      <c r="A113" s="2" t="inlineStr">
        <is>
          <t>applied_assumptions.forward_scenarios.0.segments.0.capex_to_revenue.3</t>
        </is>
      </c>
      <c r="B113" s="3" t="n">
        <v>0.025</v>
      </c>
      <c r="C113" s="2" t="inlineStr">
        <is>
          <t>agent/policy.json and data/AVGO/metrics.json</t>
        </is>
      </c>
    </row>
    <row r="114" ht="42" customHeight="1">
      <c r="A114" s="2" t="inlineStr">
        <is>
          <t>applied_assumptions.forward_scenarios.0.segments.0.capex_to_revenue.4</t>
        </is>
      </c>
      <c r="B114" s="3" t="n">
        <v>0.025</v>
      </c>
      <c r="C114" s="2" t="inlineStr">
        <is>
          <t>agent/policy.json and data/AVGO/metrics.json</t>
        </is>
      </c>
    </row>
    <row r="115" ht="42" customHeight="1">
      <c r="A115" s="2" t="inlineStr">
        <is>
          <t>applied_assumptions.forward_scenarios.0.segments.0.capex_to_revenue.5</t>
        </is>
      </c>
      <c r="B115" s="3" t="n">
        <v>0.025</v>
      </c>
      <c r="C115" s="2" t="inlineStr">
        <is>
          <t>agent/policy.json and data/AVGO/metrics.json</t>
        </is>
      </c>
    </row>
    <row r="116" ht="42" customHeight="1">
      <c r="A116" s="2" t="inlineStr">
        <is>
          <t>applied_assumptions.forward_scenarios.0.segments.0.capex_to_revenue.6</t>
        </is>
      </c>
      <c r="B116" s="3" t="n">
        <v>0.025</v>
      </c>
      <c r="C116" s="2" t="inlineStr">
        <is>
          <t>agent/policy.json and data/AVGO/metrics.json</t>
        </is>
      </c>
    </row>
    <row r="117" ht="42" customHeight="1">
      <c r="A117" s="2" t="inlineStr">
        <is>
          <t>applied_assumptions.forward_scenarios.0.segments.0.capex_to_revenue.7</t>
        </is>
      </c>
      <c r="B117" s="3" t="n">
        <v>0.025</v>
      </c>
      <c r="C117" s="2" t="inlineStr">
        <is>
          <t>agent/policy.json and data/AVGO/metrics.json</t>
        </is>
      </c>
    </row>
    <row r="118" ht="42" customHeight="1">
      <c r="A118" s="2" t="inlineStr">
        <is>
          <t>applied_assumptions.forward_scenarios.0.segments.0.capex_to_revenue.8</t>
        </is>
      </c>
      <c r="B118" s="3" t="n">
        <v>0.025</v>
      </c>
      <c r="C118" s="2" t="inlineStr">
        <is>
          <t>agent/policy.json and data/AVGO/metrics.json</t>
        </is>
      </c>
    </row>
    <row r="119" ht="42" customHeight="1">
      <c r="A119" s="2" t="inlineStr">
        <is>
          <t>applied_assumptions.forward_scenarios.0.segments.0.capex_to_revenue.9</t>
        </is>
      </c>
      <c r="B119" s="3" t="n">
        <v>0.025</v>
      </c>
      <c r="C119" s="2" t="inlineStr">
        <is>
          <t>agent/policy.json and data/AVGO/metrics.json</t>
        </is>
      </c>
    </row>
    <row r="120" ht="42" customHeight="1">
      <c r="A120" s="2" t="inlineStr">
        <is>
          <t>applied_assumptions.forward_scenarios.0.segments.0.working_capital_to_revenue.0</t>
        </is>
      </c>
      <c r="B120" s="3" t="n">
        <v>0.18</v>
      </c>
      <c r="C120" s="2" t="inlineStr">
        <is>
          <t>agent/policy.json and data/AVGO/metrics.json</t>
        </is>
      </c>
    </row>
    <row r="121" ht="42" customHeight="1">
      <c r="A121" s="2" t="inlineStr">
        <is>
          <t>applied_assumptions.forward_scenarios.0.segments.0.working_capital_to_revenue.1</t>
        </is>
      </c>
      <c r="B121" s="3" t="n">
        <v>0.18</v>
      </c>
      <c r="C121" s="2" t="inlineStr">
        <is>
          <t>agent/policy.json and data/AVGO/metrics.json</t>
        </is>
      </c>
    </row>
    <row r="122" ht="42" customHeight="1">
      <c r="A122" s="2" t="inlineStr">
        <is>
          <t>applied_assumptions.forward_scenarios.0.segments.0.working_capital_to_revenue.2</t>
        </is>
      </c>
      <c r="B122" s="3" t="n">
        <v>0.18</v>
      </c>
      <c r="C122" s="2" t="inlineStr">
        <is>
          <t>agent/policy.json and data/AVGO/metrics.json</t>
        </is>
      </c>
    </row>
    <row r="123" ht="42" customHeight="1">
      <c r="A123" s="2" t="inlineStr">
        <is>
          <t>applied_assumptions.forward_scenarios.0.segments.0.working_capital_to_revenue.3</t>
        </is>
      </c>
      <c r="B123" s="3" t="n">
        <v>0.18</v>
      </c>
      <c r="C123" s="2" t="inlineStr">
        <is>
          <t>agent/policy.json and data/AVGO/metrics.json</t>
        </is>
      </c>
    </row>
    <row r="124" ht="42" customHeight="1">
      <c r="A124" s="2" t="inlineStr">
        <is>
          <t>applied_assumptions.forward_scenarios.0.segments.0.working_capital_to_revenue.4</t>
        </is>
      </c>
      <c r="B124" s="3" t="n">
        <v>0.18</v>
      </c>
      <c r="C124" s="2" t="inlineStr">
        <is>
          <t>agent/policy.json and data/AVGO/metrics.json</t>
        </is>
      </c>
    </row>
    <row r="125" ht="42" customHeight="1">
      <c r="A125" s="2" t="inlineStr">
        <is>
          <t>applied_assumptions.forward_scenarios.0.segments.0.working_capital_to_revenue.5</t>
        </is>
      </c>
      <c r="B125" s="3" t="n">
        <v>0.18</v>
      </c>
      <c r="C125" s="2" t="inlineStr">
        <is>
          <t>agent/policy.json and data/AVGO/metrics.json</t>
        </is>
      </c>
    </row>
    <row r="126" ht="42" customHeight="1">
      <c r="A126" s="2" t="inlineStr">
        <is>
          <t>applied_assumptions.forward_scenarios.0.segments.0.working_capital_to_revenue.6</t>
        </is>
      </c>
      <c r="B126" s="3" t="n">
        <v>0.18</v>
      </c>
      <c r="C126" s="2" t="inlineStr">
        <is>
          <t>agent/policy.json and data/AVGO/metrics.json</t>
        </is>
      </c>
    </row>
    <row r="127" ht="42" customHeight="1">
      <c r="A127" s="2" t="inlineStr">
        <is>
          <t>applied_assumptions.forward_scenarios.0.segments.0.working_capital_to_revenue.7</t>
        </is>
      </c>
      <c r="B127" s="3" t="n">
        <v>0.18</v>
      </c>
      <c r="C127" s="2" t="inlineStr">
        <is>
          <t>agent/policy.json and data/AVGO/metrics.json</t>
        </is>
      </c>
    </row>
    <row r="128" ht="42" customHeight="1">
      <c r="A128" s="2" t="inlineStr">
        <is>
          <t>applied_assumptions.forward_scenarios.0.segments.0.working_capital_to_revenue.8</t>
        </is>
      </c>
      <c r="B128" s="3" t="n">
        <v>0.18</v>
      </c>
      <c r="C128" s="2" t="inlineStr">
        <is>
          <t>agent/policy.json and data/AVGO/metrics.json</t>
        </is>
      </c>
    </row>
    <row r="129" ht="42" customHeight="1">
      <c r="A129" s="2" t="inlineStr">
        <is>
          <t>applied_assumptions.forward_scenarios.0.segments.0.working_capital_to_revenue.9</t>
        </is>
      </c>
      <c r="B129" s="3" t="n">
        <v>0.18</v>
      </c>
      <c r="C129" s="2" t="inlineStr">
        <is>
          <t>agent/policy.json and data/AVGO/metrics.json</t>
        </is>
      </c>
    </row>
    <row r="130" ht="42" customHeight="1">
      <c r="A130" s="2" t="inlineStr">
        <is>
          <t>applied_assumptions.forward_scenarios.0.segments.1.name</t>
        </is>
      </c>
      <c r="B130" s="2" t="inlineStr">
        <is>
          <t>Infrastructure software (including VMware)</t>
        </is>
      </c>
      <c r="C130" s="2" t="inlineStr">
        <is>
          <t>agent/policy.json and data/AVGO/metrics.json</t>
        </is>
      </c>
    </row>
    <row r="131" ht="42" customHeight="1">
      <c r="A131" s="2" t="inlineStr">
        <is>
          <t>applied_assumptions.forward_scenarios.0.segments.1.base_revenue.period_end</t>
        </is>
      </c>
      <c r="B131" s="2" t="inlineStr">
        <is>
          <t>2026-08-02</t>
        </is>
      </c>
      <c r="C131" s="2" t="inlineStr">
        <is>
          <t>agent/policy.json and data/AVGO/metrics.json</t>
        </is>
      </c>
    </row>
    <row r="132" ht="42" customHeight="1">
      <c r="A132" s="2" t="inlineStr">
        <is>
          <t>applied_assumptions.forward_scenarios.0.segments.1.base_revenue.components.0.item</t>
        </is>
      </c>
      <c r="B132" s="2" t="inlineStr">
        <is>
          <t>segment_revenue_software</t>
        </is>
      </c>
      <c r="C132" s="2" t="inlineStr">
        <is>
          <t>agent/policy.json and data/AVGO/metrics.json</t>
        </is>
      </c>
    </row>
    <row r="133" ht="42" customHeight="1">
      <c r="A133" s="2" t="inlineStr">
        <is>
          <t>applied_assumptions.forward_scenarios.0.segments.1.base_revenue.components.0.period_end</t>
        </is>
      </c>
      <c r="B133" s="2" t="inlineStr">
        <is>
          <t>2025-11-02</t>
        </is>
      </c>
      <c r="C133" s="2" t="inlineStr">
        <is>
          <t>agent/policy.json and data/AVGO/metrics.json</t>
        </is>
      </c>
    </row>
    <row r="134" ht="42" customHeight="1">
      <c r="A134" s="2" t="inlineStr">
        <is>
          <t>applied_assumptions.forward_scenarios.0.segments.1.base_revenue.components.0.value</t>
        </is>
      </c>
      <c r="B134" s="3" t="n">
        <v>27029000000</v>
      </c>
      <c r="C134" s="2" t="inlineStr">
        <is>
          <t>agent/policy.json and data/AVGO/metrics.json</t>
        </is>
      </c>
    </row>
    <row r="135" ht="42" customHeight="1">
      <c r="A135" s="2" t="inlineStr">
        <is>
          <t>applied_assumptions.forward_scenarios.0.segments.1.base_revenue.components.0.source</t>
        </is>
      </c>
      <c r="B135" s="2" t="inlineStr">
        <is>
          <t>10-K 0001730168-25-000121</t>
        </is>
      </c>
      <c r="C135" s="2" t="inlineStr">
        <is>
          <t>agent/policy.json and data/AVGO/metrics.json</t>
        </is>
      </c>
    </row>
    <row r="136" ht="42" customHeight="1">
      <c r="A136" s="2" t="inlineStr">
        <is>
          <t>applied_assumptions.forward_scenarios.0.segments.1.base_revenue.components.0.sign</t>
        </is>
      </c>
      <c r="B136" s="3" t="n">
        <v>1</v>
      </c>
      <c r="C136" s="2" t="inlineStr">
        <is>
          <t>agent/policy.json and data/AVGO/metrics.json</t>
        </is>
      </c>
    </row>
    <row r="137" ht="42" customHeight="1">
      <c r="A137" s="2" t="inlineStr">
        <is>
          <t>applied_assumptions.forward_scenarios.0.segments.1.base_revenue.components.1.item</t>
        </is>
      </c>
      <c r="B137" s="2" t="inlineStr">
        <is>
          <t>segment_revenue_software</t>
        </is>
      </c>
      <c r="C137" s="2" t="inlineStr">
        <is>
          <t>agent/policy.json and data/AVGO/metrics.json</t>
        </is>
      </c>
    </row>
    <row r="138" ht="42" customHeight="1">
      <c r="A138" s="2" t="inlineStr">
        <is>
          <t>applied_assumptions.forward_scenarios.0.segments.1.base_revenue.components.1.period_end</t>
        </is>
      </c>
      <c r="B138" s="2" t="inlineStr">
        <is>
          <t>2026-08-02</t>
        </is>
      </c>
      <c r="C138" s="2" t="inlineStr">
        <is>
          <t>agent/policy.json and data/AVGO/metrics.json</t>
        </is>
      </c>
    </row>
    <row r="139" ht="42" customHeight="1">
      <c r="A139" s="2" t="inlineStr">
        <is>
          <t>applied_assumptions.forward_scenarios.0.segments.1.base_revenue.components.1.value</t>
        </is>
      </c>
      <c r="B139" s="3" t="n">
        <v>22726000000</v>
      </c>
      <c r="C139" s="2" t="inlineStr">
        <is>
          <t>agent/policy.json and data/AVGO/metrics.json</t>
        </is>
      </c>
    </row>
    <row r="140" ht="42" customHeight="1">
      <c r="A140" s="2" t="inlineStr">
        <is>
          <t>applied_assumptions.forward_scenarios.0.segments.1.base_revenue.components.1.source</t>
        </is>
      </c>
      <c r="B140" s="2" t="inlineStr">
        <is>
          <t>10-Q 0001730168-26-000080</t>
        </is>
      </c>
      <c r="C140" s="2" t="inlineStr">
        <is>
          <t>agent/policy.json and data/AVGO/metrics.json</t>
        </is>
      </c>
    </row>
    <row r="141" ht="42" customHeight="1">
      <c r="A141" s="2" t="inlineStr">
        <is>
          <t>applied_assumptions.forward_scenarios.0.segments.1.base_revenue.components.1.sign</t>
        </is>
      </c>
      <c r="B141" s="3" t="n">
        <v>1</v>
      </c>
      <c r="C141" s="2" t="inlineStr">
        <is>
          <t>agent/policy.json and data/AVGO/metrics.json</t>
        </is>
      </c>
    </row>
    <row r="142" ht="42" customHeight="1">
      <c r="A142" s="2" t="inlineStr">
        <is>
          <t>applied_assumptions.forward_scenarios.0.segments.1.base_revenue.components.2.item</t>
        </is>
      </c>
      <c r="B142" s="2" t="inlineStr">
        <is>
          <t>segment_revenue_software</t>
        </is>
      </c>
      <c r="C142" s="2" t="inlineStr">
        <is>
          <t>agent/policy.json and data/AVGO/metrics.json</t>
        </is>
      </c>
    </row>
    <row r="143" ht="42" customHeight="1">
      <c r="A143" s="2" t="inlineStr">
        <is>
          <t>applied_assumptions.forward_scenarios.0.segments.1.base_revenue.components.2.period_end</t>
        </is>
      </c>
      <c r="B143" s="2" t="inlineStr">
        <is>
          <t>2025-08-03</t>
        </is>
      </c>
      <c r="C143" s="2" t="inlineStr">
        <is>
          <t>agent/policy.json and data/AVGO/metrics.json</t>
        </is>
      </c>
    </row>
    <row r="144" ht="42" customHeight="1">
      <c r="A144" s="2" t="inlineStr">
        <is>
          <t>applied_assumptions.forward_scenarios.0.segments.1.base_revenue.components.2.value</t>
        </is>
      </c>
      <c r="B144" s="3" t="n">
        <v>20086000000</v>
      </c>
      <c r="C144" s="2" t="inlineStr">
        <is>
          <t>agent/policy.json and data/AVGO/metrics.json</t>
        </is>
      </c>
    </row>
    <row r="145" ht="42" customHeight="1">
      <c r="A145" s="2" t="inlineStr">
        <is>
          <t>applied_assumptions.forward_scenarios.0.segments.1.base_revenue.components.2.source</t>
        </is>
      </c>
      <c r="B145" s="2" t="inlineStr">
        <is>
          <t>10-Q 0001730168-26-000080</t>
        </is>
      </c>
      <c r="C145" s="2" t="inlineStr">
        <is>
          <t>agent/policy.json and data/AVGO/metrics.json</t>
        </is>
      </c>
    </row>
    <row r="146" ht="42" customHeight="1">
      <c r="A146" s="2" t="inlineStr">
        <is>
          <t>applied_assumptions.forward_scenarios.0.segments.1.base_revenue.components.2.sign</t>
        </is>
      </c>
      <c r="B146" s="3" t="n">
        <v>-1</v>
      </c>
      <c r="C146" s="2" t="inlineStr">
        <is>
          <t>agent/policy.json and data/AVGO/metrics.json</t>
        </is>
      </c>
    </row>
    <row r="147" ht="42" customHeight="1">
      <c r="A147" s="2" t="inlineStr">
        <is>
          <t>applied_assumptions.forward_scenarios.0.segments.1.base_working_capital_ratio</t>
        </is>
      </c>
      <c r="B147" s="3" t="n">
        <v>0.05</v>
      </c>
      <c r="C147" s="2" t="inlineStr">
        <is>
          <t>agent/policy.json and data/AVGO/metrics.json</t>
        </is>
      </c>
    </row>
    <row r="148" ht="42" customHeight="1">
      <c r="A148" s="2" t="inlineStr">
        <is>
          <t>applied_assumptions.forward_scenarios.0.segments.1.growth.0</t>
        </is>
      </c>
      <c r="B148" s="3" t="n">
        <v>0.12</v>
      </c>
      <c r="C148" s="2" t="inlineStr">
        <is>
          <t>agent/policy.json and data/AVGO/metrics.json</t>
        </is>
      </c>
    </row>
    <row r="149" ht="42" customHeight="1">
      <c r="A149" s="2" t="inlineStr">
        <is>
          <t>applied_assumptions.forward_scenarios.0.segments.1.growth.1</t>
        </is>
      </c>
      <c r="B149" s="3" t="n">
        <v>0.11</v>
      </c>
      <c r="C149" s="2" t="inlineStr">
        <is>
          <t>agent/policy.json and data/AVGO/metrics.json</t>
        </is>
      </c>
    </row>
    <row r="150" ht="42" customHeight="1">
      <c r="A150" s="2" t="inlineStr">
        <is>
          <t>applied_assumptions.forward_scenarios.0.segments.1.growth.2</t>
        </is>
      </c>
      <c r="B150" s="3" t="n">
        <v>0.1</v>
      </c>
      <c r="C150" s="2" t="inlineStr">
        <is>
          <t>agent/policy.json and data/AVGO/metrics.json</t>
        </is>
      </c>
    </row>
    <row r="151" ht="42" customHeight="1">
      <c r="A151" s="2" t="inlineStr">
        <is>
          <t>applied_assumptions.forward_scenarios.0.segments.1.growth.3</t>
        </is>
      </c>
      <c r="B151" s="3" t="n">
        <v>0.09</v>
      </c>
      <c r="C151" s="2" t="inlineStr">
        <is>
          <t>agent/policy.json and data/AVGO/metrics.json</t>
        </is>
      </c>
    </row>
    <row r="152" ht="42" customHeight="1">
      <c r="A152" s="2" t="inlineStr">
        <is>
          <t>applied_assumptions.forward_scenarios.0.segments.1.growth.4</t>
        </is>
      </c>
      <c r="B152" s="3" t="n">
        <v>0.08</v>
      </c>
      <c r="C152" s="2" t="inlineStr">
        <is>
          <t>agent/policy.json and data/AVGO/metrics.json</t>
        </is>
      </c>
    </row>
    <row r="153" ht="42" customHeight="1">
      <c r="A153" s="2" t="inlineStr">
        <is>
          <t>applied_assumptions.forward_scenarios.0.segments.1.growth.5</t>
        </is>
      </c>
      <c r="B153" s="3" t="n">
        <v>0.07000000000000001</v>
      </c>
      <c r="C153" s="2" t="inlineStr">
        <is>
          <t>agent/policy.json and data/AVGO/metrics.json</t>
        </is>
      </c>
    </row>
    <row r="154" ht="42" customHeight="1">
      <c r="A154" s="2" t="inlineStr">
        <is>
          <t>applied_assumptions.forward_scenarios.0.segments.1.growth.6</t>
        </is>
      </c>
      <c r="B154" s="3" t="n">
        <v>0.06</v>
      </c>
      <c r="C154" s="2" t="inlineStr">
        <is>
          <t>agent/policy.json and data/AVGO/metrics.json</t>
        </is>
      </c>
    </row>
    <row r="155" ht="42" customHeight="1">
      <c r="A155" s="2" t="inlineStr">
        <is>
          <t>applied_assumptions.forward_scenarios.0.segments.1.growth.7</t>
        </is>
      </c>
      <c r="B155" s="3" t="n">
        <v>0.05</v>
      </c>
      <c r="C155" s="2" t="inlineStr">
        <is>
          <t>agent/policy.json and data/AVGO/metrics.json</t>
        </is>
      </c>
    </row>
    <row r="156" ht="42" customHeight="1">
      <c r="A156" s="2" t="inlineStr">
        <is>
          <t>applied_assumptions.forward_scenarios.0.segments.1.growth.8</t>
        </is>
      </c>
      <c r="B156" s="3" t="n">
        <v>0.04</v>
      </c>
      <c r="C156" s="2" t="inlineStr">
        <is>
          <t>agent/policy.json and data/AVGO/metrics.json</t>
        </is>
      </c>
    </row>
    <row r="157" ht="42" customHeight="1">
      <c r="A157" s="2" t="inlineStr">
        <is>
          <t>applied_assumptions.forward_scenarios.0.segments.1.growth.9</t>
        </is>
      </c>
      <c r="B157" s="3" t="n">
        <v>0.03</v>
      </c>
      <c r="C157" s="2" t="inlineStr">
        <is>
          <t>agent/policy.json and data/AVGO/metrics.json</t>
        </is>
      </c>
    </row>
    <row r="158" ht="42" customHeight="1">
      <c r="A158" s="2" t="inlineStr">
        <is>
          <t>applied_assumptions.forward_scenarios.0.segments.1.operating_margin.0</t>
        </is>
      </c>
      <c r="B158" s="3" t="n">
        <v>0.5</v>
      </c>
      <c r="C158" s="2" t="inlineStr">
        <is>
          <t>agent/policy.json and data/AVGO/metrics.json</t>
        </is>
      </c>
    </row>
    <row r="159" ht="42" customHeight="1">
      <c r="A159" s="2" t="inlineStr">
        <is>
          <t>applied_assumptions.forward_scenarios.0.segments.1.operating_margin.1</t>
        </is>
      </c>
      <c r="B159" s="3" t="n">
        <v>0.5</v>
      </c>
      <c r="C159" s="2" t="inlineStr">
        <is>
          <t>agent/policy.json and data/AVGO/metrics.json</t>
        </is>
      </c>
    </row>
    <row r="160" ht="42" customHeight="1">
      <c r="A160" s="2" t="inlineStr">
        <is>
          <t>applied_assumptions.forward_scenarios.0.segments.1.operating_margin.2</t>
        </is>
      </c>
      <c r="B160" s="3" t="n">
        <v>0.5</v>
      </c>
      <c r="C160" s="2" t="inlineStr">
        <is>
          <t>agent/policy.json and data/AVGO/metrics.json</t>
        </is>
      </c>
    </row>
    <row r="161" ht="42" customHeight="1">
      <c r="A161" s="2" t="inlineStr">
        <is>
          <t>applied_assumptions.forward_scenarios.0.segments.1.operating_margin.3</t>
        </is>
      </c>
      <c r="B161" s="3" t="n">
        <v>0.5</v>
      </c>
      <c r="C161" s="2" t="inlineStr">
        <is>
          <t>agent/policy.json and data/AVGO/metrics.json</t>
        </is>
      </c>
    </row>
    <row r="162" ht="42" customHeight="1">
      <c r="A162" s="2" t="inlineStr">
        <is>
          <t>applied_assumptions.forward_scenarios.0.segments.1.operating_margin.4</t>
        </is>
      </c>
      <c r="B162" s="3" t="n">
        <v>0.5</v>
      </c>
      <c r="C162" s="2" t="inlineStr">
        <is>
          <t>agent/policy.json and data/AVGO/metrics.json</t>
        </is>
      </c>
    </row>
    <row r="163" ht="42" customHeight="1">
      <c r="A163" s="2" t="inlineStr">
        <is>
          <t>applied_assumptions.forward_scenarios.0.segments.1.operating_margin.5</t>
        </is>
      </c>
      <c r="B163" s="3" t="n">
        <v>0.5</v>
      </c>
      <c r="C163" s="2" t="inlineStr">
        <is>
          <t>agent/policy.json and data/AVGO/metrics.json</t>
        </is>
      </c>
    </row>
    <row r="164" ht="42" customHeight="1">
      <c r="A164" s="2" t="inlineStr">
        <is>
          <t>applied_assumptions.forward_scenarios.0.segments.1.operating_margin.6</t>
        </is>
      </c>
      <c r="B164" s="3" t="n">
        <v>0.5</v>
      </c>
      <c r="C164" s="2" t="inlineStr">
        <is>
          <t>agent/policy.json and data/AVGO/metrics.json</t>
        </is>
      </c>
    </row>
    <row r="165" ht="42" customHeight="1">
      <c r="A165" s="2" t="inlineStr">
        <is>
          <t>applied_assumptions.forward_scenarios.0.segments.1.operating_margin.7</t>
        </is>
      </c>
      <c r="B165" s="3" t="n">
        <v>0.5</v>
      </c>
      <c r="C165" s="2" t="inlineStr">
        <is>
          <t>agent/policy.json and data/AVGO/metrics.json</t>
        </is>
      </c>
    </row>
    <row r="166" ht="42" customHeight="1">
      <c r="A166" s="2" t="inlineStr">
        <is>
          <t>applied_assumptions.forward_scenarios.0.segments.1.operating_margin.8</t>
        </is>
      </c>
      <c r="B166" s="3" t="n">
        <v>0.5</v>
      </c>
      <c r="C166" s="2" t="inlineStr">
        <is>
          <t>agent/policy.json and data/AVGO/metrics.json</t>
        </is>
      </c>
    </row>
    <row r="167" ht="42" customHeight="1">
      <c r="A167" s="2" t="inlineStr">
        <is>
          <t>applied_assumptions.forward_scenarios.0.segments.1.operating_margin.9</t>
        </is>
      </c>
      <c r="B167" s="3" t="n">
        <v>0.5</v>
      </c>
      <c r="C167" s="2" t="inlineStr">
        <is>
          <t>agent/policy.json and data/AVGO/metrics.json</t>
        </is>
      </c>
    </row>
    <row r="168" ht="42" customHeight="1">
      <c r="A168" s="2" t="inlineStr">
        <is>
          <t>applied_assumptions.forward_scenarios.0.segments.1.depreciation_to_revenue.0</t>
        </is>
      </c>
      <c r="B168" s="3" t="n">
        <v>0.005</v>
      </c>
      <c r="C168" s="2" t="inlineStr">
        <is>
          <t>agent/policy.json and data/AVGO/metrics.json</t>
        </is>
      </c>
    </row>
    <row r="169" ht="42" customHeight="1">
      <c r="A169" s="2" t="inlineStr">
        <is>
          <t>applied_assumptions.forward_scenarios.0.segments.1.depreciation_to_revenue.1</t>
        </is>
      </c>
      <c r="B169" s="3" t="n">
        <v>0.005</v>
      </c>
      <c r="C169" s="2" t="inlineStr">
        <is>
          <t>agent/policy.json and data/AVGO/metrics.json</t>
        </is>
      </c>
    </row>
    <row r="170" ht="42" customHeight="1">
      <c r="A170" s="2" t="inlineStr">
        <is>
          <t>applied_assumptions.forward_scenarios.0.segments.1.depreciation_to_revenue.2</t>
        </is>
      </c>
      <c r="B170" s="3" t="n">
        <v>0.005</v>
      </c>
      <c r="C170" s="2" t="inlineStr">
        <is>
          <t>agent/policy.json and data/AVGO/metrics.json</t>
        </is>
      </c>
    </row>
    <row r="171" ht="42" customHeight="1">
      <c r="A171" s="2" t="inlineStr">
        <is>
          <t>applied_assumptions.forward_scenarios.0.segments.1.depreciation_to_revenue.3</t>
        </is>
      </c>
      <c r="B171" s="3" t="n">
        <v>0.005</v>
      </c>
      <c r="C171" s="2" t="inlineStr">
        <is>
          <t>agent/policy.json and data/AVGO/metrics.json</t>
        </is>
      </c>
    </row>
    <row r="172" ht="42" customHeight="1">
      <c r="A172" s="2" t="inlineStr">
        <is>
          <t>applied_assumptions.forward_scenarios.0.segments.1.depreciation_to_revenue.4</t>
        </is>
      </c>
      <c r="B172" s="3" t="n">
        <v>0.005</v>
      </c>
      <c r="C172" s="2" t="inlineStr">
        <is>
          <t>agent/policy.json and data/AVGO/metrics.json</t>
        </is>
      </c>
    </row>
    <row r="173" ht="42" customHeight="1">
      <c r="A173" s="2" t="inlineStr">
        <is>
          <t>applied_assumptions.forward_scenarios.0.segments.1.depreciation_to_revenue.5</t>
        </is>
      </c>
      <c r="B173" s="3" t="n">
        <v>0.005</v>
      </c>
      <c r="C173" s="2" t="inlineStr">
        <is>
          <t>agent/policy.json and data/AVGO/metrics.json</t>
        </is>
      </c>
    </row>
    <row r="174" ht="42" customHeight="1">
      <c r="A174" s="2" t="inlineStr">
        <is>
          <t>applied_assumptions.forward_scenarios.0.segments.1.depreciation_to_revenue.6</t>
        </is>
      </c>
      <c r="B174" s="3" t="n">
        <v>0.005</v>
      </c>
      <c r="C174" s="2" t="inlineStr">
        <is>
          <t>agent/policy.json and data/AVGO/metrics.json</t>
        </is>
      </c>
    </row>
    <row r="175" ht="42" customHeight="1">
      <c r="A175" s="2" t="inlineStr">
        <is>
          <t>applied_assumptions.forward_scenarios.0.segments.1.depreciation_to_revenue.7</t>
        </is>
      </c>
      <c r="B175" s="3" t="n">
        <v>0.005</v>
      </c>
      <c r="C175" s="2" t="inlineStr">
        <is>
          <t>agent/policy.json and data/AVGO/metrics.json</t>
        </is>
      </c>
    </row>
    <row r="176" ht="42" customHeight="1">
      <c r="A176" s="2" t="inlineStr">
        <is>
          <t>applied_assumptions.forward_scenarios.0.segments.1.depreciation_to_revenue.8</t>
        </is>
      </c>
      <c r="B176" s="3" t="n">
        <v>0.005</v>
      </c>
      <c r="C176" s="2" t="inlineStr">
        <is>
          <t>agent/policy.json and data/AVGO/metrics.json</t>
        </is>
      </c>
    </row>
    <row r="177" ht="42" customHeight="1">
      <c r="A177" s="2" t="inlineStr">
        <is>
          <t>applied_assumptions.forward_scenarios.0.segments.1.depreciation_to_revenue.9</t>
        </is>
      </c>
      <c r="B177" s="3" t="n">
        <v>0.005</v>
      </c>
      <c r="C177" s="2" t="inlineStr">
        <is>
          <t>agent/policy.json and data/AVGO/metrics.json</t>
        </is>
      </c>
    </row>
    <row r="178" ht="42" customHeight="1">
      <c r="A178" s="2" t="inlineStr">
        <is>
          <t>applied_assumptions.forward_scenarios.0.segments.1.capex_to_revenue.0</t>
        </is>
      </c>
      <c r="B178" s="3" t="n">
        <v>0.01</v>
      </c>
      <c r="C178" s="2" t="inlineStr">
        <is>
          <t>agent/policy.json and data/AVGO/metrics.json</t>
        </is>
      </c>
    </row>
    <row r="179" ht="42" customHeight="1">
      <c r="A179" s="2" t="inlineStr">
        <is>
          <t>applied_assumptions.forward_scenarios.0.segments.1.capex_to_revenue.1</t>
        </is>
      </c>
      <c r="B179" s="3" t="n">
        <v>0.01</v>
      </c>
      <c r="C179" s="2" t="inlineStr">
        <is>
          <t>agent/policy.json and data/AVGO/metrics.json</t>
        </is>
      </c>
    </row>
    <row r="180" ht="42" customHeight="1">
      <c r="A180" s="2" t="inlineStr">
        <is>
          <t>applied_assumptions.forward_scenarios.0.segments.1.capex_to_revenue.2</t>
        </is>
      </c>
      <c r="B180" s="3" t="n">
        <v>0.01</v>
      </c>
      <c r="C180" s="2" t="inlineStr">
        <is>
          <t>agent/policy.json and data/AVGO/metrics.json</t>
        </is>
      </c>
    </row>
    <row r="181" ht="42" customHeight="1">
      <c r="A181" s="2" t="inlineStr">
        <is>
          <t>applied_assumptions.forward_scenarios.0.segments.1.capex_to_revenue.3</t>
        </is>
      </c>
      <c r="B181" s="3" t="n">
        <v>0.01</v>
      </c>
      <c r="C181" s="2" t="inlineStr">
        <is>
          <t>agent/policy.json and data/AVGO/metrics.json</t>
        </is>
      </c>
    </row>
    <row r="182" ht="42" customHeight="1">
      <c r="A182" s="2" t="inlineStr">
        <is>
          <t>applied_assumptions.forward_scenarios.0.segments.1.capex_to_revenue.4</t>
        </is>
      </c>
      <c r="B182" s="3" t="n">
        <v>0.01</v>
      </c>
      <c r="C182" s="2" t="inlineStr">
        <is>
          <t>agent/policy.json and data/AVGO/metrics.json</t>
        </is>
      </c>
    </row>
    <row r="183" ht="42" customHeight="1">
      <c r="A183" s="2" t="inlineStr">
        <is>
          <t>applied_assumptions.forward_scenarios.0.segments.1.capex_to_revenue.5</t>
        </is>
      </c>
      <c r="B183" s="3" t="n">
        <v>0.01</v>
      </c>
      <c r="C183" s="2" t="inlineStr">
        <is>
          <t>agent/policy.json and data/AVGO/metrics.json</t>
        </is>
      </c>
    </row>
    <row r="184" ht="42" customHeight="1">
      <c r="A184" s="2" t="inlineStr">
        <is>
          <t>applied_assumptions.forward_scenarios.0.segments.1.capex_to_revenue.6</t>
        </is>
      </c>
      <c r="B184" s="3" t="n">
        <v>0.01</v>
      </c>
      <c r="C184" s="2" t="inlineStr">
        <is>
          <t>agent/policy.json and data/AVGO/metrics.json</t>
        </is>
      </c>
    </row>
    <row r="185" ht="42" customHeight="1">
      <c r="A185" s="2" t="inlineStr">
        <is>
          <t>applied_assumptions.forward_scenarios.0.segments.1.capex_to_revenue.7</t>
        </is>
      </c>
      <c r="B185" s="3" t="n">
        <v>0.01</v>
      </c>
      <c r="C185" s="2" t="inlineStr">
        <is>
          <t>agent/policy.json and data/AVGO/metrics.json</t>
        </is>
      </c>
    </row>
    <row r="186" ht="42" customHeight="1">
      <c r="A186" s="2" t="inlineStr">
        <is>
          <t>applied_assumptions.forward_scenarios.0.segments.1.capex_to_revenue.8</t>
        </is>
      </c>
      <c r="B186" s="3" t="n">
        <v>0.01</v>
      </c>
      <c r="C186" s="2" t="inlineStr">
        <is>
          <t>agent/policy.json and data/AVGO/metrics.json</t>
        </is>
      </c>
    </row>
    <row r="187" ht="42" customHeight="1">
      <c r="A187" s="2" t="inlineStr">
        <is>
          <t>applied_assumptions.forward_scenarios.0.segments.1.capex_to_revenue.9</t>
        </is>
      </c>
      <c r="B187" s="3" t="n">
        <v>0.01</v>
      </c>
      <c r="C187" s="2" t="inlineStr">
        <is>
          <t>agent/policy.json and data/AVGO/metrics.json</t>
        </is>
      </c>
    </row>
    <row r="188" ht="42" customHeight="1">
      <c r="A188" s="2" t="inlineStr">
        <is>
          <t>applied_assumptions.forward_scenarios.0.segments.1.working_capital_to_revenue.0</t>
        </is>
      </c>
      <c r="B188" s="3" t="n">
        <v>0.05</v>
      </c>
      <c r="C188" s="2" t="inlineStr">
        <is>
          <t>agent/policy.json and data/AVGO/metrics.json</t>
        </is>
      </c>
    </row>
    <row r="189" ht="42" customHeight="1">
      <c r="A189" s="2" t="inlineStr">
        <is>
          <t>applied_assumptions.forward_scenarios.0.segments.1.working_capital_to_revenue.1</t>
        </is>
      </c>
      <c r="B189" s="3" t="n">
        <v>0.05</v>
      </c>
      <c r="C189" s="2" t="inlineStr">
        <is>
          <t>agent/policy.json and data/AVGO/metrics.json</t>
        </is>
      </c>
    </row>
    <row r="190" ht="42" customHeight="1">
      <c r="A190" s="2" t="inlineStr">
        <is>
          <t>applied_assumptions.forward_scenarios.0.segments.1.working_capital_to_revenue.2</t>
        </is>
      </c>
      <c r="B190" s="3" t="n">
        <v>0.05</v>
      </c>
      <c r="C190" s="2" t="inlineStr">
        <is>
          <t>agent/policy.json and data/AVGO/metrics.json</t>
        </is>
      </c>
    </row>
    <row r="191" ht="42" customHeight="1">
      <c r="A191" s="2" t="inlineStr">
        <is>
          <t>applied_assumptions.forward_scenarios.0.segments.1.working_capital_to_revenue.3</t>
        </is>
      </c>
      <c r="B191" s="3" t="n">
        <v>0.05</v>
      </c>
      <c r="C191" s="2" t="inlineStr">
        <is>
          <t>agent/policy.json and data/AVGO/metrics.json</t>
        </is>
      </c>
    </row>
    <row r="192" ht="42" customHeight="1">
      <c r="A192" s="2" t="inlineStr">
        <is>
          <t>applied_assumptions.forward_scenarios.0.segments.1.working_capital_to_revenue.4</t>
        </is>
      </c>
      <c r="B192" s="3" t="n">
        <v>0.05</v>
      </c>
      <c r="C192" s="2" t="inlineStr">
        <is>
          <t>agent/policy.json and data/AVGO/metrics.json</t>
        </is>
      </c>
    </row>
    <row r="193" ht="42" customHeight="1">
      <c r="A193" s="2" t="inlineStr">
        <is>
          <t>applied_assumptions.forward_scenarios.0.segments.1.working_capital_to_revenue.5</t>
        </is>
      </c>
      <c r="B193" s="3" t="n">
        <v>0.05</v>
      </c>
      <c r="C193" s="2" t="inlineStr">
        <is>
          <t>agent/policy.json and data/AVGO/metrics.json</t>
        </is>
      </c>
    </row>
    <row r="194" ht="42" customHeight="1">
      <c r="A194" s="2" t="inlineStr">
        <is>
          <t>applied_assumptions.forward_scenarios.0.segments.1.working_capital_to_revenue.6</t>
        </is>
      </c>
      <c r="B194" s="3" t="n">
        <v>0.05</v>
      </c>
      <c r="C194" s="2" t="inlineStr">
        <is>
          <t>agent/policy.json and data/AVGO/metrics.json</t>
        </is>
      </c>
    </row>
    <row r="195" ht="42" customHeight="1">
      <c r="A195" s="2" t="inlineStr">
        <is>
          <t>applied_assumptions.forward_scenarios.0.segments.1.working_capital_to_revenue.7</t>
        </is>
      </c>
      <c r="B195" s="3" t="n">
        <v>0.05</v>
      </c>
      <c r="C195" s="2" t="inlineStr">
        <is>
          <t>agent/policy.json and data/AVGO/metrics.json</t>
        </is>
      </c>
    </row>
    <row r="196" ht="42" customHeight="1">
      <c r="A196" s="2" t="inlineStr">
        <is>
          <t>applied_assumptions.forward_scenarios.0.segments.1.working_capital_to_revenue.8</t>
        </is>
      </c>
      <c r="B196" s="3" t="n">
        <v>0.05</v>
      </c>
      <c r="C196" s="2" t="inlineStr">
        <is>
          <t>agent/policy.json and data/AVGO/metrics.json</t>
        </is>
      </c>
    </row>
    <row r="197" ht="42" customHeight="1">
      <c r="A197" s="2" t="inlineStr">
        <is>
          <t>applied_assumptions.forward_scenarios.0.segments.1.working_capital_to_revenue.9</t>
        </is>
      </c>
      <c r="B197" s="3" t="n">
        <v>0.05</v>
      </c>
      <c r="C197" s="2" t="inlineStr">
        <is>
          <t>agent/policy.json and data/AVGO/metrics.json</t>
        </is>
      </c>
    </row>
    <row r="198" ht="42" customHeight="1">
      <c r="A198" s="2" t="inlineStr">
        <is>
          <t>applied_assumptions.forward_scenarios.0.source</t>
        </is>
      </c>
      <c r="B198" s="2" t="inlineStr">
        <is>
          <t>Analyst sensitivity assumptions, 2026-10-11; revenue bases from cited 10-K and 10-Q excerpts</t>
        </is>
      </c>
      <c r="C198" s="2" t="inlineStr">
        <is>
          <t>agent/policy.json and data/AVGO/metrics.json</t>
        </is>
      </c>
    </row>
    <row r="199" ht="42" customHeight="1">
      <c r="A199" s="2" t="inlineStr">
        <is>
          <t>applied_assumptions.forward_scenarios.0.reason</t>
        </is>
      </c>
      <c r="B199"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199" s="2" t="inlineStr">
        <is>
          <t>agent/policy.json and data/AVGO/metrics.json</t>
        </is>
      </c>
    </row>
    <row r="200" ht="42" customHeight="1">
      <c r="A200" s="2" t="inlineStr">
        <is>
          <t>applied_assumptions.forward_scenarios.1.id</t>
        </is>
      </c>
      <c r="B200" s="2" t="inlineStr">
        <is>
          <t>illustrative-garp</t>
        </is>
      </c>
      <c r="C200" s="2" t="inlineStr">
        <is>
          <t>agent/policy.json and data/AVGO/metrics.json</t>
        </is>
      </c>
    </row>
    <row r="201" ht="42" customHeight="1">
      <c r="A201" s="2" t="inlineStr">
        <is>
          <t>applied_assumptions.forward_scenarios.1.style</t>
        </is>
      </c>
      <c r="B201" s="2" t="inlineStr">
        <is>
          <t>garp</t>
        </is>
      </c>
      <c r="C201" s="2" t="inlineStr">
        <is>
          <t>agent/policy.json and data/AVGO/metrics.json</t>
        </is>
      </c>
    </row>
    <row r="202" ht="42" customHeight="1">
      <c r="A202" s="2" t="inlineStr">
        <is>
          <t>applied_assumptions.forward_scenarios.1.years</t>
        </is>
      </c>
      <c r="B202" s="3" t="n">
        <v>10</v>
      </c>
      <c r="C202" s="2" t="inlineStr">
        <is>
          <t>agent/policy.json and data/AVGO/metrics.json</t>
        </is>
      </c>
    </row>
    <row r="203" ht="42" customHeight="1">
      <c r="A203" s="2" t="inlineStr">
        <is>
          <t>applied_assumptions.forward_scenarios.1.tax_rate</t>
        </is>
      </c>
      <c r="B203" s="3" t="n">
        <v>0.21</v>
      </c>
      <c r="C203" s="2" t="inlineStr">
        <is>
          <t>agent/policy.json and data/AVGO/metrics.json</t>
        </is>
      </c>
    </row>
    <row r="204" ht="42" customHeight="1">
      <c r="A204" s="2" t="inlineStr">
        <is>
          <t>applied_assumptions.forward_scenarios.1.wacc</t>
        </is>
      </c>
      <c r="B204" s="3" t="n">
        <v>0.09</v>
      </c>
      <c r="C204" s="2" t="inlineStr">
        <is>
          <t>agent/policy.json and data/AVGO/metrics.json</t>
        </is>
      </c>
    </row>
    <row r="205" ht="42" customHeight="1">
      <c r="A205" s="2" t="inlineStr">
        <is>
          <t>applied_assumptions.forward_scenarios.1.terminal_growth</t>
        </is>
      </c>
      <c r="B205" s="3" t="n">
        <v>0.025</v>
      </c>
      <c r="C205" s="2" t="inlineStr">
        <is>
          <t>agent/policy.json and data/AVGO/metrics.json</t>
        </is>
      </c>
    </row>
    <row r="206" ht="42" customHeight="1">
      <c r="A206" s="2" t="inlineStr">
        <is>
          <t>applied_assumptions.forward_scenarios.1.terminal_roic</t>
        </is>
      </c>
      <c r="B206" s="3" t="n">
        <v>0.15</v>
      </c>
      <c r="C206" s="2" t="inlineStr">
        <is>
          <t>agent/policy.json and data/AVGO/metrics.json</t>
        </is>
      </c>
    </row>
    <row r="207" ht="42" customHeight="1">
      <c r="A207" s="2" t="inlineStr">
        <is>
          <t>applied_assumptions.forward_scenarios.1.sbc_treatment</t>
        </is>
      </c>
      <c r="B207" s="2" t="inlineStr">
        <is>
          <t>expensed_in_margins</t>
        </is>
      </c>
      <c r="C207" s="2" t="inlineStr">
        <is>
          <t>agent/policy.json and data/AVGO/metrics.json</t>
        </is>
      </c>
    </row>
    <row r="208" ht="42" customHeight="1">
      <c r="A208" s="2" t="inlineStr">
        <is>
          <t>applied_assumptions.forward_scenarios.1.corporate_costs.0</t>
        </is>
      </c>
      <c r="B208" s="3" t="n">
        <v>0</v>
      </c>
      <c r="C208" s="2" t="inlineStr">
        <is>
          <t>agent/policy.json and data/AVGO/metrics.json</t>
        </is>
      </c>
    </row>
    <row r="209" ht="42" customHeight="1">
      <c r="A209" s="2" t="inlineStr">
        <is>
          <t>applied_assumptions.forward_scenarios.1.corporate_costs.1</t>
        </is>
      </c>
      <c r="B209" s="3" t="n">
        <v>0</v>
      </c>
      <c r="C209" s="2" t="inlineStr">
        <is>
          <t>agent/policy.json and data/AVGO/metrics.json</t>
        </is>
      </c>
    </row>
    <row r="210" ht="42" customHeight="1">
      <c r="A210" s="2" t="inlineStr">
        <is>
          <t>applied_assumptions.forward_scenarios.1.corporate_costs.2</t>
        </is>
      </c>
      <c r="B210" s="3" t="n">
        <v>0</v>
      </c>
      <c r="C210" s="2" t="inlineStr">
        <is>
          <t>agent/policy.json and data/AVGO/metrics.json</t>
        </is>
      </c>
    </row>
    <row r="211" ht="42" customHeight="1">
      <c r="A211" s="2" t="inlineStr">
        <is>
          <t>applied_assumptions.forward_scenarios.1.corporate_costs.3</t>
        </is>
      </c>
      <c r="B211" s="3" t="n">
        <v>0</v>
      </c>
      <c r="C211" s="2" t="inlineStr">
        <is>
          <t>agent/policy.json and data/AVGO/metrics.json</t>
        </is>
      </c>
    </row>
    <row r="212" ht="42" customHeight="1">
      <c r="A212" s="2" t="inlineStr">
        <is>
          <t>applied_assumptions.forward_scenarios.1.corporate_costs.4</t>
        </is>
      </c>
      <c r="B212" s="3" t="n">
        <v>0</v>
      </c>
      <c r="C212" s="2" t="inlineStr">
        <is>
          <t>agent/policy.json and data/AVGO/metrics.json</t>
        </is>
      </c>
    </row>
    <row r="213" ht="42" customHeight="1">
      <c r="A213" s="2" t="inlineStr">
        <is>
          <t>applied_assumptions.forward_scenarios.1.corporate_costs.5</t>
        </is>
      </c>
      <c r="B213" s="3" t="n">
        <v>0</v>
      </c>
      <c r="C213" s="2" t="inlineStr">
        <is>
          <t>agent/policy.json and data/AVGO/metrics.json</t>
        </is>
      </c>
    </row>
    <row r="214" ht="42" customHeight="1">
      <c r="A214" s="2" t="inlineStr">
        <is>
          <t>applied_assumptions.forward_scenarios.1.corporate_costs.6</t>
        </is>
      </c>
      <c r="B214" s="3" t="n">
        <v>0</v>
      </c>
      <c r="C214" s="2" t="inlineStr">
        <is>
          <t>agent/policy.json and data/AVGO/metrics.json</t>
        </is>
      </c>
    </row>
    <row r="215" ht="42" customHeight="1">
      <c r="A215" s="2" t="inlineStr">
        <is>
          <t>applied_assumptions.forward_scenarios.1.corporate_costs.7</t>
        </is>
      </c>
      <c r="B215" s="3" t="n">
        <v>0</v>
      </c>
      <c r="C215" s="2" t="inlineStr">
        <is>
          <t>agent/policy.json and data/AVGO/metrics.json</t>
        </is>
      </c>
    </row>
    <row r="216" ht="42" customHeight="1">
      <c r="A216" s="2" t="inlineStr">
        <is>
          <t>applied_assumptions.forward_scenarios.1.corporate_costs.8</t>
        </is>
      </c>
      <c r="B216" s="3" t="n">
        <v>0</v>
      </c>
      <c r="C216" s="2" t="inlineStr">
        <is>
          <t>agent/policy.json and data/AVGO/metrics.json</t>
        </is>
      </c>
    </row>
    <row r="217" ht="42" customHeight="1">
      <c r="A217" s="2" t="inlineStr">
        <is>
          <t>applied_assumptions.forward_scenarios.1.corporate_costs.9</t>
        </is>
      </c>
      <c r="B217" s="3" t="n">
        <v>0</v>
      </c>
      <c r="C217" s="2" t="inlineStr">
        <is>
          <t>agent/policy.json and data/AVGO/metrics.json</t>
        </is>
      </c>
    </row>
    <row r="218" ht="42" customHeight="1">
      <c r="A218" s="2" t="inlineStr">
        <is>
          <t>applied_assumptions.forward_scenarios.1.segments.0.name</t>
        </is>
      </c>
      <c r="B218" s="2" t="inlineStr">
        <is>
          <t>Semiconductor solutions (including AI)</t>
        </is>
      </c>
      <c r="C218" s="2" t="inlineStr">
        <is>
          <t>agent/policy.json and data/AVGO/metrics.json</t>
        </is>
      </c>
    </row>
    <row r="219" ht="42" customHeight="1">
      <c r="A219" s="2" t="inlineStr">
        <is>
          <t>applied_assumptions.forward_scenarios.1.segments.0.base_revenue.period_end</t>
        </is>
      </c>
      <c r="B219" s="2" t="inlineStr">
        <is>
          <t>2026-08-02</t>
        </is>
      </c>
      <c r="C219" s="2" t="inlineStr">
        <is>
          <t>agent/policy.json and data/AVGO/metrics.json</t>
        </is>
      </c>
    </row>
    <row r="220" ht="42" customHeight="1">
      <c r="A220" s="2" t="inlineStr">
        <is>
          <t>applied_assumptions.forward_scenarios.1.segments.0.base_revenue.components.0.item</t>
        </is>
      </c>
      <c r="B220" s="2" t="inlineStr">
        <is>
          <t>segment_revenue_semiconductor</t>
        </is>
      </c>
      <c r="C220" s="2" t="inlineStr">
        <is>
          <t>agent/policy.json and data/AVGO/metrics.json</t>
        </is>
      </c>
    </row>
    <row r="221" ht="42" customHeight="1">
      <c r="A221" s="2" t="inlineStr">
        <is>
          <t>applied_assumptions.forward_scenarios.1.segments.0.base_revenue.components.0.period_end</t>
        </is>
      </c>
      <c r="B221" s="2" t="inlineStr">
        <is>
          <t>2025-11-02</t>
        </is>
      </c>
      <c r="C221" s="2" t="inlineStr">
        <is>
          <t>agent/policy.json and data/AVGO/metrics.json</t>
        </is>
      </c>
    </row>
    <row r="222" ht="42" customHeight="1">
      <c r="A222" s="2" t="inlineStr">
        <is>
          <t>applied_assumptions.forward_scenarios.1.segments.0.base_revenue.components.0.value</t>
        </is>
      </c>
      <c r="B222" s="3" t="n">
        <v>36858000000</v>
      </c>
      <c r="C222" s="2" t="inlineStr">
        <is>
          <t>agent/policy.json and data/AVGO/metrics.json</t>
        </is>
      </c>
    </row>
    <row r="223" ht="42" customHeight="1">
      <c r="A223" s="2" t="inlineStr">
        <is>
          <t>applied_assumptions.forward_scenarios.1.segments.0.base_revenue.components.0.source</t>
        </is>
      </c>
      <c r="B223" s="2" t="inlineStr">
        <is>
          <t>10-K 0001730168-25-000121</t>
        </is>
      </c>
      <c r="C223" s="2" t="inlineStr">
        <is>
          <t>agent/policy.json and data/AVGO/metrics.json</t>
        </is>
      </c>
    </row>
    <row r="224" ht="42" customHeight="1">
      <c r="A224" s="2" t="inlineStr">
        <is>
          <t>applied_assumptions.forward_scenarios.1.segments.0.base_revenue.components.0.sign</t>
        </is>
      </c>
      <c r="B224" s="3" t="n">
        <v>1</v>
      </c>
      <c r="C224" s="2" t="inlineStr">
        <is>
          <t>agent/policy.json and data/AVGO/metrics.json</t>
        </is>
      </c>
    </row>
    <row r="225" ht="42" customHeight="1">
      <c r="A225" s="2" t="inlineStr">
        <is>
          <t>applied_assumptions.forward_scenarios.1.segments.0.base_revenue.components.1.item</t>
        </is>
      </c>
      <c r="B225" s="2" t="inlineStr">
        <is>
          <t>segment_revenue_semiconductor</t>
        </is>
      </c>
      <c r="C225" s="2" t="inlineStr">
        <is>
          <t>agent/policy.json and data/AVGO/metrics.json</t>
        </is>
      </c>
    </row>
    <row r="226" ht="42" customHeight="1">
      <c r="A226" s="2" t="inlineStr">
        <is>
          <t>applied_assumptions.forward_scenarios.1.segments.0.base_revenue.components.1.period_end</t>
        </is>
      </c>
      <c r="B226" s="2" t="inlineStr">
        <is>
          <t>2026-08-02</t>
        </is>
      </c>
      <c r="C226" s="2" t="inlineStr">
        <is>
          <t>agent/policy.json and data/AVGO/metrics.json</t>
        </is>
      </c>
    </row>
    <row r="227" ht="42" customHeight="1">
      <c r="A227" s="2" t="inlineStr">
        <is>
          <t>applied_assumptions.forward_scenarios.1.segments.0.base_revenue.components.1.value</t>
        </is>
      </c>
      <c r="B227" s="3" t="n">
        <v>48363000000</v>
      </c>
      <c r="C227" s="2" t="inlineStr">
        <is>
          <t>agent/policy.json and data/AVGO/metrics.json</t>
        </is>
      </c>
    </row>
    <row r="228" ht="42" customHeight="1">
      <c r="A228" s="2" t="inlineStr">
        <is>
          <t>applied_assumptions.forward_scenarios.1.segments.0.base_revenue.components.1.source</t>
        </is>
      </c>
      <c r="B228" s="2" t="inlineStr">
        <is>
          <t>10-Q 0001730168-26-000080</t>
        </is>
      </c>
      <c r="C228" s="2" t="inlineStr">
        <is>
          <t>agent/policy.json and data/AVGO/metrics.json</t>
        </is>
      </c>
    </row>
    <row r="229" ht="42" customHeight="1">
      <c r="A229" s="2" t="inlineStr">
        <is>
          <t>applied_assumptions.forward_scenarios.1.segments.0.base_revenue.components.1.sign</t>
        </is>
      </c>
      <c r="B229" s="3" t="n">
        <v>1</v>
      </c>
      <c r="C229" s="2" t="inlineStr">
        <is>
          <t>agent/policy.json and data/AVGO/metrics.json</t>
        </is>
      </c>
    </row>
    <row r="230" ht="42" customHeight="1">
      <c r="A230" s="2" t="inlineStr">
        <is>
          <t>applied_assumptions.forward_scenarios.1.segments.0.base_revenue.components.2.item</t>
        </is>
      </c>
      <c r="B230" s="2" t="inlineStr">
        <is>
          <t>segment_revenue_semiconductor</t>
        </is>
      </c>
      <c r="C230" s="2" t="inlineStr">
        <is>
          <t>agent/policy.json and data/AVGO/metrics.json</t>
        </is>
      </c>
    </row>
    <row r="231" ht="42" customHeight="1">
      <c r="A231" s="2" t="inlineStr">
        <is>
          <t>applied_assumptions.forward_scenarios.1.segments.0.base_revenue.components.2.period_end</t>
        </is>
      </c>
      <c r="B231" s="2" t="inlineStr">
        <is>
          <t>2025-08-03</t>
        </is>
      </c>
      <c r="C231" s="2" t="inlineStr">
        <is>
          <t>agent/policy.json and data/AVGO/metrics.json</t>
        </is>
      </c>
    </row>
    <row r="232" ht="42" customHeight="1">
      <c r="A232" s="2" t="inlineStr">
        <is>
          <t>applied_assumptions.forward_scenarios.1.segments.0.base_revenue.components.2.value</t>
        </is>
      </c>
      <c r="B232" s="3" t="n">
        <v>25786000000</v>
      </c>
      <c r="C232" s="2" t="inlineStr">
        <is>
          <t>agent/policy.json and data/AVGO/metrics.json</t>
        </is>
      </c>
    </row>
    <row r="233" ht="42" customHeight="1">
      <c r="A233" s="2" t="inlineStr">
        <is>
          <t>applied_assumptions.forward_scenarios.1.segments.0.base_revenue.components.2.source</t>
        </is>
      </c>
      <c r="B233" s="2" t="inlineStr">
        <is>
          <t>10-Q 0001730168-26-000080</t>
        </is>
      </c>
      <c r="C233" s="2" t="inlineStr">
        <is>
          <t>agent/policy.json and data/AVGO/metrics.json</t>
        </is>
      </c>
    </row>
    <row r="234" ht="42" customHeight="1">
      <c r="A234" s="2" t="inlineStr">
        <is>
          <t>applied_assumptions.forward_scenarios.1.segments.0.base_revenue.components.2.sign</t>
        </is>
      </c>
      <c r="B234" s="3" t="n">
        <v>-1</v>
      </c>
      <c r="C234" s="2" t="inlineStr">
        <is>
          <t>agent/policy.json and data/AVGO/metrics.json</t>
        </is>
      </c>
    </row>
    <row r="235" ht="42" customHeight="1">
      <c r="A235" s="2" t="inlineStr">
        <is>
          <t>applied_assumptions.forward_scenarios.1.segments.0.base_working_capital_ratio</t>
        </is>
      </c>
      <c r="B235" s="3" t="n">
        <v>0.18</v>
      </c>
      <c r="C235" s="2" t="inlineStr">
        <is>
          <t>agent/policy.json and data/AVGO/metrics.json</t>
        </is>
      </c>
    </row>
    <row r="236" ht="42" customHeight="1">
      <c r="A236" s="2" t="inlineStr">
        <is>
          <t>applied_assumptions.forward_scenarios.1.segments.0.growth.0</t>
        </is>
      </c>
      <c r="B236" s="3" t="n">
        <v>0.2</v>
      </c>
      <c r="C236" s="2" t="inlineStr">
        <is>
          <t>agent/policy.json and data/AVGO/metrics.json</t>
        </is>
      </c>
    </row>
    <row r="237" ht="42" customHeight="1">
      <c r="A237" s="2" t="inlineStr">
        <is>
          <t>applied_assumptions.forward_scenarios.1.segments.0.growth.1</t>
        </is>
      </c>
      <c r="B237" s="3" t="n">
        <v>0.18</v>
      </c>
      <c r="C237" s="2" t="inlineStr">
        <is>
          <t>agent/policy.json and data/AVGO/metrics.json</t>
        </is>
      </c>
    </row>
    <row r="238" ht="42" customHeight="1">
      <c r="A238" s="2" t="inlineStr">
        <is>
          <t>applied_assumptions.forward_scenarios.1.segments.0.growth.2</t>
        </is>
      </c>
      <c r="B238" s="3" t="n">
        <v>0.15</v>
      </c>
      <c r="C238" s="2" t="inlineStr">
        <is>
          <t>agent/policy.json and data/AVGO/metrics.json</t>
        </is>
      </c>
    </row>
    <row r="239" ht="42" customHeight="1">
      <c r="A239" s="2" t="inlineStr">
        <is>
          <t>applied_assumptions.forward_scenarios.1.segments.0.growth.3</t>
        </is>
      </c>
      <c r="B239" s="3" t="n">
        <v>0.12</v>
      </c>
      <c r="C239" s="2" t="inlineStr">
        <is>
          <t>agent/policy.json and data/AVGO/metrics.json</t>
        </is>
      </c>
    </row>
    <row r="240" ht="42" customHeight="1">
      <c r="A240" s="2" t="inlineStr">
        <is>
          <t>applied_assumptions.forward_scenarios.1.segments.0.growth.4</t>
        </is>
      </c>
      <c r="B240" s="3" t="n">
        <v>0.1</v>
      </c>
      <c r="C240" s="2" t="inlineStr">
        <is>
          <t>agent/policy.json and data/AVGO/metrics.json</t>
        </is>
      </c>
    </row>
    <row r="241" ht="42" customHeight="1">
      <c r="A241" s="2" t="inlineStr">
        <is>
          <t>applied_assumptions.forward_scenarios.1.segments.0.growth.5</t>
        </is>
      </c>
      <c r="B241" s="3" t="n">
        <v>0.08</v>
      </c>
      <c r="C241" s="2" t="inlineStr">
        <is>
          <t>agent/policy.json and data/AVGO/metrics.json</t>
        </is>
      </c>
    </row>
    <row r="242" ht="42" customHeight="1">
      <c r="A242" s="2" t="inlineStr">
        <is>
          <t>applied_assumptions.forward_scenarios.1.segments.0.growth.6</t>
        </is>
      </c>
      <c r="B242" s="3" t="n">
        <v>0.06</v>
      </c>
      <c r="C242" s="2" t="inlineStr">
        <is>
          <t>agent/policy.json and data/AVGO/metrics.json</t>
        </is>
      </c>
    </row>
    <row r="243" ht="42" customHeight="1">
      <c r="A243" s="2" t="inlineStr">
        <is>
          <t>applied_assumptions.forward_scenarios.1.segments.0.growth.7</t>
        </is>
      </c>
      <c r="B243" s="3" t="n">
        <v>0.05</v>
      </c>
      <c r="C243" s="2" t="inlineStr">
        <is>
          <t>agent/policy.json and data/AVGO/metrics.json</t>
        </is>
      </c>
    </row>
    <row r="244" ht="42" customHeight="1">
      <c r="A244" s="2" t="inlineStr">
        <is>
          <t>applied_assumptions.forward_scenarios.1.segments.0.growth.8</t>
        </is>
      </c>
      <c r="B244" s="3" t="n">
        <v>0.04</v>
      </c>
      <c r="C244" s="2" t="inlineStr">
        <is>
          <t>agent/policy.json and data/AVGO/metrics.json</t>
        </is>
      </c>
    </row>
    <row r="245" ht="42" customHeight="1">
      <c r="A245" s="2" t="inlineStr">
        <is>
          <t>applied_assumptions.forward_scenarios.1.segments.0.growth.9</t>
        </is>
      </c>
      <c r="B245" s="3" t="n">
        <v>0.03</v>
      </c>
      <c r="C245" s="2" t="inlineStr">
        <is>
          <t>agent/policy.json and data/AVGO/metrics.json</t>
        </is>
      </c>
    </row>
    <row r="246" ht="42" customHeight="1">
      <c r="A246" s="2" t="inlineStr">
        <is>
          <t>applied_assumptions.forward_scenarios.1.segments.0.operating_margin.0</t>
        </is>
      </c>
      <c r="B246" s="3" t="n">
        <v>0.4</v>
      </c>
      <c r="C246" s="2" t="inlineStr">
        <is>
          <t>agent/policy.json and data/AVGO/metrics.json</t>
        </is>
      </c>
    </row>
    <row r="247" ht="42" customHeight="1">
      <c r="A247" s="2" t="inlineStr">
        <is>
          <t>applied_assumptions.forward_scenarios.1.segments.0.operating_margin.1</t>
        </is>
      </c>
      <c r="B247" s="3" t="n">
        <v>0.4</v>
      </c>
      <c r="C247" s="2" t="inlineStr">
        <is>
          <t>agent/policy.json and data/AVGO/metrics.json</t>
        </is>
      </c>
    </row>
    <row r="248" ht="42" customHeight="1">
      <c r="A248" s="2" t="inlineStr">
        <is>
          <t>applied_assumptions.forward_scenarios.1.segments.0.operating_margin.2</t>
        </is>
      </c>
      <c r="B248" s="3" t="n">
        <v>0.4</v>
      </c>
      <c r="C248" s="2" t="inlineStr">
        <is>
          <t>agent/policy.json and data/AVGO/metrics.json</t>
        </is>
      </c>
    </row>
    <row r="249" ht="42" customHeight="1">
      <c r="A249" s="2" t="inlineStr">
        <is>
          <t>applied_assumptions.forward_scenarios.1.segments.0.operating_margin.3</t>
        </is>
      </c>
      <c r="B249" s="3" t="n">
        <v>0.4</v>
      </c>
      <c r="C249" s="2" t="inlineStr">
        <is>
          <t>agent/policy.json and data/AVGO/metrics.json</t>
        </is>
      </c>
    </row>
    <row r="250" ht="42" customHeight="1">
      <c r="A250" s="2" t="inlineStr">
        <is>
          <t>applied_assumptions.forward_scenarios.1.segments.0.operating_margin.4</t>
        </is>
      </c>
      <c r="B250" s="3" t="n">
        <v>0.4</v>
      </c>
      <c r="C250" s="2" t="inlineStr">
        <is>
          <t>agent/policy.json and data/AVGO/metrics.json</t>
        </is>
      </c>
    </row>
    <row r="251" ht="42" customHeight="1">
      <c r="A251" s="2" t="inlineStr">
        <is>
          <t>applied_assumptions.forward_scenarios.1.segments.0.operating_margin.5</t>
        </is>
      </c>
      <c r="B251" s="3" t="n">
        <v>0.4</v>
      </c>
      <c r="C251" s="2" t="inlineStr">
        <is>
          <t>agent/policy.json and data/AVGO/metrics.json</t>
        </is>
      </c>
    </row>
    <row r="252" ht="42" customHeight="1">
      <c r="A252" s="2" t="inlineStr">
        <is>
          <t>applied_assumptions.forward_scenarios.1.segments.0.operating_margin.6</t>
        </is>
      </c>
      <c r="B252" s="3" t="n">
        <v>0.4</v>
      </c>
      <c r="C252" s="2" t="inlineStr">
        <is>
          <t>agent/policy.json and data/AVGO/metrics.json</t>
        </is>
      </c>
    </row>
    <row r="253" ht="42" customHeight="1">
      <c r="A253" s="2" t="inlineStr">
        <is>
          <t>applied_assumptions.forward_scenarios.1.segments.0.operating_margin.7</t>
        </is>
      </c>
      <c r="B253" s="3" t="n">
        <v>0.4</v>
      </c>
      <c r="C253" s="2" t="inlineStr">
        <is>
          <t>agent/policy.json and data/AVGO/metrics.json</t>
        </is>
      </c>
    </row>
    <row r="254" ht="42" customHeight="1">
      <c r="A254" s="2" t="inlineStr">
        <is>
          <t>applied_assumptions.forward_scenarios.1.segments.0.operating_margin.8</t>
        </is>
      </c>
      <c r="B254" s="3" t="n">
        <v>0.4</v>
      </c>
      <c r="C254" s="2" t="inlineStr">
        <is>
          <t>agent/policy.json and data/AVGO/metrics.json</t>
        </is>
      </c>
    </row>
    <row r="255" ht="42" customHeight="1">
      <c r="A255" s="2" t="inlineStr">
        <is>
          <t>applied_assumptions.forward_scenarios.1.segments.0.operating_margin.9</t>
        </is>
      </c>
      <c r="B255" s="3" t="n">
        <v>0.4</v>
      </c>
      <c r="C255" s="2" t="inlineStr">
        <is>
          <t>agent/policy.json and data/AVGO/metrics.json</t>
        </is>
      </c>
    </row>
    <row r="256" ht="42" customHeight="1">
      <c r="A256" s="2" t="inlineStr">
        <is>
          <t>applied_assumptions.forward_scenarios.1.segments.0.depreciation_to_revenue.0</t>
        </is>
      </c>
      <c r="B256" s="3" t="n">
        <v>0.015</v>
      </c>
      <c r="C256" s="2" t="inlineStr">
        <is>
          <t>agent/policy.json and data/AVGO/metrics.json</t>
        </is>
      </c>
    </row>
    <row r="257" ht="42" customHeight="1">
      <c r="A257" s="2" t="inlineStr">
        <is>
          <t>applied_assumptions.forward_scenarios.1.segments.0.depreciation_to_revenue.1</t>
        </is>
      </c>
      <c r="B257" s="3" t="n">
        <v>0.015</v>
      </c>
      <c r="C257" s="2" t="inlineStr">
        <is>
          <t>agent/policy.json and data/AVGO/metrics.json</t>
        </is>
      </c>
    </row>
    <row r="258" ht="42" customHeight="1">
      <c r="A258" s="2" t="inlineStr">
        <is>
          <t>applied_assumptions.forward_scenarios.1.segments.0.depreciation_to_revenue.2</t>
        </is>
      </c>
      <c r="B258" s="3" t="n">
        <v>0.015</v>
      </c>
      <c r="C258" s="2" t="inlineStr">
        <is>
          <t>agent/policy.json and data/AVGO/metrics.json</t>
        </is>
      </c>
    </row>
    <row r="259" ht="42" customHeight="1">
      <c r="A259" s="2" t="inlineStr">
        <is>
          <t>applied_assumptions.forward_scenarios.1.segments.0.depreciation_to_revenue.3</t>
        </is>
      </c>
      <c r="B259" s="3" t="n">
        <v>0.015</v>
      </c>
      <c r="C259" s="2" t="inlineStr">
        <is>
          <t>agent/policy.json and data/AVGO/metrics.json</t>
        </is>
      </c>
    </row>
    <row r="260" ht="42" customHeight="1">
      <c r="A260" s="2" t="inlineStr">
        <is>
          <t>applied_assumptions.forward_scenarios.1.segments.0.depreciation_to_revenue.4</t>
        </is>
      </c>
      <c r="B260" s="3" t="n">
        <v>0.015</v>
      </c>
      <c r="C260" s="2" t="inlineStr">
        <is>
          <t>agent/policy.json and data/AVGO/metrics.json</t>
        </is>
      </c>
    </row>
    <row r="261" ht="42" customHeight="1">
      <c r="A261" s="2" t="inlineStr">
        <is>
          <t>applied_assumptions.forward_scenarios.1.segments.0.depreciation_to_revenue.5</t>
        </is>
      </c>
      <c r="B261" s="3" t="n">
        <v>0.015</v>
      </c>
      <c r="C261" s="2" t="inlineStr">
        <is>
          <t>agent/policy.json and data/AVGO/metrics.json</t>
        </is>
      </c>
    </row>
    <row r="262" ht="42" customHeight="1">
      <c r="A262" s="2" t="inlineStr">
        <is>
          <t>applied_assumptions.forward_scenarios.1.segments.0.depreciation_to_revenue.6</t>
        </is>
      </c>
      <c r="B262" s="3" t="n">
        <v>0.015</v>
      </c>
      <c r="C262" s="2" t="inlineStr">
        <is>
          <t>agent/policy.json and data/AVGO/metrics.json</t>
        </is>
      </c>
    </row>
    <row r="263" ht="42" customHeight="1">
      <c r="A263" s="2" t="inlineStr">
        <is>
          <t>applied_assumptions.forward_scenarios.1.segments.0.depreciation_to_revenue.7</t>
        </is>
      </c>
      <c r="B263" s="3" t="n">
        <v>0.015</v>
      </c>
      <c r="C263" s="2" t="inlineStr">
        <is>
          <t>agent/policy.json and data/AVGO/metrics.json</t>
        </is>
      </c>
    </row>
    <row r="264" ht="42" customHeight="1">
      <c r="A264" s="2" t="inlineStr">
        <is>
          <t>applied_assumptions.forward_scenarios.1.segments.0.depreciation_to_revenue.8</t>
        </is>
      </c>
      <c r="B264" s="3" t="n">
        <v>0.015</v>
      </c>
      <c r="C264" s="2" t="inlineStr">
        <is>
          <t>agent/policy.json and data/AVGO/metrics.json</t>
        </is>
      </c>
    </row>
    <row r="265" ht="42" customHeight="1">
      <c r="A265" s="2" t="inlineStr">
        <is>
          <t>applied_assumptions.forward_scenarios.1.segments.0.depreciation_to_revenue.9</t>
        </is>
      </c>
      <c r="B265" s="3" t="n">
        <v>0.015</v>
      </c>
      <c r="C265" s="2" t="inlineStr">
        <is>
          <t>agent/policy.json and data/AVGO/metrics.json</t>
        </is>
      </c>
    </row>
    <row r="266" ht="42" customHeight="1">
      <c r="A266" s="2" t="inlineStr">
        <is>
          <t>applied_assumptions.forward_scenarios.1.segments.0.capex_to_revenue.0</t>
        </is>
      </c>
      <c r="B266" s="3" t="n">
        <v>0.025</v>
      </c>
      <c r="C266" s="2" t="inlineStr">
        <is>
          <t>agent/policy.json and data/AVGO/metrics.json</t>
        </is>
      </c>
    </row>
    <row r="267" ht="42" customHeight="1">
      <c r="A267" s="2" t="inlineStr">
        <is>
          <t>applied_assumptions.forward_scenarios.1.segments.0.capex_to_revenue.1</t>
        </is>
      </c>
      <c r="B267" s="3" t="n">
        <v>0.025</v>
      </c>
      <c r="C267" s="2" t="inlineStr">
        <is>
          <t>agent/policy.json and data/AVGO/metrics.json</t>
        </is>
      </c>
    </row>
    <row r="268" ht="42" customHeight="1">
      <c r="A268" s="2" t="inlineStr">
        <is>
          <t>applied_assumptions.forward_scenarios.1.segments.0.capex_to_revenue.2</t>
        </is>
      </c>
      <c r="B268" s="3" t="n">
        <v>0.025</v>
      </c>
      <c r="C268" s="2" t="inlineStr">
        <is>
          <t>agent/policy.json and data/AVGO/metrics.json</t>
        </is>
      </c>
    </row>
    <row r="269" ht="42" customHeight="1">
      <c r="A269" s="2" t="inlineStr">
        <is>
          <t>applied_assumptions.forward_scenarios.1.segments.0.capex_to_revenue.3</t>
        </is>
      </c>
      <c r="B269" s="3" t="n">
        <v>0.025</v>
      </c>
      <c r="C269" s="2" t="inlineStr">
        <is>
          <t>agent/policy.json and data/AVGO/metrics.json</t>
        </is>
      </c>
    </row>
    <row r="270" ht="42" customHeight="1">
      <c r="A270" s="2" t="inlineStr">
        <is>
          <t>applied_assumptions.forward_scenarios.1.segments.0.capex_to_revenue.4</t>
        </is>
      </c>
      <c r="B270" s="3" t="n">
        <v>0.025</v>
      </c>
      <c r="C270" s="2" t="inlineStr">
        <is>
          <t>agent/policy.json and data/AVGO/metrics.json</t>
        </is>
      </c>
    </row>
    <row r="271" ht="42" customHeight="1">
      <c r="A271" s="2" t="inlineStr">
        <is>
          <t>applied_assumptions.forward_scenarios.1.segments.0.capex_to_revenue.5</t>
        </is>
      </c>
      <c r="B271" s="3" t="n">
        <v>0.025</v>
      </c>
      <c r="C271" s="2" t="inlineStr">
        <is>
          <t>agent/policy.json and data/AVGO/metrics.json</t>
        </is>
      </c>
    </row>
    <row r="272" ht="42" customHeight="1">
      <c r="A272" s="2" t="inlineStr">
        <is>
          <t>applied_assumptions.forward_scenarios.1.segments.0.capex_to_revenue.6</t>
        </is>
      </c>
      <c r="B272" s="3" t="n">
        <v>0.025</v>
      </c>
      <c r="C272" s="2" t="inlineStr">
        <is>
          <t>agent/policy.json and data/AVGO/metrics.json</t>
        </is>
      </c>
    </row>
    <row r="273" ht="42" customHeight="1">
      <c r="A273" s="2" t="inlineStr">
        <is>
          <t>applied_assumptions.forward_scenarios.1.segments.0.capex_to_revenue.7</t>
        </is>
      </c>
      <c r="B273" s="3" t="n">
        <v>0.025</v>
      </c>
      <c r="C273" s="2" t="inlineStr">
        <is>
          <t>agent/policy.json and data/AVGO/metrics.json</t>
        </is>
      </c>
    </row>
    <row r="274" ht="42" customHeight="1">
      <c r="A274" s="2" t="inlineStr">
        <is>
          <t>applied_assumptions.forward_scenarios.1.segments.0.capex_to_revenue.8</t>
        </is>
      </c>
      <c r="B274" s="3" t="n">
        <v>0.025</v>
      </c>
      <c r="C274" s="2" t="inlineStr">
        <is>
          <t>agent/policy.json and data/AVGO/metrics.json</t>
        </is>
      </c>
    </row>
    <row r="275" ht="42" customHeight="1">
      <c r="A275" s="2" t="inlineStr">
        <is>
          <t>applied_assumptions.forward_scenarios.1.segments.0.capex_to_revenue.9</t>
        </is>
      </c>
      <c r="B275" s="3" t="n">
        <v>0.025</v>
      </c>
      <c r="C275" s="2" t="inlineStr">
        <is>
          <t>agent/policy.json and data/AVGO/metrics.json</t>
        </is>
      </c>
    </row>
    <row r="276" ht="42" customHeight="1">
      <c r="A276" s="2" t="inlineStr">
        <is>
          <t>applied_assumptions.forward_scenarios.1.segments.0.working_capital_to_revenue.0</t>
        </is>
      </c>
      <c r="B276" s="3" t="n">
        <v>0.18</v>
      </c>
      <c r="C276" s="2" t="inlineStr">
        <is>
          <t>agent/policy.json and data/AVGO/metrics.json</t>
        </is>
      </c>
    </row>
    <row r="277" ht="42" customHeight="1">
      <c r="A277" s="2" t="inlineStr">
        <is>
          <t>applied_assumptions.forward_scenarios.1.segments.0.working_capital_to_revenue.1</t>
        </is>
      </c>
      <c r="B277" s="3" t="n">
        <v>0.18</v>
      </c>
      <c r="C277" s="2" t="inlineStr">
        <is>
          <t>agent/policy.json and data/AVGO/metrics.json</t>
        </is>
      </c>
    </row>
    <row r="278" ht="42" customHeight="1">
      <c r="A278" s="2" t="inlineStr">
        <is>
          <t>applied_assumptions.forward_scenarios.1.segments.0.working_capital_to_revenue.2</t>
        </is>
      </c>
      <c r="B278" s="3" t="n">
        <v>0.18</v>
      </c>
      <c r="C278" s="2" t="inlineStr">
        <is>
          <t>agent/policy.json and data/AVGO/metrics.json</t>
        </is>
      </c>
    </row>
    <row r="279" ht="42" customHeight="1">
      <c r="A279" s="2" t="inlineStr">
        <is>
          <t>applied_assumptions.forward_scenarios.1.segments.0.working_capital_to_revenue.3</t>
        </is>
      </c>
      <c r="B279" s="3" t="n">
        <v>0.18</v>
      </c>
      <c r="C279" s="2" t="inlineStr">
        <is>
          <t>agent/policy.json and data/AVGO/metrics.json</t>
        </is>
      </c>
    </row>
    <row r="280" ht="42" customHeight="1">
      <c r="A280" s="2" t="inlineStr">
        <is>
          <t>applied_assumptions.forward_scenarios.1.segments.0.working_capital_to_revenue.4</t>
        </is>
      </c>
      <c r="B280" s="3" t="n">
        <v>0.18</v>
      </c>
      <c r="C280" s="2" t="inlineStr">
        <is>
          <t>agent/policy.json and data/AVGO/metrics.json</t>
        </is>
      </c>
    </row>
    <row r="281" ht="42" customHeight="1">
      <c r="A281" s="2" t="inlineStr">
        <is>
          <t>applied_assumptions.forward_scenarios.1.segments.0.working_capital_to_revenue.5</t>
        </is>
      </c>
      <c r="B281" s="3" t="n">
        <v>0.18</v>
      </c>
      <c r="C281" s="2" t="inlineStr">
        <is>
          <t>agent/policy.json and data/AVGO/metrics.json</t>
        </is>
      </c>
    </row>
    <row r="282" ht="42" customHeight="1">
      <c r="A282" s="2" t="inlineStr">
        <is>
          <t>applied_assumptions.forward_scenarios.1.segments.0.working_capital_to_revenue.6</t>
        </is>
      </c>
      <c r="B282" s="3" t="n">
        <v>0.18</v>
      </c>
      <c r="C282" s="2" t="inlineStr">
        <is>
          <t>agent/policy.json and data/AVGO/metrics.json</t>
        </is>
      </c>
    </row>
    <row r="283" ht="42" customHeight="1">
      <c r="A283" s="2" t="inlineStr">
        <is>
          <t>applied_assumptions.forward_scenarios.1.segments.0.working_capital_to_revenue.7</t>
        </is>
      </c>
      <c r="B283" s="3" t="n">
        <v>0.18</v>
      </c>
      <c r="C283" s="2" t="inlineStr">
        <is>
          <t>agent/policy.json and data/AVGO/metrics.json</t>
        </is>
      </c>
    </row>
    <row r="284" ht="42" customHeight="1">
      <c r="A284" s="2" t="inlineStr">
        <is>
          <t>applied_assumptions.forward_scenarios.1.segments.0.working_capital_to_revenue.8</t>
        </is>
      </c>
      <c r="B284" s="3" t="n">
        <v>0.18</v>
      </c>
      <c r="C284" s="2" t="inlineStr">
        <is>
          <t>agent/policy.json and data/AVGO/metrics.json</t>
        </is>
      </c>
    </row>
    <row r="285" ht="42" customHeight="1">
      <c r="A285" s="2" t="inlineStr">
        <is>
          <t>applied_assumptions.forward_scenarios.1.segments.0.working_capital_to_revenue.9</t>
        </is>
      </c>
      <c r="B285" s="3" t="n">
        <v>0.18</v>
      </c>
      <c r="C285" s="2" t="inlineStr">
        <is>
          <t>agent/policy.json and data/AVGO/metrics.json</t>
        </is>
      </c>
    </row>
    <row r="286" ht="42" customHeight="1">
      <c r="A286" s="2" t="inlineStr">
        <is>
          <t>applied_assumptions.forward_scenarios.1.segments.1.name</t>
        </is>
      </c>
      <c r="B286" s="2" t="inlineStr">
        <is>
          <t>Infrastructure software (including VMware)</t>
        </is>
      </c>
      <c r="C286" s="2" t="inlineStr">
        <is>
          <t>agent/policy.json and data/AVGO/metrics.json</t>
        </is>
      </c>
    </row>
    <row r="287" ht="42" customHeight="1">
      <c r="A287" s="2" t="inlineStr">
        <is>
          <t>applied_assumptions.forward_scenarios.1.segments.1.base_revenue.period_end</t>
        </is>
      </c>
      <c r="B287" s="2" t="inlineStr">
        <is>
          <t>2026-08-02</t>
        </is>
      </c>
      <c r="C287" s="2" t="inlineStr">
        <is>
          <t>agent/policy.json and data/AVGO/metrics.json</t>
        </is>
      </c>
    </row>
    <row r="288" ht="42" customHeight="1">
      <c r="A288" s="2" t="inlineStr">
        <is>
          <t>applied_assumptions.forward_scenarios.1.segments.1.base_revenue.components.0.item</t>
        </is>
      </c>
      <c r="B288" s="2" t="inlineStr">
        <is>
          <t>segment_revenue_software</t>
        </is>
      </c>
      <c r="C288" s="2" t="inlineStr">
        <is>
          <t>agent/policy.json and data/AVGO/metrics.json</t>
        </is>
      </c>
    </row>
    <row r="289" ht="42" customHeight="1">
      <c r="A289" s="2" t="inlineStr">
        <is>
          <t>applied_assumptions.forward_scenarios.1.segments.1.base_revenue.components.0.period_end</t>
        </is>
      </c>
      <c r="B289" s="2" t="inlineStr">
        <is>
          <t>2025-11-02</t>
        </is>
      </c>
      <c r="C289" s="2" t="inlineStr">
        <is>
          <t>agent/policy.json and data/AVGO/metrics.json</t>
        </is>
      </c>
    </row>
    <row r="290" ht="42" customHeight="1">
      <c r="A290" s="2" t="inlineStr">
        <is>
          <t>applied_assumptions.forward_scenarios.1.segments.1.base_revenue.components.0.value</t>
        </is>
      </c>
      <c r="B290" s="3" t="n">
        <v>27029000000</v>
      </c>
      <c r="C290" s="2" t="inlineStr">
        <is>
          <t>agent/policy.json and data/AVGO/metrics.json</t>
        </is>
      </c>
    </row>
    <row r="291" ht="42" customHeight="1">
      <c r="A291" s="2" t="inlineStr">
        <is>
          <t>applied_assumptions.forward_scenarios.1.segments.1.base_revenue.components.0.source</t>
        </is>
      </c>
      <c r="B291" s="2" t="inlineStr">
        <is>
          <t>10-K 0001730168-25-000121</t>
        </is>
      </c>
      <c r="C291" s="2" t="inlineStr">
        <is>
          <t>agent/policy.json and data/AVGO/metrics.json</t>
        </is>
      </c>
    </row>
    <row r="292" ht="42" customHeight="1">
      <c r="A292" s="2" t="inlineStr">
        <is>
          <t>applied_assumptions.forward_scenarios.1.segments.1.base_revenue.components.0.sign</t>
        </is>
      </c>
      <c r="B292" s="3" t="n">
        <v>1</v>
      </c>
      <c r="C292" s="2" t="inlineStr">
        <is>
          <t>agent/policy.json and data/AVGO/metrics.json</t>
        </is>
      </c>
    </row>
    <row r="293" ht="42" customHeight="1">
      <c r="A293" s="2" t="inlineStr">
        <is>
          <t>applied_assumptions.forward_scenarios.1.segments.1.base_revenue.components.1.item</t>
        </is>
      </c>
      <c r="B293" s="2" t="inlineStr">
        <is>
          <t>segment_revenue_software</t>
        </is>
      </c>
      <c r="C293" s="2" t="inlineStr">
        <is>
          <t>agent/policy.json and data/AVGO/metrics.json</t>
        </is>
      </c>
    </row>
    <row r="294" ht="42" customHeight="1">
      <c r="A294" s="2" t="inlineStr">
        <is>
          <t>applied_assumptions.forward_scenarios.1.segments.1.base_revenue.components.1.period_end</t>
        </is>
      </c>
      <c r="B294" s="2" t="inlineStr">
        <is>
          <t>2026-08-02</t>
        </is>
      </c>
      <c r="C294" s="2" t="inlineStr">
        <is>
          <t>agent/policy.json and data/AVGO/metrics.json</t>
        </is>
      </c>
    </row>
    <row r="295" ht="42" customHeight="1">
      <c r="A295" s="2" t="inlineStr">
        <is>
          <t>applied_assumptions.forward_scenarios.1.segments.1.base_revenue.components.1.value</t>
        </is>
      </c>
      <c r="B295" s="3" t="n">
        <v>22726000000</v>
      </c>
      <c r="C295" s="2" t="inlineStr">
        <is>
          <t>agent/policy.json and data/AVGO/metrics.json</t>
        </is>
      </c>
    </row>
    <row r="296" ht="42" customHeight="1">
      <c r="A296" s="2" t="inlineStr">
        <is>
          <t>applied_assumptions.forward_scenarios.1.segments.1.base_revenue.components.1.source</t>
        </is>
      </c>
      <c r="B296" s="2" t="inlineStr">
        <is>
          <t>10-Q 0001730168-26-000080</t>
        </is>
      </c>
      <c r="C296" s="2" t="inlineStr">
        <is>
          <t>agent/policy.json and data/AVGO/metrics.json</t>
        </is>
      </c>
    </row>
    <row r="297" ht="42" customHeight="1">
      <c r="A297" s="2" t="inlineStr">
        <is>
          <t>applied_assumptions.forward_scenarios.1.segments.1.base_revenue.components.1.sign</t>
        </is>
      </c>
      <c r="B297" s="3" t="n">
        <v>1</v>
      </c>
      <c r="C297" s="2" t="inlineStr">
        <is>
          <t>agent/policy.json and data/AVGO/metrics.json</t>
        </is>
      </c>
    </row>
    <row r="298" ht="42" customHeight="1">
      <c r="A298" s="2" t="inlineStr">
        <is>
          <t>applied_assumptions.forward_scenarios.1.segments.1.base_revenue.components.2.item</t>
        </is>
      </c>
      <c r="B298" s="2" t="inlineStr">
        <is>
          <t>segment_revenue_software</t>
        </is>
      </c>
      <c r="C298" s="2" t="inlineStr">
        <is>
          <t>agent/policy.json and data/AVGO/metrics.json</t>
        </is>
      </c>
    </row>
    <row r="299" ht="42" customHeight="1">
      <c r="A299" s="2" t="inlineStr">
        <is>
          <t>applied_assumptions.forward_scenarios.1.segments.1.base_revenue.components.2.period_end</t>
        </is>
      </c>
      <c r="B299" s="2" t="inlineStr">
        <is>
          <t>2025-08-03</t>
        </is>
      </c>
      <c r="C299" s="2" t="inlineStr">
        <is>
          <t>agent/policy.json and data/AVGO/metrics.json</t>
        </is>
      </c>
    </row>
    <row r="300" ht="42" customHeight="1">
      <c r="A300" s="2" t="inlineStr">
        <is>
          <t>applied_assumptions.forward_scenarios.1.segments.1.base_revenue.components.2.value</t>
        </is>
      </c>
      <c r="B300" s="3" t="n">
        <v>20086000000</v>
      </c>
      <c r="C300" s="2" t="inlineStr">
        <is>
          <t>agent/policy.json and data/AVGO/metrics.json</t>
        </is>
      </c>
    </row>
    <row r="301" ht="42" customHeight="1">
      <c r="A301" s="2" t="inlineStr">
        <is>
          <t>applied_assumptions.forward_scenarios.1.segments.1.base_revenue.components.2.source</t>
        </is>
      </c>
      <c r="B301" s="2" t="inlineStr">
        <is>
          <t>10-Q 0001730168-26-000080</t>
        </is>
      </c>
      <c r="C301" s="2" t="inlineStr">
        <is>
          <t>agent/policy.json and data/AVGO/metrics.json</t>
        </is>
      </c>
    </row>
    <row r="302" ht="42" customHeight="1">
      <c r="A302" s="2" t="inlineStr">
        <is>
          <t>applied_assumptions.forward_scenarios.1.segments.1.base_revenue.components.2.sign</t>
        </is>
      </c>
      <c r="B302" s="3" t="n">
        <v>-1</v>
      </c>
      <c r="C302" s="2" t="inlineStr">
        <is>
          <t>agent/policy.json and data/AVGO/metrics.json</t>
        </is>
      </c>
    </row>
    <row r="303" ht="42" customHeight="1">
      <c r="A303" s="2" t="inlineStr">
        <is>
          <t>applied_assumptions.forward_scenarios.1.segments.1.base_working_capital_ratio</t>
        </is>
      </c>
      <c r="B303" s="3" t="n">
        <v>0.05</v>
      </c>
      <c r="C303" s="2" t="inlineStr">
        <is>
          <t>agent/policy.json and data/AVGO/metrics.json</t>
        </is>
      </c>
    </row>
    <row r="304" ht="42" customHeight="1">
      <c r="A304" s="2" t="inlineStr">
        <is>
          <t>applied_assumptions.forward_scenarios.1.segments.1.growth.0</t>
        </is>
      </c>
      <c r="B304" s="3" t="n">
        <v>0.1</v>
      </c>
      <c r="C304" s="2" t="inlineStr">
        <is>
          <t>agent/policy.json and data/AVGO/metrics.json</t>
        </is>
      </c>
    </row>
    <row r="305" ht="42" customHeight="1">
      <c r="A305" s="2" t="inlineStr">
        <is>
          <t>applied_assumptions.forward_scenarios.1.segments.1.growth.1</t>
        </is>
      </c>
      <c r="B305" s="3" t="n">
        <v>0.09</v>
      </c>
      <c r="C305" s="2" t="inlineStr">
        <is>
          <t>agent/policy.json and data/AVGO/metrics.json</t>
        </is>
      </c>
    </row>
    <row r="306" ht="42" customHeight="1">
      <c r="A306" s="2" t="inlineStr">
        <is>
          <t>applied_assumptions.forward_scenarios.1.segments.1.growth.2</t>
        </is>
      </c>
      <c r="B306" s="3" t="n">
        <v>0.08</v>
      </c>
      <c r="C306" s="2" t="inlineStr">
        <is>
          <t>agent/policy.json and data/AVGO/metrics.json</t>
        </is>
      </c>
    </row>
    <row r="307" ht="42" customHeight="1">
      <c r="A307" s="2" t="inlineStr">
        <is>
          <t>applied_assumptions.forward_scenarios.1.segments.1.growth.3</t>
        </is>
      </c>
      <c r="B307" s="3" t="n">
        <v>0.07000000000000001</v>
      </c>
      <c r="C307" s="2" t="inlineStr">
        <is>
          <t>agent/policy.json and data/AVGO/metrics.json</t>
        </is>
      </c>
    </row>
    <row r="308" ht="42" customHeight="1">
      <c r="A308" s="2" t="inlineStr">
        <is>
          <t>applied_assumptions.forward_scenarios.1.segments.1.growth.4</t>
        </is>
      </c>
      <c r="B308" s="3" t="n">
        <v>0.06</v>
      </c>
      <c r="C308" s="2" t="inlineStr">
        <is>
          <t>agent/policy.json and data/AVGO/metrics.json</t>
        </is>
      </c>
    </row>
    <row r="309" ht="42" customHeight="1">
      <c r="A309" s="2" t="inlineStr">
        <is>
          <t>applied_assumptions.forward_scenarios.1.segments.1.growth.5</t>
        </is>
      </c>
      <c r="B309" s="3" t="n">
        <v>0.05</v>
      </c>
      <c r="C309" s="2" t="inlineStr">
        <is>
          <t>agent/policy.json and data/AVGO/metrics.json</t>
        </is>
      </c>
    </row>
    <row r="310" ht="42" customHeight="1">
      <c r="A310" s="2" t="inlineStr">
        <is>
          <t>applied_assumptions.forward_scenarios.1.segments.1.growth.6</t>
        </is>
      </c>
      <c r="B310" s="3" t="n">
        <v>0.04</v>
      </c>
      <c r="C310" s="2" t="inlineStr">
        <is>
          <t>agent/policy.json and data/AVGO/metrics.json</t>
        </is>
      </c>
    </row>
    <row r="311" ht="42" customHeight="1">
      <c r="A311" s="2" t="inlineStr">
        <is>
          <t>applied_assumptions.forward_scenarios.1.segments.1.growth.7</t>
        </is>
      </c>
      <c r="B311" s="3" t="n">
        <v>0.03</v>
      </c>
      <c r="C311" s="2" t="inlineStr">
        <is>
          <t>agent/policy.json and data/AVGO/metrics.json</t>
        </is>
      </c>
    </row>
    <row r="312" ht="42" customHeight="1">
      <c r="A312" s="2" t="inlineStr">
        <is>
          <t>applied_assumptions.forward_scenarios.1.segments.1.growth.8</t>
        </is>
      </c>
      <c r="B312" s="3" t="n">
        <v>0.03</v>
      </c>
      <c r="C312" s="2" t="inlineStr">
        <is>
          <t>agent/policy.json and data/AVGO/metrics.json</t>
        </is>
      </c>
    </row>
    <row r="313" ht="42" customHeight="1">
      <c r="A313" s="2" t="inlineStr">
        <is>
          <t>applied_assumptions.forward_scenarios.1.segments.1.growth.9</t>
        </is>
      </c>
      <c r="B313" s="3" t="n">
        <v>0.03</v>
      </c>
      <c r="C313" s="2" t="inlineStr">
        <is>
          <t>agent/policy.json and data/AVGO/metrics.json</t>
        </is>
      </c>
    </row>
    <row r="314" ht="42" customHeight="1">
      <c r="A314" s="2" t="inlineStr">
        <is>
          <t>applied_assumptions.forward_scenarios.1.segments.1.operating_margin.0</t>
        </is>
      </c>
      <c r="B314" s="3" t="n">
        <v>0.5</v>
      </c>
      <c r="C314" s="2" t="inlineStr">
        <is>
          <t>agent/policy.json and data/AVGO/metrics.json</t>
        </is>
      </c>
    </row>
    <row r="315" ht="42" customHeight="1">
      <c r="A315" s="2" t="inlineStr">
        <is>
          <t>applied_assumptions.forward_scenarios.1.segments.1.operating_margin.1</t>
        </is>
      </c>
      <c r="B315" s="3" t="n">
        <v>0.5</v>
      </c>
      <c r="C315" s="2" t="inlineStr">
        <is>
          <t>agent/policy.json and data/AVGO/metrics.json</t>
        </is>
      </c>
    </row>
    <row r="316" ht="42" customHeight="1">
      <c r="A316" s="2" t="inlineStr">
        <is>
          <t>applied_assumptions.forward_scenarios.1.segments.1.operating_margin.2</t>
        </is>
      </c>
      <c r="B316" s="3" t="n">
        <v>0.5</v>
      </c>
      <c r="C316" s="2" t="inlineStr">
        <is>
          <t>agent/policy.json and data/AVGO/metrics.json</t>
        </is>
      </c>
    </row>
    <row r="317" ht="42" customHeight="1">
      <c r="A317" s="2" t="inlineStr">
        <is>
          <t>applied_assumptions.forward_scenarios.1.segments.1.operating_margin.3</t>
        </is>
      </c>
      <c r="B317" s="3" t="n">
        <v>0.5</v>
      </c>
      <c r="C317" s="2" t="inlineStr">
        <is>
          <t>agent/policy.json and data/AVGO/metrics.json</t>
        </is>
      </c>
    </row>
    <row r="318" ht="42" customHeight="1">
      <c r="A318" s="2" t="inlineStr">
        <is>
          <t>applied_assumptions.forward_scenarios.1.segments.1.operating_margin.4</t>
        </is>
      </c>
      <c r="B318" s="3" t="n">
        <v>0.5</v>
      </c>
      <c r="C318" s="2" t="inlineStr">
        <is>
          <t>agent/policy.json and data/AVGO/metrics.json</t>
        </is>
      </c>
    </row>
    <row r="319" ht="42" customHeight="1">
      <c r="A319" s="2" t="inlineStr">
        <is>
          <t>applied_assumptions.forward_scenarios.1.segments.1.operating_margin.5</t>
        </is>
      </c>
      <c r="B319" s="3" t="n">
        <v>0.5</v>
      </c>
      <c r="C319" s="2" t="inlineStr">
        <is>
          <t>agent/policy.json and data/AVGO/metrics.json</t>
        </is>
      </c>
    </row>
    <row r="320" ht="42" customHeight="1">
      <c r="A320" s="2" t="inlineStr">
        <is>
          <t>applied_assumptions.forward_scenarios.1.segments.1.operating_margin.6</t>
        </is>
      </c>
      <c r="B320" s="3" t="n">
        <v>0.5</v>
      </c>
      <c r="C320" s="2" t="inlineStr">
        <is>
          <t>agent/policy.json and data/AVGO/metrics.json</t>
        </is>
      </c>
    </row>
    <row r="321" ht="42" customHeight="1">
      <c r="A321" s="2" t="inlineStr">
        <is>
          <t>applied_assumptions.forward_scenarios.1.segments.1.operating_margin.7</t>
        </is>
      </c>
      <c r="B321" s="3" t="n">
        <v>0.5</v>
      </c>
      <c r="C321" s="2" t="inlineStr">
        <is>
          <t>agent/policy.json and data/AVGO/metrics.json</t>
        </is>
      </c>
    </row>
    <row r="322" ht="42" customHeight="1">
      <c r="A322" s="2" t="inlineStr">
        <is>
          <t>applied_assumptions.forward_scenarios.1.segments.1.operating_margin.8</t>
        </is>
      </c>
      <c r="B322" s="3" t="n">
        <v>0.5</v>
      </c>
      <c r="C322" s="2" t="inlineStr">
        <is>
          <t>agent/policy.json and data/AVGO/metrics.json</t>
        </is>
      </c>
    </row>
    <row r="323" ht="42" customHeight="1">
      <c r="A323" s="2" t="inlineStr">
        <is>
          <t>applied_assumptions.forward_scenarios.1.segments.1.operating_margin.9</t>
        </is>
      </c>
      <c r="B323" s="3" t="n">
        <v>0.5</v>
      </c>
      <c r="C323" s="2" t="inlineStr">
        <is>
          <t>agent/policy.json and data/AVGO/metrics.json</t>
        </is>
      </c>
    </row>
    <row r="324" ht="42" customHeight="1">
      <c r="A324" s="2" t="inlineStr">
        <is>
          <t>applied_assumptions.forward_scenarios.1.segments.1.depreciation_to_revenue.0</t>
        </is>
      </c>
      <c r="B324" s="3" t="n">
        <v>0.005</v>
      </c>
      <c r="C324" s="2" t="inlineStr">
        <is>
          <t>agent/policy.json and data/AVGO/metrics.json</t>
        </is>
      </c>
    </row>
    <row r="325" ht="42" customHeight="1">
      <c r="A325" s="2" t="inlineStr">
        <is>
          <t>applied_assumptions.forward_scenarios.1.segments.1.depreciation_to_revenue.1</t>
        </is>
      </c>
      <c r="B325" s="3" t="n">
        <v>0.005</v>
      </c>
      <c r="C325" s="2" t="inlineStr">
        <is>
          <t>agent/policy.json and data/AVGO/metrics.json</t>
        </is>
      </c>
    </row>
    <row r="326" ht="42" customHeight="1">
      <c r="A326" s="2" t="inlineStr">
        <is>
          <t>applied_assumptions.forward_scenarios.1.segments.1.depreciation_to_revenue.2</t>
        </is>
      </c>
      <c r="B326" s="3" t="n">
        <v>0.005</v>
      </c>
      <c r="C326" s="2" t="inlineStr">
        <is>
          <t>agent/policy.json and data/AVGO/metrics.json</t>
        </is>
      </c>
    </row>
    <row r="327" ht="42" customHeight="1">
      <c r="A327" s="2" t="inlineStr">
        <is>
          <t>applied_assumptions.forward_scenarios.1.segments.1.depreciation_to_revenue.3</t>
        </is>
      </c>
      <c r="B327" s="3" t="n">
        <v>0.005</v>
      </c>
      <c r="C327" s="2" t="inlineStr">
        <is>
          <t>agent/policy.json and data/AVGO/metrics.json</t>
        </is>
      </c>
    </row>
    <row r="328" ht="42" customHeight="1">
      <c r="A328" s="2" t="inlineStr">
        <is>
          <t>applied_assumptions.forward_scenarios.1.segments.1.depreciation_to_revenue.4</t>
        </is>
      </c>
      <c r="B328" s="3" t="n">
        <v>0.005</v>
      </c>
      <c r="C328" s="2" t="inlineStr">
        <is>
          <t>agent/policy.json and data/AVGO/metrics.json</t>
        </is>
      </c>
    </row>
    <row r="329" ht="42" customHeight="1">
      <c r="A329" s="2" t="inlineStr">
        <is>
          <t>applied_assumptions.forward_scenarios.1.segments.1.depreciation_to_revenue.5</t>
        </is>
      </c>
      <c r="B329" s="3" t="n">
        <v>0.005</v>
      </c>
      <c r="C329" s="2" t="inlineStr">
        <is>
          <t>agent/policy.json and data/AVGO/metrics.json</t>
        </is>
      </c>
    </row>
    <row r="330" ht="42" customHeight="1">
      <c r="A330" s="2" t="inlineStr">
        <is>
          <t>applied_assumptions.forward_scenarios.1.segments.1.depreciation_to_revenue.6</t>
        </is>
      </c>
      <c r="B330" s="3" t="n">
        <v>0.005</v>
      </c>
      <c r="C330" s="2" t="inlineStr">
        <is>
          <t>agent/policy.json and data/AVGO/metrics.json</t>
        </is>
      </c>
    </row>
    <row r="331" ht="42" customHeight="1">
      <c r="A331" s="2" t="inlineStr">
        <is>
          <t>applied_assumptions.forward_scenarios.1.segments.1.depreciation_to_revenue.7</t>
        </is>
      </c>
      <c r="B331" s="3" t="n">
        <v>0.005</v>
      </c>
      <c r="C331" s="2" t="inlineStr">
        <is>
          <t>agent/policy.json and data/AVGO/metrics.json</t>
        </is>
      </c>
    </row>
    <row r="332" ht="42" customHeight="1">
      <c r="A332" s="2" t="inlineStr">
        <is>
          <t>applied_assumptions.forward_scenarios.1.segments.1.depreciation_to_revenue.8</t>
        </is>
      </c>
      <c r="B332" s="3" t="n">
        <v>0.005</v>
      </c>
      <c r="C332" s="2" t="inlineStr">
        <is>
          <t>agent/policy.json and data/AVGO/metrics.json</t>
        </is>
      </c>
    </row>
    <row r="333" ht="42" customHeight="1">
      <c r="A333" s="2" t="inlineStr">
        <is>
          <t>applied_assumptions.forward_scenarios.1.segments.1.depreciation_to_revenue.9</t>
        </is>
      </c>
      <c r="B333" s="3" t="n">
        <v>0.005</v>
      </c>
      <c r="C333" s="2" t="inlineStr">
        <is>
          <t>agent/policy.json and data/AVGO/metrics.json</t>
        </is>
      </c>
    </row>
    <row r="334" ht="42" customHeight="1">
      <c r="A334" s="2" t="inlineStr">
        <is>
          <t>applied_assumptions.forward_scenarios.1.segments.1.capex_to_revenue.0</t>
        </is>
      </c>
      <c r="B334" s="3" t="n">
        <v>0.01</v>
      </c>
      <c r="C334" s="2" t="inlineStr">
        <is>
          <t>agent/policy.json and data/AVGO/metrics.json</t>
        </is>
      </c>
    </row>
    <row r="335" ht="42" customHeight="1">
      <c r="A335" s="2" t="inlineStr">
        <is>
          <t>applied_assumptions.forward_scenarios.1.segments.1.capex_to_revenue.1</t>
        </is>
      </c>
      <c r="B335" s="3" t="n">
        <v>0.01</v>
      </c>
      <c r="C335" s="2" t="inlineStr">
        <is>
          <t>agent/policy.json and data/AVGO/metrics.json</t>
        </is>
      </c>
    </row>
    <row r="336" ht="42" customHeight="1">
      <c r="A336" s="2" t="inlineStr">
        <is>
          <t>applied_assumptions.forward_scenarios.1.segments.1.capex_to_revenue.2</t>
        </is>
      </c>
      <c r="B336" s="3" t="n">
        <v>0.01</v>
      </c>
      <c r="C336" s="2" t="inlineStr">
        <is>
          <t>agent/policy.json and data/AVGO/metrics.json</t>
        </is>
      </c>
    </row>
    <row r="337" ht="42" customHeight="1">
      <c r="A337" s="2" t="inlineStr">
        <is>
          <t>applied_assumptions.forward_scenarios.1.segments.1.capex_to_revenue.3</t>
        </is>
      </c>
      <c r="B337" s="3" t="n">
        <v>0.01</v>
      </c>
      <c r="C337" s="2" t="inlineStr">
        <is>
          <t>agent/policy.json and data/AVGO/metrics.json</t>
        </is>
      </c>
    </row>
    <row r="338" ht="42" customHeight="1">
      <c r="A338" s="2" t="inlineStr">
        <is>
          <t>applied_assumptions.forward_scenarios.1.segments.1.capex_to_revenue.4</t>
        </is>
      </c>
      <c r="B338" s="3" t="n">
        <v>0.01</v>
      </c>
      <c r="C338" s="2" t="inlineStr">
        <is>
          <t>agent/policy.json and data/AVGO/metrics.json</t>
        </is>
      </c>
    </row>
    <row r="339" ht="42" customHeight="1">
      <c r="A339" s="2" t="inlineStr">
        <is>
          <t>applied_assumptions.forward_scenarios.1.segments.1.capex_to_revenue.5</t>
        </is>
      </c>
      <c r="B339" s="3" t="n">
        <v>0.01</v>
      </c>
      <c r="C339" s="2" t="inlineStr">
        <is>
          <t>agent/policy.json and data/AVGO/metrics.json</t>
        </is>
      </c>
    </row>
    <row r="340" ht="42" customHeight="1">
      <c r="A340" s="2" t="inlineStr">
        <is>
          <t>applied_assumptions.forward_scenarios.1.segments.1.capex_to_revenue.6</t>
        </is>
      </c>
      <c r="B340" s="3" t="n">
        <v>0.01</v>
      </c>
      <c r="C340" s="2" t="inlineStr">
        <is>
          <t>agent/policy.json and data/AVGO/metrics.json</t>
        </is>
      </c>
    </row>
    <row r="341" ht="42" customHeight="1">
      <c r="A341" s="2" t="inlineStr">
        <is>
          <t>applied_assumptions.forward_scenarios.1.segments.1.capex_to_revenue.7</t>
        </is>
      </c>
      <c r="B341" s="3" t="n">
        <v>0.01</v>
      </c>
      <c r="C341" s="2" t="inlineStr">
        <is>
          <t>agent/policy.json and data/AVGO/metrics.json</t>
        </is>
      </c>
    </row>
    <row r="342" ht="42" customHeight="1">
      <c r="A342" s="2" t="inlineStr">
        <is>
          <t>applied_assumptions.forward_scenarios.1.segments.1.capex_to_revenue.8</t>
        </is>
      </c>
      <c r="B342" s="3" t="n">
        <v>0.01</v>
      </c>
      <c r="C342" s="2" t="inlineStr">
        <is>
          <t>agent/policy.json and data/AVGO/metrics.json</t>
        </is>
      </c>
    </row>
    <row r="343" ht="42" customHeight="1">
      <c r="A343" s="2" t="inlineStr">
        <is>
          <t>applied_assumptions.forward_scenarios.1.segments.1.capex_to_revenue.9</t>
        </is>
      </c>
      <c r="B343" s="3" t="n">
        <v>0.01</v>
      </c>
      <c r="C343" s="2" t="inlineStr">
        <is>
          <t>agent/policy.json and data/AVGO/metrics.json</t>
        </is>
      </c>
    </row>
    <row r="344" ht="42" customHeight="1">
      <c r="A344" s="2" t="inlineStr">
        <is>
          <t>applied_assumptions.forward_scenarios.1.segments.1.working_capital_to_revenue.0</t>
        </is>
      </c>
      <c r="B344" s="3" t="n">
        <v>0.05</v>
      </c>
      <c r="C344" s="2" t="inlineStr">
        <is>
          <t>agent/policy.json and data/AVGO/metrics.json</t>
        </is>
      </c>
    </row>
    <row r="345" ht="42" customHeight="1">
      <c r="A345" s="2" t="inlineStr">
        <is>
          <t>applied_assumptions.forward_scenarios.1.segments.1.working_capital_to_revenue.1</t>
        </is>
      </c>
      <c r="B345" s="3" t="n">
        <v>0.05</v>
      </c>
      <c r="C345" s="2" t="inlineStr">
        <is>
          <t>agent/policy.json and data/AVGO/metrics.json</t>
        </is>
      </c>
    </row>
    <row r="346" ht="42" customHeight="1">
      <c r="A346" s="2" t="inlineStr">
        <is>
          <t>applied_assumptions.forward_scenarios.1.segments.1.working_capital_to_revenue.2</t>
        </is>
      </c>
      <c r="B346" s="3" t="n">
        <v>0.05</v>
      </c>
      <c r="C346" s="2" t="inlineStr">
        <is>
          <t>agent/policy.json and data/AVGO/metrics.json</t>
        </is>
      </c>
    </row>
    <row r="347" ht="42" customHeight="1">
      <c r="A347" s="2" t="inlineStr">
        <is>
          <t>applied_assumptions.forward_scenarios.1.segments.1.working_capital_to_revenue.3</t>
        </is>
      </c>
      <c r="B347" s="3" t="n">
        <v>0.05</v>
      </c>
      <c r="C347" s="2" t="inlineStr">
        <is>
          <t>agent/policy.json and data/AVGO/metrics.json</t>
        </is>
      </c>
    </row>
    <row r="348" ht="42" customHeight="1">
      <c r="A348" s="2" t="inlineStr">
        <is>
          <t>applied_assumptions.forward_scenarios.1.segments.1.working_capital_to_revenue.4</t>
        </is>
      </c>
      <c r="B348" s="3" t="n">
        <v>0.05</v>
      </c>
      <c r="C348" s="2" t="inlineStr">
        <is>
          <t>agent/policy.json and data/AVGO/metrics.json</t>
        </is>
      </c>
    </row>
    <row r="349" ht="42" customHeight="1">
      <c r="A349" s="2" t="inlineStr">
        <is>
          <t>applied_assumptions.forward_scenarios.1.segments.1.working_capital_to_revenue.5</t>
        </is>
      </c>
      <c r="B349" s="3" t="n">
        <v>0.05</v>
      </c>
      <c r="C349" s="2" t="inlineStr">
        <is>
          <t>agent/policy.json and data/AVGO/metrics.json</t>
        </is>
      </c>
    </row>
    <row r="350" ht="42" customHeight="1">
      <c r="A350" s="2" t="inlineStr">
        <is>
          <t>applied_assumptions.forward_scenarios.1.segments.1.working_capital_to_revenue.6</t>
        </is>
      </c>
      <c r="B350" s="3" t="n">
        <v>0.05</v>
      </c>
      <c r="C350" s="2" t="inlineStr">
        <is>
          <t>agent/policy.json and data/AVGO/metrics.json</t>
        </is>
      </c>
    </row>
    <row r="351" ht="42" customHeight="1">
      <c r="A351" s="2" t="inlineStr">
        <is>
          <t>applied_assumptions.forward_scenarios.1.segments.1.working_capital_to_revenue.7</t>
        </is>
      </c>
      <c r="B351" s="3" t="n">
        <v>0.05</v>
      </c>
      <c r="C351" s="2" t="inlineStr">
        <is>
          <t>agent/policy.json and data/AVGO/metrics.json</t>
        </is>
      </c>
    </row>
    <row r="352" ht="42" customHeight="1">
      <c r="A352" s="2" t="inlineStr">
        <is>
          <t>applied_assumptions.forward_scenarios.1.segments.1.working_capital_to_revenue.8</t>
        </is>
      </c>
      <c r="B352" s="3" t="n">
        <v>0.05</v>
      </c>
      <c r="C352" s="2" t="inlineStr">
        <is>
          <t>agent/policy.json and data/AVGO/metrics.json</t>
        </is>
      </c>
    </row>
    <row r="353" ht="42" customHeight="1">
      <c r="A353" s="2" t="inlineStr">
        <is>
          <t>applied_assumptions.forward_scenarios.1.segments.1.working_capital_to_revenue.9</t>
        </is>
      </c>
      <c r="B353" s="3" t="n">
        <v>0.05</v>
      </c>
      <c r="C353" s="2" t="inlineStr">
        <is>
          <t>agent/policy.json and data/AVGO/metrics.json</t>
        </is>
      </c>
    </row>
    <row r="354" ht="42" customHeight="1">
      <c r="A354" s="2" t="inlineStr">
        <is>
          <t>applied_assumptions.forward_scenarios.1.source</t>
        </is>
      </c>
      <c r="B354" s="2" t="inlineStr">
        <is>
          <t>Analyst sensitivity assumptions, 2026-10-11; revenue bases from cited 10-K and 10-Q excerpts</t>
        </is>
      </c>
      <c r="C354" s="2" t="inlineStr">
        <is>
          <t>agent/policy.json and data/AVGO/metrics.json</t>
        </is>
      </c>
    </row>
    <row r="355" ht="42" customHeight="1">
      <c r="A355" s="2" t="inlineStr">
        <is>
          <t>applied_assumptions.forward_scenarios.1.reason</t>
        </is>
      </c>
      <c r="B355"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355" s="2" t="inlineStr">
        <is>
          <t>agent/policy.json and data/AVGO/metrics.json</t>
        </is>
      </c>
    </row>
    <row r="356" ht="42" customHeight="1">
      <c r="A356" s="2" t="inlineStr">
        <is>
          <t>applied_assumptions.forward_scenarios.2.id</t>
        </is>
      </c>
      <c r="B356" s="2" t="inlineStr">
        <is>
          <t>illustrative-quality</t>
        </is>
      </c>
      <c r="C356" s="2" t="inlineStr">
        <is>
          <t>agent/policy.json and data/AVGO/metrics.json</t>
        </is>
      </c>
    </row>
    <row r="357" ht="42" customHeight="1">
      <c r="A357" s="2" t="inlineStr">
        <is>
          <t>applied_assumptions.forward_scenarios.2.style</t>
        </is>
      </c>
      <c r="B357" s="2" t="inlineStr">
        <is>
          <t>quality</t>
        </is>
      </c>
      <c r="C357" s="2" t="inlineStr">
        <is>
          <t>agent/policy.json and data/AVGO/metrics.json</t>
        </is>
      </c>
    </row>
    <row r="358" ht="42" customHeight="1">
      <c r="A358" s="2" t="inlineStr">
        <is>
          <t>applied_assumptions.forward_scenarios.2.years</t>
        </is>
      </c>
      <c r="B358" s="3" t="n">
        <v>10</v>
      </c>
      <c r="C358" s="2" t="inlineStr">
        <is>
          <t>agent/policy.json and data/AVGO/metrics.json</t>
        </is>
      </c>
    </row>
    <row r="359" ht="42" customHeight="1">
      <c r="A359" s="2" t="inlineStr">
        <is>
          <t>applied_assumptions.forward_scenarios.2.tax_rate</t>
        </is>
      </c>
      <c r="B359" s="3" t="n">
        <v>0.21</v>
      </c>
      <c r="C359" s="2" t="inlineStr">
        <is>
          <t>agent/policy.json and data/AVGO/metrics.json</t>
        </is>
      </c>
    </row>
    <row r="360" ht="42" customHeight="1">
      <c r="A360" s="2" t="inlineStr">
        <is>
          <t>applied_assumptions.forward_scenarios.2.wacc</t>
        </is>
      </c>
      <c r="B360" s="3" t="n">
        <v>0.09</v>
      </c>
      <c r="C360" s="2" t="inlineStr">
        <is>
          <t>agent/policy.json and data/AVGO/metrics.json</t>
        </is>
      </c>
    </row>
    <row r="361" ht="42" customHeight="1">
      <c r="A361" s="2" t="inlineStr">
        <is>
          <t>applied_assumptions.forward_scenarios.2.terminal_growth</t>
        </is>
      </c>
      <c r="B361" s="3" t="n">
        <v>0.025</v>
      </c>
      <c r="C361" s="2" t="inlineStr">
        <is>
          <t>agent/policy.json and data/AVGO/metrics.json</t>
        </is>
      </c>
    </row>
    <row r="362" ht="42" customHeight="1">
      <c r="A362" s="2" t="inlineStr">
        <is>
          <t>applied_assumptions.forward_scenarios.2.terminal_roic</t>
        </is>
      </c>
      <c r="B362" s="3" t="n">
        <v>0.15</v>
      </c>
      <c r="C362" s="2" t="inlineStr">
        <is>
          <t>agent/policy.json and data/AVGO/metrics.json</t>
        </is>
      </c>
    </row>
    <row r="363" ht="42" customHeight="1">
      <c r="A363" s="2" t="inlineStr">
        <is>
          <t>applied_assumptions.forward_scenarios.2.sbc_treatment</t>
        </is>
      </c>
      <c r="B363" s="2" t="inlineStr">
        <is>
          <t>expensed_in_margins</t>
        </is>
      </c>
      <c r="C363" s="2" t="inlineStr">
        <is>
          <t>agent/policy.json and data/AVGO/metrics.json</t>
        </is>
      </c>
    </row>
    <row r="364" ht="42" customHeight="1">
      <c r="A364" s="2" t="inlineStr">
        <is>
          <t>applied_assumptions.forward_scenarios.2.corporate_costs.0</t>
        </is>
      </c>
      <c r="B364" s="3" t="n">
        <v>0</v>
      </c>
      <c r="C364" s="2" t="inlineStr">
        <is>
          <t>agent/policy.json and data/AVGO/metrics.json</t>
        </is>
      </c>
    </row>
    <row r="365" ht="42" customHeight="1">
      <c r="A365" s="2" t="inlineStr">
        <is>
          <t>applied_assumptions.forward_scenarios.2.corporate_costs.1</t>
        </is>
      </c>
      <c r="B365" s="3" t="n">
        <v>0</v>
      </c>
      <c r="C365" s="2" t="inlineStr">
        <is>
          <t>agent/policy.json and data/AVGO/metrics.json</t>
        </is>
      </c>
    </row>
    <row r="366" ht="42" customHeight="1">
      <c r="A366" s="2" t="inlineStr">
        <is>
          <t>applied_assumptions.forward_scenarios.2.corporate_costs.2</t>
        </is>
      </c>
      <c r="B366" s="3" t="n">
        <v>0</v>
      </c>
      <c r="C366" s="2" t="inlineStr">
        <is>
          <t>agent/policy.json and data/AVGO/metrics.json</t>
        </is>
      </c>
    </row>
    <row r="367" ht="42" customHeight="1">
      <c r="A367" s="2" t="inlineStr">
        <is>
          <t>applied_assumptions.forward_scenarios.2.corporate_costs.3</t>
        </is>
      </c>
      <c r="B367" s="3" t="n">
        <v>0</v>
      </c>
      <c r="C367" s="2" t="inlineStr">
        <is>
          <t>agent/policy.json and data/AVGO/metrics.json</t>
        </is>
      </c>
    </row>
    <row r="368" ht="42" customHeight="1">
      <c r="A368" s="2" t="inlineStr">
        <is>
          <t>applied_assumptions.forward_scenarios.2.corporate_costs.4</t>
        </is>
      </c>
      <c r="B368" s="3" t="n">
        <v>0</v>
      </c>
      <c r="C368" s="2" t="inlineStr">
        <is>
          <t>agent/policy.json and data/AVGO/metrics.json</t>
        </is>
      </c>
    </row>
    <row r="369" ht="42" customHeight="1">
      <c r="A369" s="2" t="inlineStr">
        <is>
          <t>applied_assumptions.forward_scenarios.2.corporate_costs.5</t>
        </is>
      </c>
      <c r="B369" s="3" t="n">
        <v>0</v>
      </c>
      <c r="C369" s="2" t="inlineStr">
        <is>
          <t>agent/policy.json and data/AVGO/metrics.json</t>
        </is>
      </c>
    </row>
    <row r="370" ht="42" customHeight="1">
      <c r="A370" s="2" t="inlineStr">
        <is>
          <t>applied_assumptions.forward_scenarios.2.corporate_costs.6</t>
        </is>
      </c>
      <c r="B370" s="3" t="n">
        <v>0</v>
      </c>
      <c r="C370" s="2" t="inlineStr">
        <is>
          <t>agent/policy.json and data/AVGO/metrics.json</t>
        </is>
      </c>
    </row>
    <row r="371" ht="42" customHeight="1">
      <c r="A371" s="2" t="inlineStr">
        <is>
          <t>applied_assumptions.forward_scenarios.2.corporate_costs.7</t>
        </is>
      </c>
      <c r="B371" s="3" t="n">
        <v>0</v>
      </c>
      <c r="C371" s="2" t="inlineStr">
        <is>
          <t>agent/policy.json and data/AVGO/metrics.json</t>
        </is>
      </c>
    </row>
    <row r="372" ht="42" customHeight="1">
      <c r="A372" s="2" t="inlineStr">
        <is>
          <t>applied_assumptions.forward_scenarios.2.corporate_costs.8</t>
        </is>
      </c>
      <c r="B372" s="3" t="n">
        <v>0</v>
      </c>
      <c r="C372" s="2" t="inlineStr">
        <is>
          <t>agent/policy.json and data/AVGO/metrics.json</t>
        </is>
      </c>
    </row>
    <row r="373" ht="42" customHeight="1">
      <c r="A373" s="2" t="inlineStr">
        <is>
          <t>applied_assumptions.forward_scenarios.2.corporate_costs.9</t>
        </is>
      </c>
      <c r="B373" s="3" t="n">
        <v>0</v>
      </c>
      <c r="C373" s="2" t="inlineStr">
        <is>
          <t>agent/policy.json and data/AVGO/metrics.json</t>
        </is>
      </c>
    </row>
    <row r="374" ht="42" customHeight="1">
      <c r="A374" s="2" t="inlineStr">
        <is>
          <t>applied_assumptions.forward_scenarios.2.segments.0.name</t>
        </is>
      </c>
      <c r="B374" s="2" t="inlineStr">
        <is>
          <t>Semiconductor solutions (including AI)</t>
        </is>
      </c>
      <c r="C374" s="2" t="inlineStr">
        <is>
          <t>agent/policy.json and data/AVGO/metrics.json</t>
        </is>
      </c>
    </row>
    <row r="375" ht="42" customHeight="1">
      <c r="A375" s="2" t="inlineStr">
        <is>
          <t>applied_assumptions.forward_scenarios.2.segments.0.base_revenue.period_end</t>
        </is>
      </c>
      <c r="B375" s="2" t="inlineStr">
        <is>
          <t>2026-08-02</t>
        </is>
      </c>
      <c r="C375" s="2" t="inlineStr">
        <is>
          <t>agent/policy.json and data/AVGO/metrics.json</t>
        </is>
      </c>
    </row>
    <row r="376" ht="42" customHeight="1">
      <c r="A376" s="2" t="inlineStr">
        <is>
          <t>applied_assumptions.forward_scenarios.2.segments.0.base_revenue.components.0.item</t>
        </is>
      </c>
      <c r="B376" s="2" t="inlineStr">
        <is>
          <t>segment_revenue_semiconductor</t>
        </is>
      </c>
      <c r="C376" s="2" t="inlineStr">
        <is>
          <t>agent/policy.json and data/AVGO/metrics.json</t>
        </is>
      </c>
    </row>
    <row r="377" ht="42" customHeight="1">
      <c r="A377" s="2" t="inlineStr">
        <is>
          <t>applied_assumptions.forward_scenarios.2.segments.0.base_revenue.components.0.period_end</t>
        </is>
      </c>
      <c r="B377" s="2" t="inlineStr">
        <is>
          <t>2025-11-02</t>
        </is>
      </c>
      <c r="C377" s="2" t="inlineStr">
        <is>
          <t>agent/policy.json and data/AVGO/metrics.json</t>
        </is>
      </c>
    </row>
    <row r="378" ht="42" customHeight="1">
      <c r="A378" s="2" t="inlineStr">
        <is>
          <t>applied_assumptions.forward_scenarios.2.segments.0.base_revenue.components.0.value</t>
        </is>
      </c>
      <c r="B378" s="3" t="n">
        <v>36858000000</v>
      </c>
      <c r="C378" s="2" t="inlineStr">
        <is>
          <t>agent/policy.json and data/AVGO/metrics.json</t>
        </is>
      </c>
    </row>
    <row r="379" ht="42" customHeight="1">
      <c r="A379" s="2" t="inlineStr">
        <is>
          <t>applied_assumptions.forward_scenarios.2.segments.0.base_revenue.components.0.source</t>
        </is>
      </c>
      <c r="B379" s="2" t="inlineStr">
        <is>
          <t>10-K 0001730168-25-000121</t>
        </is>
      </c>
      <c r="C379" s="2" t="inlineStr">
        <is>
          <t>agent/policy.json and data/AVGO/metrics.json</t>
        </is>
      </c>
    </row>
    <row r="380" ht="42" customHeight="1">
      <c r="A380" s="2" t="inlineStr">
        <is>
          <t>applied_assumptions.forward_scenarios.2.segments.0.base_revenue.components.0.sign</t>
        </is>
      </c>
      <c r="B380" s="3" t="n">
        <v>1</v>
      </c>
      <c r="C380" s="2" t="inlineStr">
        <is>
          <t>agent/policy.json and data/AVGO/metrics.json</t>
        </is>
      </c>
    </row>
    <row r="381" ht="42" customHeight="1">
      <c r="A381" s="2" t="inlineStr">
        <is>
          <t>applied_assumptions.forward_scenarios.2.segments.0.base_revenue.components.1.item</t>
        </is>
      </c>
      <c r="B381" s="2" t="inlineStr">
        <is>
          <t>segment_revenue_semiconductor</t>
        </is>
      </c>
      <c r="C381" s="2" t="inlineStr">
        <is>
          <t>agent/policy.json and data/AVGO/metrics.json</t>
        </is>
      </c>
    </row>
    <row r="382" ht="42" customHeight="1">
      <c r="A382" s="2" t="inlineStr">
        <is>
          <t>applied_assumptions.forward_scenarios.2.segments.0.base_revenue.components.1.period_end</t>
        </is>
      </c>
      <c r="B382" s="2" t="inlineStr">
        <is>
          <t>2026-08-02</t>
        </is>
      </c>
      <c r="C382" s="2" t="inlineStr">
        <is>
          <t>agent/policy.json and data/AVGO/metrics.json</t>
        </is>
      </c>
    </row>
    <row r="383" ht="42" customHeight="1">
      <c r="A383" s="2" t="inlineStr">
        <is>
          <t>applied_assumptions.forward_scenarios.2.segments.0.base_revenue.components.1.value</t>
        </is>
      </c>
      <c r="B383" s="3" t="n">
        <v>48363000000</v>
      </c>
      <c r="C383" s="2" t="inlineStr">
        <is>
          <t>agent/policy.json and data/AVGO/metrics.json</t>
        </is>
      </c>
    </row>
    <row r="384" ht="42" customHeight="1">
      <c r="A384" s="2" t="inlineStr">
        <is>
          <t>applied_assumptions.forward_scenarios.2.segments.0.base_revenue.components.1.source</t>
        </is>
      </c>
      <c r="B384" s="2" t="inlineStr">
        <is>
          <t>10-Q 0001730168-26-000080</t>
        </is>
      </c>
      <c r="C384" s="2" t="inlineStr">
        <is>
          <t>agent/policy.json and data/AVGO/metrics.json</t>
        </is>
      </c>
    </row>
    <row r="385" ht="42" customHeight="1">
      <c r="A385" s="2" t="inlineStr">
        <is>
          <t>applied_assumptions.forward_scenarios.2.segments.0.base_revenue.components.1.sign</t>
        </is>
      </c>
      <c r="B385" s="3" t="n">
        <v>1</v>
      </c>
      <c r="C385" s="2" t="inlineStr">
        <is>
          <t>agent/policy.json and data/AVGO/metrics.json</t>
        </is>
      </c>
    </row>
    <row r="386" ht="42" customHeight="1">
      <c r="A386" s="2" t="inlineStr">
        <is>
          <t>applied_assumptions.forward_scenarios.2.segments.0.base_revenue.components.2.item</t>
        </is>
      </c>
      <c r="B386" s="2" t="inlineStr">
        <is>
          <t>segment_revenue_semiconductor</t>
        </is>
      </c>
      <c r="C386" s="2" t="inlineStr">
        <is>
          <t>agent/policy.json and data/AVGO/metrics.json</t>
        </is>
      </c>
    </row>
    <row r="387" ht="42" customHeight="1">
      <c r="A387" s="2" t="inlineStr">
        <is>
          <t>applied_assumptions.forward_scenarios.2.segments.0.base_revenue.components.2.period_end</t>
        </is>
      </c>
      <c r="B387" s="2" t="inlineStr">
        <is>
          <t>2025-08-03</t>
        </is>
      </c>
      <c r="C387" s="2" t="inlineStr">
        <is>
          <t>agent/policy.json and data/AVGO/metrics.json</t>
        </is>
      </c>
    </row>
    <row r="388" ht="42" customHeight="1">
      <c r="A388" s="2" t="inlineStr">
        <is>
          <t>applied_assumptions.forward_scenarios.2.segments.0.base_revenue.components.2.value</t>
        </is>
      </c>
      <c r="B388" s="3" t="n">
        <v>25786000000</v>
      </c>
      <c r="C388" s="2" t="inlineStr">
        <is>
          <t>agent/policy.json and data/AVGO/metrics.json</t>
        </is>
      </c>
    </row>
    <row r="389" ht="42" customHeight="1">
      <c r="A389" s="2" t="inlineStr">
        <is>
          <t>applied_assumptions.forward_scenarios.2.segments.0.base_revenue.components.2.source</t>
        </is>
      </c>
      <c r="B389" s="2" t="inlineStr">
        <is>
          <t>10-Q 0001730168-26-000080</t>
        </is>
      </c>
      <c r="C389" s="2" t="inlineStr">
        <is>
          <t>agent/policy.json and data/AVGO/metrics.json</t>
        </is>
      </c>
    </row>
    <row r="390" ht="42" customHeight="1">
      <c r="A390" s="2" t="inlineStr">
        <is>
          <t>applied_assumptions.forward_scenarios.2.segments.0.base_revenue.components.2.sign</t>
        </is>
      </c>
      <c r="B390" s="3" t="n">
        <v>-1</v>
      </c>
      <c r="C390" s="2" t="inlineStr">
        <is>
          <t>agent/policy.json and data/AVGO/metrics.json</t>
        </is>
      </c>
    </row>
    <row r="391" ht="42" customHeight="1">
      <c r="A391" s="2" t="inlineStr">
        <is>
          <t>applied_assumptions.forward_scenarios.2.segments.0.base_working_capital_ratio</t>
        </is>
      </c>
      <c r="B391" s="3" t="n">
        <v>0.18</v>
      </c>
      <c r="C391" s="2" t="inlineStr">
        <is>
          <t>agent/policy.json and data/AVGO/metrics.json</t>
        </is>
      </c>
    </row>
    <row r="392" ht="42" customHeight="1">
      <c r="A392" s="2" t="inlineStr">
        <is>
          <t>applied_assumptions.forward_scenarios.2.segments.0.growth.0</t>
        </is>
      </c>
      <c r="B392" s="3" t="n">
        <v>0.15</v>
      </c>
      <c r="C392" s="2" t="inlineStr">
        <is>
          <t>agent/policy.json and data/AVGO/metrics.json</t>
        </is>
      </c>
    </row>
    <row r="393" ht="42" customHeight="1">
      <c r="A393" s="2" t="inlineStr">
        <is>
          <t>applied_assumptions.forward_scenarios.2.segments.0.growth.1</t>
        </is>
      </c>
      <c r="B393" s="3" t="n">
        <v>0.13</v>
      </c>
      <c r="C393" s="2" t="inlineStr">
        <is>
          <t>agent/policy.json and data/AVGO/metrics.json</t>
        </is>
      </c>
    </row>
    <row r="394" ht="42" customHeight="1">
      <c r="A394" s="2" t="inlineStr">
        <is>
          <t>applied_assumptions.forward_scenarios.2.segments.0.growth.2</t>
        </is>
      </c>
      <c r="B394" s="3" t="n">
        <v>0.11</v>
      </c>
      <c r="C394" s="2" t="inlineStr">
        <is>
          <t>agent/policy.json and data/AVGO/metrics.json</t>
        </is>
      </c>
    </row>
    <row r="395" ht="42" customHeight="1">
      <c r="A395" s="2" t="inlineStr">
        <is>
          <t>applied_assumptions.forward_scenarios.2.segments.0.growth.3</t>
        </is>
      </c>
      <c r="B395" s="3" t="n">
        <v>0.09</v>
      </c>
      <c r="C395" s="2" t="inlineStr">
        <is>
          <t>agent/policy.json and data/AVGO/metrics.json</t>
        </is>
      </c>
    </row>
    <row r="396" ht="42" customHeight="1">
      <c r="A396" s="2" t="inlineStr">
        <is>
          <t>applied_assumptions.forward_scenarios.2.segments.0.growth.4</t>
        </is>
      </c>
      <c r="B396" s="3" t="n">
        <v>0.08</v>
      </c>
      <c r="C396" s="2" t="inlineStr">
        <is>
          <t>agent/policy.json and data/AVGO/metrics.json</t>
        </is>
      </c>
    </row>
    <row r="397" ht="42" customHeight="1">
      <c r="A397" s="2" t="inlineStr">
        <is>
          <t>applied_assumptions.forward_scenarios.2.segments.0.growth.5</t>
        </is>
      </c>
      <c r="B397" s="3" t="n">
        <v>0.06</v>
      </c>
      <c r="C397" s="2" t="inlineStr">
        <is>
          <t>agent/policy.json and data/AVGO/metrics.json</t>
        </is>
      </c>
    </row>
    <row r="398" ht="42" customHeight="1">
      <c r="A398" s="2" t="inlineStr">
        <is>
          <t>applied_assumptions.forward_scenarios.2.segments.0.growth.6</t>
        </is>
      </c>
      <c r="B398" s="3" t="n">
        <v>0.05</v>
      </c>
      <c r="C398" s="2" t="inlineStr">
        <is>
          <t>agent/policy.json and data/AVGO/metrics.json</t>
        </is>
      </c>
    </row>
    <row r="399" ht="42" customHeight="1">
      <c r="A399" s="2" t="inlineStr">
        <is>
          <t>applied_assumptions.forward_scenarios.2.segments.0.growth.7</t>
        </is>
      </c>
      <c r="B399" s="3" t="n">
        <v>0.04</v>
      </c>
      <c r="C399" s="2" t="inlineStr">
        <is>
          <t>agent/policy.json and data/AVGO/metrics.json</t>
        </is>
      </c>
    </row>
    <row r="400" ht="42" customHeight="1">
      <c r="A400" s="2" t="inlineStr">
        <is>
          <t>applied_assumptions.forward_scenarios.2.segments.0.growth.8</t>
        </is>
      </c>
      <c r="B400" s="3" t="n">
        <v>0.03</v>
      </c>
      <c r="C400" s="2" t="inlineStr">
        <is>
          <t>agent/policy.json and data/AVGO/metrics.json</t>
        </is>
      </c>
    </row>
    <row r="401" ht="42" customHeight="1">
      <c r="A401" s="2" t="inlineStr">
        <is>
          <t>applied_assumptions.forward_scenarios.2.segments.0.growth.9</t>
        </is>
      </c>
      <c r="B401" s="3" t="n">
        <v>0.03</v>
      </c>
      <c r="C401" s="2" t="inlineStr">
        <is>
          <t>agent/policy.json and data/AVGO/metrics.json</t>
        </is>
      </c>
    </row>
    <row r="402" ht="42" customHeight="1">
      <c r="A402" s="2" t="inlineStr">
        <is>
          <t>applied_assumptions.forward_scenarios.2.segments.0.operating_margin.0</t>
        </is>
      </c>
      <c r="B402" s="3" t="n">
        <v>0.4</v>
      </c>
      <c r="C402" s="2" t="inlineStr">
        <is>
          <t>agent/policy.json and data/AVGO/metrics.json</t>
        </is>
      </c>
    </row>
    <row r="403" ht="42" customHeight="1">
      <c r="A403" s="2" t="inlineStr">
        <is>
          <t>applied_assumptions.forward_scenarios.2.segments.0.operating_margin.1</t>
        </is>
      </c>
      <c r="B403" s="3" t="n">
        <v>0.4</v>
      </c>
      <c r="C403" s="2" t="inlineStr">
        <is>
          <t>agent/policy.json and data/AVGO/metrics.json</t>
        </is>
      </c>
    </row>
    <row r="404" ht="42" customHeight="1">
      <c r="A404" s="2" t="inlineStr">
        <is>
          <t>applied_assumptions.forward_scenarios.2.segments.0.operating_margin.2</t>
        </is>
      </c>
      <c r="B404" s="3" t="n">
        <v>0.4</v>
      </c>
      <c r="C404" s="2" t="inlineStr">
        <is>
          <t>agent/policy.json and data/AVGO/metrics.json</t>
        </is>
      </c>
    </row>
    <row r="405" ht="42" customHeight="1">
      <c r="A405" s="2" t="inlineStr">
        <is>
          <t>applied_assumptions.forward_scenarios.2.segments.0.operating_margin.3</t>
        </is>
      </c>
      <c r="B405" s="3" t="n">
        <v>0.4</v>
      </c>
      <c r="C405" s="2" t="inlineStr">
        <is>
          <t>agent/policy.json and data/AVGO/metrics.json</t>
        </is>
      </c>
    </row>
    <row r="406" ht="42" customHeight="1">
      <c r="A406" s="2" t="inlineStr">
        <is>
          <t>applied_assumptions.forward_scenarios.2.segments.0.operating_margin.4</t>
        </is>
      </c>
      <c r="B406" s="3" t="n">
        <v>0.4</v>
      </c>
      <c r="C406" s="2" t="inlineStr">
        <is>
          <t>agent/policy.json and data/AVGO/metrics.json</t>
        </is>
      </c>
    </row>
    <row r="407" ht="42" customHeight="1">
      <c r="A407" s="2" t="inlineStr">
        <is>
          <t>applied_assumptions.forward_scenarios.2.segments.0.operating_margin.5</t>
        </is>
      </c>
      <c r="B407" s="3" t="n">
        <v>0.4</v>
      </c>
      <c r="C407" s="2" t="inlineStr">
        <is>
          <t>agent/policy.json and data/AVGO/metrics.json</t>
        </is>
      </c>
    </row>
    <row r="408" ht="42" customHeight="1">
      <c r="A408" s="2" t="inlineStr">
        <is>
          <t>applied_assumptions.forward_scenarios.2.segments.0.operating_margin.6</t>
        </is>
      </c>
      <c r="B408" s="3" t="n">
        <v>0.4</v>
      </c>
      <c r="C408" s="2" t="inlineStr">
        <is>
          <t>agent/policy.json and data/AVGO/metrics.json</t>
        </is>
      </c>
    </row>
    <row r="409" ht="42" customHeight="1">
      <c r="A409" s="2" t="inlineStr">
        <is>
          <t>applied_assumptions.forward_scenarios.2.segments.0.operating_margin.7</t>
        </is>
      </c>
      <c r="B409" s="3" t="n">
        <v>0.4</v>
      </c>
      <c r="C409" s="2" t="inlineStr">
        <is>
          <t>agent/policy.json and data/AVGO/metrics.json</t>
        </is>
      </c>
    </row>
    <row r="410" ht="42" customHeight="1">
      <c r="A410" s="2" t="inlineStr">
        <is>
          <t>applied_assumptions.forward_scenarios.2.segments.0.operating_margin.8</t>
        </is>
      </c>
      <c r="B410" s="3" t="n">
        <v>0.4</v>
      </c>
      <c r="C410" s="2" t="inlineStr">
        <is>
          <t>agent/policy.json and data/AVGO/metrics.json</t>
        </is>
      </c>
    </row>
    <row r="411" ht="42" customHeight="1">
      <c r="A411" s="2" t="inlineStr">
        <is>
          <t>applied_assumptions.forward_scenarios.2.segments.0.operating_margin.9</t>
        </is>
      </c>
      <c r="B411" s="3" t="n">
        <v>0.4</v>
      </c>
      <c r="C411" s="2" t="inlineStr">
        <is>
          <t>agent/policy.json and data/AVGO/metrics.json</t>
        </is>
      </c>
    </row>
    <row r="412" ht="42" customHeight="1">
      <c r="A412" s="2" t="inlineStr">
        <is>
          <t>applied_assumptions.forward_scenarios.2.segments.0.depreciation_to_revenue.0</t>
        </is>
      </c>
      <c r="B412" s="3" t="n">
        <v>0.015</v>
      </c>
      <c r="C412" s="2" t="inlineStr">
        <is>
          <t>agent/policy.json and data/AVGO/metrics.json</t>
        </is>
      </c>
    </row>
    <row r="413" ht="42" customHeight="1">
      <c r="A413" s="2" t="inlineStr">
        <is>
          <t>applied_assumptions.forward_scenarios.2.segments.0.depreciation_to_revenue.1</t>
        </is>
      </c>
      <c r="B413" s="3" t="n">
        <v>0.015</v>
      </c>
      <c r="C413" s="2" t="inlineStr">
        <is>
          <t>agent/policy.json and data/AVGO/metrics.json</t>
        </is>
      </c>
    </row>
    <row r="414" ht="42" customHeight="1">
      <c r="A414" s="2" t="inlineStr">
        <is>
          <t>applied_assumptions.forward_scenarios.2.segments.0.depreciation_to_revenue.2</t>
        </is>
      </c>
      <c r="B414" s="3" t="n">
        <v>0.015</v>
      </c>
      <c r="C414" s="2" t="inlineStr">
        <is>
          <t>agent/policy.json and data/AVGO/metrics.json</t>
        </is>
      </c>
    </row>
    <row r="415" ht="42" customHeight="1">
      <c r="A415" s="2" t="inlineStr">
        <is>
          <t>applied_assumptions.forward_scenarios.2.segments.0.depreciation_to_revenue.3</t>
        </is>
      </c>
      <c r="B415" s="3" t="n">
        <v>0.015</v>
      </c>
      <c r="C415" s="2" t="inlineStr">
        <is>
          <t>agent/policy.json and data/AVGO/metrics.json</t>
        </is>
      </c>
    </row>
    <row r="416" ht="42" customHeight="1">
      <c r="A416" s="2" t="inlineStr">
        <is>
          <t>applied_assumptions.forward_scenarios.2.segments.0.depreciation_to_revenue.4</t>
        </is>
      </c>
      <c r="B416" s="3" t="n">
        <v>0.015</v>
      </c>
      <c r="C416" s="2" t="inlineStr">
        <is>
          <t>agent/policy.json and data/AVGO/metrics.json</t>
        </is>
      </c>
    </row>
    <row r="417" ht="42" customHeight="1">
      <c r="A417" s="2" t="inlineStr">
        <is>
          <t>applied_assumptions.forward_scenarios.2.segments.0.depreciation_to_revenue.5</t>
        </is>
      </c>
      <c r="B417" s="3" t="n">
        <v>0.015</v>
      </c>
      <c r="C417" s="2" t="inlineStr">
        <is>
          <t>agent/policy.json and data/AVGO/metrics.json</t>
        </is>
      </c>
    </row>
    <row r="418" ht="42" customHeight="1">
      <c r="A418" s="2" t="inlineStr">
        <is>
          <t>applied_assumptions.forward_scenarios.2.segments.0.depreciation_to_revenue.6</t>
        </is>
      </c>
      <c r="B418" s="3" t="n">
        <v>0.015</v>
      </c>
      <c r="C418" s="2" t="inlineStr">
        <is>
          <t>agent/policy.json and data/AVGO/metrics.json</t>
        </is>
      </c>
    </row>
    <row r="419" ht="42" customHeight="1">
      <c r="A419" s="2" t="inlineStr">
        <is>
          <t>applied_assumptions.forward_scenarios.2.segments.0.depreciation_to_revenue.7</t>
        </is>
      </c>
      <c r="B419" s="3" t="n">
        <v>0.015</v>
      </c>
      <c r="C419" s="2" t="inlineStr">
        <is>
          <t>agent/policy.json and data/AVGO/metrics.json</t>
        </is>
      </c>
    </row>
    <row r="420" ht="42" customHeight="1">
      <c r="A420" s="2" t="inlineStr">
        <is>
          <t>applied_assumptions.forward_scenarios.2.segments.0.depreciation_to_revenue.8</t>
        </is>
      </c>
      <c r="B420" s="3" t="n">
        <v>0.015</v>
      </c>
      <c r="C420" s="2" t="inlineStr">
        <is>
          <t>agent/policy.json and data/AVGO/metrics.json</t>
        </is>
      </c>
    </row>
    <row r="421" ht="42" customHeight="1">
      <c r="A421" s="2" t="inlineStr">
        <is>
          <t>applied_assumptions.forward_scenarios.2.segments.0.depreciation_to_revenue.9</t>
        </is>
      </c>
      <c r="B421" s="3" t="n">
        <v>0.015</v>
      </c>
      <c r="C421" s="2" t="inlineStr">
        <is>
          <t>agent/policy.json and data/AVGO/metrics.json</t>
        </is>
      </c>
    </row>
    <row r="422" ht="42" customHeight="1">
      <c r="A422" s="2" t="inlineStr">
        <is>
          <t>applied_assumptions.forward_scenarios.2.segments.0.capex_to_revenue.0</t>
        </is>
      </c>
      <c r="B422" s="3" t="n">
        <v>0.025</v>
      </c>
      <c r="C422" s="2" t="inlineStr">
        <is>
          <t>agent/policy.json and data/AVGO/metrics.json</t>
        </is>
      </c>
    </row>
    <row r="423" ht="42" customHeight="1">
      <c r="A423" s="2" t="inlineStr">
        <is>
          <t>applied_assumptions.forward_scenarios.2.segments.0.capex_to_revenue.1</t>
        </is>
      </c>
      <c r="B423" s="3" t="n">
        <v>0.025</v>
      </c>
      <c r="C423" s="2" t="inlineStr">
        <is>
          <t>agent/policy.json and data/AVGO/metrics.json</t>
        </is>
      </c>
    </row>
    <row r="424" ht="42" customHeight="1">
      <c r="A424" s="2" t="inlineStr">
        <is>
          <t>applied_assumptions.forward_scenarios.2.segments.0.capex_to_revenue.2</t>
        </is>
      </c>
      <c r="B424" s="3" t="n">
        <v>0.025</v>
      </c>
      <c r="C424" s="2" t="inlineStr">
        <is>
          <t>agent/policy.json and data/AVGO/metrics.json</t>
        </is>
      </c>
    </row>
    <row r="425" ht="42" customHeight="1">
      <c r="A425" s="2" t="inlineStr">
        <is>
          <t>applied_assumptions.forward_scenarios.2.segments.0.capex_to_revenue.3</t>
        </is>
      </c>
      <c r="B425" s="3" t="n">
        <v>0.025</v>
      </c>
      <c r="C425" s="2" t="inlineStr">
        <is>
          <t>agent/policy.json and data/AVGO/metrics.json</t>
        </is>
      </c>
    </row>
    <row r="426" ht="42" customHeight="1">
      <c r="A426" s="2" t="inlineStr">
        <is>
          <t>applied_assumptions.forward_scenarios.2.segments.0.capex_to_revenue.4</t>
        </is>
      </c>
      <c r="B426" s="3" t="n">
        <v>0.025</v>
      </c>
      <c r="C426" s="2" t="inlineStr">
        <is>
          <t>agent/policy.json and data/AVGO/metrics.json</t>
        </is>
      </c>
    </row>
    <row r="427" ht="42" customHeight="1">
      <c r="A427" s="2" t="inlineStr">
        <is>
          <t>applied_assumptions.forward_scenarios.2.segments.0.capex_to_revenue.5</t>
        </is>
      </c>
      <c r="B427" s="3" t="n">
        <v>0.025</v>
      </c>
      <c r="C427" s="2" t="inlineStr">
        <is>
          <t>agent/policy.json and data/AVGO/metrics.json</t>
        </is>
      </c>
    </row>
    <row r="428" ht="42" customHeight="1">
      <c r="A428" s="2" t="inlineStr">
        <is>
          <t>applied_assumptions.forward_scenarios.2.segments.0.capex_to_revenue.6</t>
        </is>
      </c>
      <c r="B428" s="3" t="n">
        <v>0.025</v>
      </c>
      <c r="C428" s="2" t="inlineStr">
        <is>
          <t>agent/policy.json and data/AVGO/metrics.json</t>
        </is>
      </c>
    </row>
    <row r="429" ht="42" customHeight="1">
      <c r="A429" s="2" t="inlineStr">
        <is>
          <t>applied_assumptions.forward_scenarios.2.segments.0.capex_to_revenue.7</t>
        </is>
      </c>
      <c r="B429" s="3" t="n">
        <v>0.025</v>
      </c>
      <c r="C429" s="2" t="inlineStr">
        <is>
          <t>agent/policy.json and data/AVGO/metrics.json</t>
        </is>
      </c>
    </row>
    <row r="430" ht="42" customHeight="1">
      <c r="A430" s="2" t="inlineStr">
        <is>
          <t>applied_assumptions.forward_scenarios.2.segments.0.capex_to_revenue.8</t>
        </is>
      </c>
      <c r="B430" s="3" t="n">
        <v>0.025</v>
      </c>
      <c r="C430" s="2" t="inlineStr">
        <is>
          <t>agent/policy.json and data/AVGO/metrics.json</t>
        </is>
      </c>
    </row>
    <row r="431" ht="42" customHeight="1">
      <c r="A431" s="2" t="inlineStr">
        <is>
          <t>applied_assumptions.forward_scenarios.2.segments.0.capex_to_revenue.9</t>
        </is>
      </c>
      <c r="B431" s="3" t="n">
        <v>0.025</v>
      </c>
      <c r="C431" s="2" t="inlineStr">
        <is>
          <t>agent/policy.json and data/AVGO/metrics.json</t>
        </is>
      </c>
    </row>
    <row r="432" ht="42" customHeight="1">
      <c r="A432" s="2" t="inlineStr">
        <is>
          <t>applied_assumptions.forward_scenarios.2.segments.0.working_capital_to_revenue.0</t>
        </is>
      </c>
      <c r="B432" s="3" t="n">
        <v>0.18</v>
      </c>
      <c r="C432" s="2" t="inlineStr">
        <is>
          <t>agent/policy.json and data/AVGO/metrics.json</t>
        </is>
      </c>
    </row>
    <row r="433" ht="42" customHeight="1">
      <c r="A433" s="2" t="inlineStr">
        <is>
          <t>applied_assumptions.forward_scenarios.2.segments.0.working_capital_to_revenue.1</t>
        </is>
      </c>
      <c r="B433" s="3" t="n">
        <v>0.18</v>
      </c>
      <c r="C433" s="2" t="inlineStr">
        <is>
          <t>agent/policy.json and data/AVGO/metrics.json</t>
        </is>
      </c>
    </row>
    <row r="434" ht="42" customHeight="1">
      <c r="A434" s="2" t="inlineStr">
        <is>
          <t>applied_assumptions.forward_scenarios.2.segments.0.working_capital_to_revenue.2</t>
        </is>
      </c>
      <c r="B434" s="3" t="n">
        <v>0.18</v>
      </c>
      <c r="C434" s="2" t="inlineStr">
        <is>
          <t>agent/policy.json and data/AVGO/metrics.json</t>
        </is>
      </c>
    </row>
    <row r="435" ht="42" customHeight="1">
      <c r="A435" s="2" t="inlineStr">
        <is>
          <t>applied_assumptions.forward_scenarios.2.segments.0.working_capital_to_revenue.3</t>
        </is>
      </c>
      <c r="B435" s="3" t="n">
        <v>0.18</v>
      </c>
      <c r="C435" s="2" t="inlineStr">
        <is>
          <t>agent/policy.json and data/AVGO/metrics.json</t>
        </is>
      </c>
    </row>
    <row r="436" ht="42" customHeight="1">
      <c r="A436" s="2" t="inlineStr">
        <is>
          <t>applied_assumptions.forward_scenarios.2.segments.0.working_capital_to_revenue.4</t>
        </is>
      </c>
      <c r="B436" s="3" t="n">
        <v>0.18</v>
      </c>
      <c r="C436" s="2" t="inlineStr">
        <is>
          <t>agent/policy.json and data/AVGO/metrics.json</t>
        </is>
      </c>
    </row>
    <row r="437" ht="42" customHeight="1">
      <c r="A437" s="2" t="inlineStr">
        <is>
          <t>applied_assumptions.forward_scenarios.2.segments.0.working_capital_to_revenue.5</t>
        </is>
      </c>
      <c r="B437" s="3" t="n">
        <v>0.18</v>
      </c>
      <c r="C437" s="2" t="inlineStr">
        <is>
          <t>agent/policy.json and data/AVGO/metrics.json</t>
        </is>
      </c>
    </row>
    <row r="438" ht="42" customHeight="1">
      <c r="A438" s="2" t="inlineStr">
        <is>
          <t>applied_assumptions.forward_scenarios.2.segments.0.working_capital_to_revenue.6</t>
        </is>
      </c>
      <c r="B438" s="3" t="n">
        <v>0.18</v>
      </c>
      <c r="C438" s="2" t="inlineStr">
        <is>
          <t>agent/policy.json and data/AVGO/metrics.json</t>
        </is>
      </c>
    </row>
    <row r="439" ht="42" customHeight="1">
      <c r="A439" s="2" t="inlineStr">
        <is>
          <t>applied_assumptions.forward_scenarios.2.segments.0.working_capital_to_revenue.7</t>
        </is>
      </c>
      <c r="B439" s="3" t="n">
        <v>0.18</v>
      </c>
      <c r="C439" s="2" t="inlineStr">
        <is>
          <t>agent/policy.json and data/AVGO/metrics.json</t>
        </is>
      </c>
    </row>
    <row r="440" ht="42" customHeight="1">
      <c r="A440" s="2" t="inlineStr">
        <is>
          <t>applied_assumptions.forward_scenarios.2.segments.0.working_capital_to_revenue.8</t>
        </is>
      </c>
      <c r="B440" s="3" t="n">
        <v>0.18</v>
      </c>
      <c r="C440" s="2" t="inlineStr">
        <is>
          <t>agent/policy.json and data/AVGO/metrics.json</t>
        </is>
      </c>
    </row>
    <row r="441" ht="42" customHeight="1">
      <c r="A441" s="2" t="inlineStr">
        <is>
          <t>applied_assumptions.forward_scenarios.2.segments.0.working_capital_to_revenue.9</t>
        </is>
      </c>
      <c r="B441" s="3" t="n">
        <v>0.18</v>
      </c>
      <c r="C441" s="2" t="inlineStr">
        <is>
          <t>agent/policy.json and data/AVGO/metrics.json</t>
        </is>
      </c>
    </row>
    <row r="442" ht="42" customHeight="1">
      <c r="A442" s="2" t="inlineStr">
        <is>
          <t>applied_assumptions.forward_scenarios.2.segments.1.name</t>
        </is>
      </c>
      <c r="B442" s="2" t="inlineStr">
        <is>
          <t>Infrastructure software (including VMware)</t>
        </is>
      </c>
      <c r="C442" s="2" t="inlineStr">
        <is>
          <t>agent/policy.json and data/AVGO/metrics.json</t>
        </is>
      </c>
    </row>
    <row r="443" ht="42" customHeight="1">
      <c r="A443" s="2" t="inlineStr">
        <is>
          <t>applied_assumptions.forward_scenarios.2.segments.1.base_revenue.period_end</t>
        </is>
      </c>
      <c r="B443" s="2" t="inlineStr">
        <is>
          <t>2026-08-02</t>
        </is>
      </c>
      <c r="C443" s="2" t="inlineStr">
        <is>
          <t>agent/policy.json and data/AVGO/metrics.json</t>
        </is>
      </c>
    </row>
    <row r="444" ht="42" customHeight="1">
      <c r="A444" s="2" t="inlineStr">
        <is>
          <t>applied_assumptions.forward_scenarios.2.segments.1.base_revenue.components.0.item</t>
        </is>
      </c>
      <c r="B444" s="2" t="inlineStr">
        <is>
          <t>segment_revenue_software</t>
        </is>
      </c>
      <c r="C444" s="2" t="inlineStr">
        <is>
          <t>agent/policy.json and data/AVGO/metrics.json</t>
        </is>
      </c>
    </row>
    <row r="445" ht="42" customHeight="1">
      <c r="A445" s="2" t="inlineStr">
        <is>
          <t>applied_assumptions.forward_scenarios.2.segments.1.base_revenue.components.0.period_end</t>
        </is>
      </c>
      <c r="B445" s="2" t="inlineStr">
        <is>
          <t>2025-11-02</t>
        </is>
      </c>
      <c r="C445" s="2" t="inlineStr">
        <is>
          <t>agent/policy.json and data/AVGO/metrics.json</t>
        </is>
      </c>
    </row>
    <row r="446" ht="42" customHeight="1">
      <c r="A446" s="2" t="inlineStr">
        <is>
          <t>applied_assumptions.forward_scenarios.2.segments.1.base_revenue.components.0.value</t>
        </is>
      </c>
      <c r="B446" s="3" t="n">
        <v>27029000000</v>
      </c>
      <c r="C446" s="2" t="inlineStr">
        <is>
          <t>agent/policy.json and data/AVGO/metrics.json</t>
        </is>
      </c>
    </row>
    <row r="447" ht="42" customHeight="1">
      <c r="A447" s="2" t="inlineStr">
        <is>
          <t>applied_assumptions.forward_scenarios.2.segments.1.base_revenue.components.0.source</t>
        </is>
      </c>
      <c r="B447" s="2" t="inlineStr">
        <is>
          <t>10-K 0001730168-25-000121</t>
        </is>
      </c>
      <c r="C447" s="2" t="inlineStr">
        <is>
          <t>agent/policy.json and data/AVGO/metrics.json</t>
        </is>
      </c>
    </row>
    <row r="448" ht="42" customHeight="1">
      <c r="A448" s="2" t="inlineStr">
        <is>
          <t>applied_assumptions.forward_scenarios.2.segments.1.base_revenue.components.0.sign</t>
        </is>
      </c>
      <c r="B448" s="3" t="n">
        <v>1</v>
      </c>
      <c r="C448" s="2" t="inlineStr">
        <is>
          <t>agent/policy.json and data/AVGO/metrics.json</t>
        </is>
      </c>
    </row>
    <row r="449" ht="42" customHeight="1">
      <c r="A449" s="2" t="inlineStr">
        <is>
          <t>applied_assumptions.forward_scenarios.2.segments.1.base_revenue.components.1.item</t>
        </is>
      </c>
      <c r="B449" s="2" t="inlineStr">
        <is>
          <t>segment_revenue_software</t>
        </is>
      </c>
      <c r="C449" s="2" t="inlineStr">
        <is>
          <t>agent/policy.json and data/AVGO/metrics.json</t>
        </is>
      </c>
    </row>
    <row r="450" ht="42" customHeight="1">
      <c r="A450" s="2" t="inlineStr">
        <is>
          <t>applied_assumptions.forward_scenarios.2.segments.1.base_revenue.components.1.period_end</t>
        </is>
      </c>
      <c r="B450" s="2" t="inlineStr">
        <is>
          <t>2026-08-02</t>
        </is>
      </c>
      <c r="C450" s="2" t="inlineStr">
        <is>
          <t>agent/policy.json and data/AVGO/metrics.json</t>
        </is>
      </c>
    </row>
    <row r="451" ht="42" customHeight="1">
      <c r="A451" s="2" t="inlineStr">
        <is>
          <t>applied_assumptions.forward_scenarios.2.segments.1.base_revenue.components.1.value</t>
        </is>
      </c>
      <c r="B451" s="3" t="n">
        <v>22726000000</v>
      </c>
      <c r="C451" s="2" t="inlineStr">
        <is>
          <t>agent/policy.json and data/AVGO/metrics.json</t>
        </is>
      </c>
    </row>
    <row r="452" ht="42" customHeight="1">
      <c r="A452" s="2" t="inlineStr">
        <is>
          <t>applied_assumptions.forward_scenarios.2.segments.1.base_revenue.components.1.source</t>
        </is>
      </c>
      <c r="B452" s="2" t="inlineStr">
        <is>
          <t>10-Q 0001730168-26-000080</t>
        </is>
      </c>
      <c r="C452" s="2" t="inlineStr">
        <is>
          <t>agent/policy.json and data/AVGO/metrics.json</t>
        </is>
      </c>
    </row>
    <row r="453" ht="42" customHeight="1">
      <c r="A453" s="2" t="inlineStr">
        <is>
          <t>applied_assumptions.forward_scenarios.2.segments.1.base_revenue.components.1.sign</t>
        </is>
      </c>
      <c r="B453" s="3" t="n">
        <v>1</v>
      </c>
      <c r="C453" s="2" t="inlineStr">
        <is>
          <t>agent/policy.json and data/AVGO/metrics.json</t>
        </is>
      </c>
    </row>
    <row r="454" ht="42" customHeight="1">
      <c r="A454" s="2" t="inlineStr">
        <is>
          <t>applied_assumptions.forward_scenarios.2.segments.1.base_revenue.components.2.item</t>
        </is>
      </c>
      <c r="B454" s="2" t="inlineStr">
        <is>
          <t>segment_revenue_software</t>
        </is>
      </c>
      <c r="C454" s="2" t="inlineStr">
        <is>
          <t>agent/policy.json and data/AVGO/metrics.json</t>
        </is>
      </c>
    </row>
    <row r="455" ht="42" customHeight="1">
      <c r="A455" s="2" t="inlineStr">
        <is>
          <t>applied_assumptions.forward_scenarios.2.segments.1.base_revenue.components.2.period_end</t>
        </is>
      </c>
      <c r="B455" s="2" t="inlineStr">
        <is>
          <t>2025-08-03</t>
        </is>
      </c>
      <c r="C455" s="2" t="inlineStr">
        <is>
          <t>agent/policy.json and data/AVGO/metrics.json</t>
        </is>
      </c>
    </row>
    <row r="456" ht="42" customHeight="1">
      <c r="A456" s="2" t="inlineStr">
        <is>
          <t>applied_assumptions.forward_scenarios.2.segments.1.base_revenue.components.2.value</t>
        </is>
      </c>
      <c r="B456" s="3" t="n">
        <v>20086000000</v>
      </c>
      <c r="C456" s="2" t="inlineStr">
        <is>
          <t>agent/policy.json and data/AVGO/metrics.json</t>
        </is>
      </c>
    </row>
    <row r="457" ht="42" customHeight="1">
      <c r="A457" s="2" t="inlineStr">
        <is>
          <t>applied_assumptions.forward_scenarios.2.segments.1.base_revenue.components.2.source</t>
        </is>
      </c>
      <c r="B457" s="2" t="inlineStr">
        <is>
          <t>10-Q 0001730168-26-000080</t>
        </is>
      </c>
      <c r="C457" s="2" t="inlineStr">
        <is>
          <t>agent/policy.json and data/AVGO/metrics.json</t>
        </is>
      </c>
    </row>
    <row r="458" ht="42" customHeight="1">
      <c r="A458" s="2" t="inlineStr">
        <is>
          <t>applied_assumptions.forward_scenarios.2.segments.1.base_revenue.components.2.sign</t>
        </is>
      </c>
      <c r="B458" s="3" t="n">
        <v>-1</v>
      </c>
      <c r="C458" s="2" t="inlineStr">
        <is>
          <t>agent/policy.json and data/AVGO/metrics.json</t>
        </is>
      </c>
    </row>
    <row r="459" ht="42" customHeight="1">
      <c r="A459" s="2" t="inlineStr">
        <is>
          <t>applied_assumptions.forward_scenarios.2.segments.1.base_working_capital_ratio</t>
        </is>
      </c>
      <c r="B459" s="3" t="n">
        <v>0.05</v>
      </c>
      <c r="C459" s="2" t="inlineStr">
        <is>
          <t>agent/policy.json and data/AVGO/metrics.json</t>
        </is>
      </c>
    </row>
    <row r="460" ht="42" customHeight="1">
      <c r="A460" s="2" t="inlineStr">
        <is>
          <t>applied_assumptions.forward_scenarios.2.segments.1.growth.0</t>
        </is>
      </c>
      <c r="B460" s="3" t="n">
        <v>0.08</v>
      </c>
      <c r="C460" s="2" t="inlineStr">
        <is>
          <t>agent/policy.json and data/AVGO/metrics.json</t>
        </is>
      </c>
    </row>
    <row r="461" ht="42" customHeight="1">
      <c r="A461" s="2" t="inlineStr">
        <is>
          <t>applied_assumptions.forward_scenarios.2.segments.1.growth.1</t>
        </is>
      </c>
      <c r="B461" s="3" t="n">
        <v>0.07000000000000001</v>
      </c>
      <c r="C461" s="2" t="inlineStr">
        <is>
          <t>agent/policy.json and data/AVGO/metrics.json</t>
        </is>
      </c>
    </row>
    <row r="462" ht="42" customHeight="1">
      <c r="A462" s="2" t="inlineStr">
        <is>
          <t>applied_assumptions.forward_scenarios.2.segments.1.growth.2</t>
        </is>
      </c>
      <c r="B462" s="3" t="n">
        <v>0.06</v>
      </c>
      <c r="C462" s="2" t="inlineStr">
        <is>
          <t>agent/policy.json and data/AVGO/metrics.json</t>
        </is>
      </c>
    </row>
    <row r="463" ht="42" customHeight="1">
      <c r="A463" s="2" t="inlineStr">
        <is>
          <t>applied_assumptions.forward_scenarios.2.segments.1.growth.3</t>
        </is>
      </c>
      <c r="B463" s="3" t="n">
        <v>0.05</v>
      </c>
      <c r="C463" s="2" t="inlineStr">
        <is>
          <t>agent/policy.json and data/AVGO/metrics.json</t>
        </is>
      </c>
    </row>
    <row r="464" ht="42" customHeight="1">
      <c r="A464" s="2" t="inlineStr">
        <is>
          <t>applied_assumptions.forward_scenarios.2.segments.1.growth.4</t>
        </is>
      </c>
      <c r="B464" s="3" t="n">
        <v>0.04</v>
      </c>
      <c r="C464" s="2" t="inlineStr">
        <is>
          <t>agent/policy.json and data/AVGO/metrics.json</t>
        </is>
      </c>
    </row>
    <row r="465" ht="42" customHeight="1">
      <c r="A465" s="2" t="inlineStr">
        <is>
          <t>applied_assumptions.forward_scenarios.2.segments.1.growth.5</t>
        </is>
      </c>
      <c r="B465" s="3" t="n">
        <v>0.04</v>
      </c>
      <c r="C465" s="2" t="inlineStr">
        <is>
          <t>agent/policy.json and data/AVGO/metrics.json</t>
        </is>
      </c>
    </row>
    <row r="466" ht="42" customHeight="1">
      <c r="A466" s="2" t="inlineStr">
        <is>
          <t>applied_assumptions.forward_scenarios.2.segments.1.growth.6</t>
        </is>
      </c>
      <c r="B466" s="3" t="n">
        <v>0.03</v>
      </c>
      <c r="C466" s="2" t="inlineStr">
        <is>
          <t>agent/policy.json and data/AVGO/metrics.json</t>
        </is>
      </c>
    </row>
    <row r="467" ht="42" customHeight="1">
      <c r="A467" s="2" t="inlineStr">
        <is>
          <t>applied_assumptions.forward_scenarios.2.segments.1.growth.7</t>
        </is>
      </c>
      <c r="B467" s="3" t="n">
        <v>0.03</v>
      </c>
      <c r="C467" s="2" t="inlineStr">
        <is>
          <t>agent/policy.json and data/AVGO/metrics.json</t>
        </is>
      </c>
    </row>
    <row r="468" ht="42" customHeight="1">
      <c r="A468" s="2" t="inlineStr">
        <is>
          <t>applied_assumptions.forward_scenarios.2.segments.1.growth.8</t>
        </is>
      </c>
      <c r="B468" s="3" t="n">
        <v>0.03</v>
      </c>
      <c r="C468" s="2" t="inlineStr">
        <is>
          <t>agent/policy.json and data/AVGO/metrics.json</t>
        </is>
      </c>
    </row>
    <row r="469" ht="42" customHeight="1">
      <c r="A469" s="2" t="inlineStr">
        <is>
          <t>applied_assumptions.forward_scenarios.2.segments.1.growth.9</t>
        </is>
      </c>
      <c r="B469" s="3" t="n">
        <v>0.03</v>
      </c>
      <c r="C469" s="2" t="inlineStr">
        <is>
          <t>agent/policy.json and data/AVGO/metrics.json</t>
        </is>
      </c>
    </row>
    <row r="470" ht="42" customHeight="1">
      <c r="A470" s="2" t="inlineStr">
        <is>
          <t>applied_assumptions.forward_scenarios.2.segments.1.operating_margin.0</t>
        </is>
      </c>
      <c r="B470" s="3" t="n">
        <v>0.5</v>
      </c>
      <c r="C470" s="2" t="inlineStr">
        <is>
          <t>agent/policy.json and data/AVGO/metrics.json</t>
        </is>
      </c>
    </row>
    <row r="471" ht="42" customHeight="1">
      <c r="A471" s="2" t="inlineStr">
        <is>
          <t>applied_assumptions.forward_scenarios.2.segments.1.operating_margin.1</t>
        </is>
      </c>
      <c r="B471" s="3" t="n">
        <v>0.5</v>
      </c>
      <c r="C471" s="2" t="inlineStr">
        <is>
          <t>agent/policy.json and data/AVGO/metrics.json</t>
        </is>
      </c>
    </row>
    <row r="472" ht="42" customHeight="1">
      <c r="A472" s="2" t="inlineStr">
        <is>
          <t>applied_assumptions.forward_scenarios.2.segments.1.operating_margin.2</t>
        </is>
      </c>
      <c r="B472" s="3" t="n">
        <v>0.5</v>
      </c>
      <c r="C472" s="2" t="inlineStr">
        <is>
          <t>agent/policy.json and data/AVGO/metrics.json</t>
        </is>
      </c>
    </row>
    <row r="473" ht="42" customHeight="1">
      <c r="A473" s="2" t="inlineStr">
        <is>
          <t>applied_assumptions.forward_scenarios.2.segments.1.operating_margin.3</t>
        </is>
      </c>
      <c r="B473" s="3" t="n">
        <v>0.5</v>
      </c>
      <c r="C473" s="2" t="inlineStr">
        <is>
          <t>agent/policy.json and data/AVGO/metrics.json</t>
        </is>
      </c>
    </row>
    <row r="474" ht="42" customHeight="1">
      <c r="A474" s="2" t="inlineStr">
        <is>
          <t>applied_assumptions.forward_scenarios.2.segments.1.operating_margin.4</t>
        </is>
      </c>
      <c r="B474" s="3" t="n">
        <v>0.5</v>
      </c>
      <c r="C474" s="2" t="inlineStr">
        <is>
          <t>agent/policy.json and data/AVGO/metrics.json</t>
        </is>
      </c>
    </row>
    <row r="475" ht="42" customHeight="1">
      <c r="A475" s="2" t="inlineStr">
        <is>
          <t>applied_assumptions.forward_scenarios.2.segments.1.operating_margin.5</t>
        </is>
      </c>
      <c r="B475" s="3" t="n">
        <v>0.5</v>
      </c>
      <c r="C475" s="2" t="inlineStr">
        <is>
          <t>agent/policy.json and data/AVGO/metrics.json</t>
        </is>
      </c>
    </row>
    <row r="476" ht="42" customHeight="1">
      <c r="A476" s="2" t="inlineStr">
        <is>
          <t>applied_assumptions.forward_scenarios.2.segments.1.operating_margin.6</t>
        </is>
      </c>
      <c r="B476" s="3" t="n">
        <v>0.5</v>
      </c>
      <c r="C476" s="2" t="inlineStr">
        <is>
          <t>agent/policy.json and data/AVGO/metrics.json</t>
        </is>
      </c>
    </row>
    <row r="477" ht="42" customHeight="1">
      <c r="A477" s="2" t="inlineStr">
        <is>
          <t>applied_assumptions.forward_scenarios.2.segments.1.operating_margin.7</t>
        </is>
      </c>
      <c r="B477" s="3" t="n">
        <v>0.5</v>
      </c>
      <c r="C477" s="2" t="inlineStr">
        <is>
          <t>agent/policy.json and data/AVGO/metrics.json</t>
        </is>
      </c>
    </row>
    <row r="478" ht="42" customHeight="1">
      <c r="A478" s="2" t="inlineStr">
        <is>
          <t>applied_assumptions.forward_scenarios.2.segments.1.operating_margin.8</t>
        </is>
      </c>
      <c r="B478" s="3" t="n">
        <v>0.5</v>
      </c>
      <c r="C478" s="2" t="inlineStr">
        <is>
          <t>agent/policy.json and data/AVGO/metrics.json</t>
        </is>
      </c>
    </row>
    <row r="479" ht="42" customHeight="1">
      <c r="A479" s="2" t="inlineStr">
        <is>
          <t>applied_assumptions.forward_scenarios.2.segments.1.operating_margin.9</t>
        </is>
      </c>
      <c r="B479" s="3" t="n">
        <v>0.5</v>
      </c>
      <c r="C479" s="2" t="inlineStr">
        <is>
          <t>agent/policy.json and data/AVGO/metrics.json</t>
        </is>
      </c>
    </row>
    <row r="480" ht="42" customHeight="1">
      <c r="A480" s="2" t="inlineStr">
        <is>
          <t>applied_assumptions.forward_scenarios.2.segments.1.depreciation_to_revenue.0</t>
        </is>
      </c>
      <c r="B480" s="3" t="n">
        <v>0.005</v>
      </c>
      <c r="C480" s="2" t="inlineStr">
        <is>
          <t>agent/policy.json and data/AVGO/metrics.json</t>
        </is>
      </c>
    </row>
    <row r="481" ht="42" customHeight="1">
      <c r="A481" s="2" t="inlineStr">
        <is>
          <t>applied_assumptions.forward_scenarios.2.segments.1.depreciation_to_revenue.1</t>
        </is>
      </c>
      <c r="B481" s="3" t="n">
        <v>0.005</v>
      </c>
      <c r="C481" s="2" t="inlineStr">
        <is>
          <t>agent/policy.json and data/AVGO/metrics.json</t>
        </is>
      </c>
    </row>
    <row r="482" ht="42" customHeight="1">
      <c r="A482" s="2" t="inlineStr">
        <is>
          <t>applied_assumptions.forward_scenarios.2.segments.1.depreciation_to_revenue.2</t>
        </is>
      </c>
      <c r="B482" s="3" t="n">
        <v>0.005</v>
      </c>
      <c r="C482" s="2" t="inlineStr">
        <is>
          <t>agent/policy.json and data/AVGO/metrics.json</t>
        </is>
      </c>
    </row>
    <row r="483" ht="42" customHeight="1">
      <c r="A483" s="2" t="inlineStr">
        <is>
          <t>applied_assumptions.forward_scenarios.2.segments.1.depreciation_to_revenue.3</t>
        </is>
      </c>
      <c r="B483" s="3" t="n">
        <v>0.005</v>
      </c>
      <c r="C483" s="2" t="inlineStr">
        <is>
          <t>agent/policy.json and data/AVGO/metrics.json</t>
        </is>
      </c>
    </row>
    <row r="484" ht="42" customHeight="1">
      <c r="A484" s="2" t="inlineStr">
        <is>
          <t>applied_assumptions.forward_scenarios.2.segments.1.depreciation_to_revenue.4</t>
        </is>
      </c>
      <c r="B484" s="3" t="n">
        <v>0.005</v>
      </c>
      <c r="C484" s="2" t="inlineStr">
        <is>
          <t>agent/policy.json and data/AVGO/metrics.json</t>
        </is>
      </c>
    </row>
    <row r="485" ht="42" customHeight="1">
      <c r="A485" s="2" t="inlineStr">
        <is>
          <t>applied_assumptions.forward_scenarios.2.segments.1.depreciation_to_revenue.5</t>
        </is>
      </c>
      <c r="B485" s="3" t="n">
        <v>0.005</v>
      </c>
      <c r="C485" s="2" t="inlineStr">
        <is>
          <t>agent/policy.json and data/AVGO/metrics.json</t>
        </is>
      </c>
    </row>
    <row r="486" ht="42" customHeight="1">
      <c r="A486" s="2" t="inlineStr">
        <is>
          <t>applied_assumptions.forward_scenarios.2.segments.1.depreciation_to_revenue.6</t>
        </is>
      </c>
      <c r="B486" s="3" t="n">
        <v>0.005</v>
      </c>
      <c r="C486" s="2" t="inlineStr">
        <is>
          <t>agent/policy.json and data/AVGO/metrics.json</t>
        </is>
      </c>
    </row>
    <row r="487" ht="42" customHeight="1">
      <c r="A487" s="2" t="inlineStr">
        <is>
          <t>applied_assumptions.forward_scenarios.2.segments.1.depreciation_to_revenue.7</t>
        </is>
      </c>
      <c r="B487" s="3" t="n">
        <v>0.005</v>
      </c>
      <c r="C487" s="2" t="inlineStr">
        <is>
          <t>agent/policy.json and data/AVGO/metrics.json</t>
        </is>
      </c>
    </row>
    <row r="488" ht="42" customHeight="1">
      <c r="A488" s="2" t="inlineStr">
        <is>
          <t>applied_assumptions.forward_scenarios.2.segments.1.depreciation_to_revenue.8</t>
        </is>
      </c>
      <c r="B488" s="3" t="n">
        <v>0.005</v>
      </c>
      <c r="C488" s="2" t="inlineStr">
        <is>
          <t>agent/policy.json and data/AVGO/metrics.json</t>
        </is>
      </c>
    </row>
    <row r="489" ht="42" customHeight="1">
      <c r="A489" s="2" t="inlineStr">
        <is>
          <t>applied_assumptions.forward_scenarios.2.segments.1.depreciation_to_revenue.9</t>
        </is>
      </c>
      <c r="B489" s="3" t="n">
        <v>0.005</v>
      </c>
      <c r="C489" s="2" t="inlineStr">
        <is>
          <t>agent/policy.json and data/AVGO/metrics.json</t>
        </is>
      </c>
    </row>
    <row r="490" ht="42" customHeight="1">
      <c r="A490" s="2" t="inlineStr">
        <is>
          <t>applied_assumptions.forward_scenarios.2.segments.1.capex_to_revenue.0</t>
        </is>
      </c>
      <c r="B490" s="3" t="n">
        <v>0.01</v>
      </c>
      <c r="C490" s="2" t="inlineStr">
        <is>
          <t>agent/policy.json and data/AVGO/metrics.json</t>
        </is>
      </c>
    </row>
    <row r="491" ht="42" customHeight="1">
      <c r="A491" s="2" t="inlineStr">
        <is>
          <t>applied_assumptions.forward_scenarios.2.segments.1.capex_to_revenue.1</t>
        </is>
      </c>
      <c r="B491" s="3" t="n">
        <v>0.01</v>
      </c>
      <c r="C491" s="2" t="inlineStr">
        <is>
          <t>agent/policy.json and data/AVGO/metrics.json</t>
        </is>
      </c>
    </row>
    <row r="492" ht="42" customHeight="1">
      <c r="A492" s="2" t="inlineStr">
        <is>
          <t>applied_assumptions.forward_scenarios.2.segments.1.capex_to_revenue.2</t>
        </is>
      </c>
      <c r="B492" s="3" t="n">
        <v>0.01</v>
      </c>
      <c r="C492" s="2" t="inlineStr">
        <is>
          <t>agent/policy.json and data/AVGO/metrics.json</t>
        </is>
      </c>
    </row>
    <row r="493" ht="42" customHeight="1">
      <c r="A493" s="2" t="inlineStr">
        <is>
          <t>applied_assumptions.forward_scenarios.2.segments.1.capex_to_revenue.3</t>
        </is>
      </c>
      <c r="B493" s="3" t="n">
        <v>0.01</v>
      </c>
      <c r="C493" s="2" t="inlineStr">
        <is>
          <t>agent/policy.json and data/AVGO/metrics.json</t>
        </is>
      </c>
    </row>
    <row r="494" ht="42" customHeight="1">
      <c r="A494" s="2" t="inlineStr">
        <is>
          <t>applied_assumptions.forward_scenarios.2.segments.1.capex_to_revenue.4</t>
        </is>
      </c>
      <c r="B494" s="3" t="n">
        <v>0.01</v>
      </c>
      <c r="C494" s="2" t="inlineStr">
        <is>
          <t>agent/policy.json and data/AVGO/metrics.json</t>
        </is>
      </c>
    </row>
    <row r="495" ht="42" customHeight="1">
      <c r="A495" s="2" t="inlineStr">
        <is>
          <t>applied_assumptions.forward_scenarios.2.segments.1.capex_to_revenue.5</t>
        </is>
      </c>
      <c r="B495" s="3" t="n">
        <v>0.01</v>
      </c>
      <c r="C495" s="2" t="inlineStr">
        <is>
          <t>agent/policy.json and data/AVGO/metrics.json</t>
        </is>
      </c>
    </row>
    <row r="496" ht="42" customHeight="1">
      <c r="A496" s="2" t="inlineStr">
        <is>
          <t>applied_assumptions.forward_scenarios.2.segments.1.capex_to_revenue.6</t>
        </is>
      </c>
      <c r="B496" s="3" t="n">
        <v>0.01</v>
      </c>
      <c r="C496" s="2" t="inlineStr">
        <is>
          <t>agent/policy.json and data/AVGO/metrics.json</t>
        </is>
      </c>
    </row>
    <row r="497" ht="42" customHeight="1">
      <c r="A497" s="2" t="inlineStr">
        <is>
          <t>applied_assumptions.forward_scenarios.2.segments.1.capex_to_revenue.7</t>
        </is>
      </c>
      <c r="B497" s="3" t="n">
        <v>0.01</v>
      </c>
      <c r="C497" s="2" t="inlineStr">
        <is>
          <t>agent/policy.json and data/AVGO/metrics.json</t>
        </is>
      </c>
    </row>
    <row r="498" ht="42" customHeight="1">
      <c r="A498" s="2" t="inlineStr">
        <is>
          <t>applied_assumptions.forward_scenarios.2.segments.1.capex_to_revenue.8</t>
        </is>
      </c>
      <c r="B498" s="3" t="n">
        <v>0.01</v>
      </c>
      <c r="C498" s="2" t="inlineStr">
        <is>
          <t>agent/policy.json and data/AVGO/metrics.json</t>
        </is>
      </c>
    </row>
    <row r="499" ht="42" customHeight="1">
      <c r="A499" s="2" t="inlineStr">
        <is>
          <t>applied_assumptions.forward_scenarios.2.segments.1.capex_to_revenue.9</t>
        </is>
      </c>
      <c r="B499" s="3" t="n">
        <v>0.01</v>
      </c>
      <c r="C499" s="2" t="inlineStr">
        <is>
          <t>agent/policy.json and data/AVGO/metrics.json</t>
        </is>
      </c>
    </row>
    <row r="500" ht="42" customHeight="1">
      <c r="A500" s="2" t="inlineStr">
        <is>
          <t>applied_assumptions.forward_scenarios.2.segments.1.working_capital_to_revenue.0</t>
        </is>
      </c>
      <c r="B500" s="3" t="n">
        <v>0.05</v>
      </c>
      <c r="C500" s="2" t="inlineStr">
        <is>
          <t>agent/policy.json and data/AVGO/metrics.json</t>
        </is>
      </c>
    </row>
    <row r="501" ht="42" customHeight="1">
      <c r="A501" s="2" t="inlineStr">
        <is>
          <t>applied_assumptions.forward_scenarios.2.segments.1.working_capital_to_revenue.1</t>
        </is>
      </c>
      <c r="B501" s="3" t="n">
        <v>0.05</v>
      </c>
      <c r="C501" s="2" t="inlineStr">
        <is>
          <t>agent/policy.json and data/AVGO/metrics.json</t>
        </is>
      </c>
    </row>
    <row r="502" ht="42" customHeight="1">
      <c r="A502" s="2" t="inlineStr">
        <is>
          <t>applied_assumptions.forward_scenarios.2.segments.1.working_capital_to_revenue.2</t>
        </is>
      </c>
      <c r="B502" s="3" t="n">
        <v>0.05</v>
      </c>
      <c r="C502" s="2" t="inlineStr">
        <is>
          <t>agent/policy.json and data/AVGO/metrics.json</t>
        </is>
      </c>
    </row>
    <row r="503" ht="42" customHeight="1">
      <c r="A503" s="2" t="inlineStr">
        <is>
          <t>applied_assumptions.forward_scenarios.2.segments.1.working_capital_to_revenue.3</t>
        </is>
      </c>
      <c r="B503" s="3" t="n">
        <v>0.05</v>
      </c>
      <c r="C503" s="2" t="inlineStr">
        <is>
          <t>agent/policy.json and data/AVGO/metrics.json</t>
        </is>
      </c>
    </row>
    <row r="504" ht="42" customHeight="1">
      <c r="A504" s="2" t="inlineStr">
        <is>
          <t>applied_assumptions.forward_scenarios.2.segments.1.working_capital_to_revenue.4</t>
        </is>
      </c>
      <c r="B504" s="3" t="n">
        <v>0.05</v>
      </c>
      <c r="C504" s="2" t="inlineStr">
        <is>
          <t>agent/policy.json and data/AVGO/metrics.json</t>
        </is>
      </c>
    </row>
    <row r="505" ht="42" customHeight="1">
      <c r="A505" s="2" t="inlineStr">
        <is>
          <t>applied_assumptions.forward_scenarios.2.segments.1.working_capital_to_revenue.5</t>
        </is>
      </c>
      <c r="B505" s="3" t="n">
        <v>0.05</v>
      </c>
      <c r="C505" s="2" t="inlineStr">
        <is>
          <t>agent/policy.json and data/AVGO/metrics.json</t>
        </is>
      </c>
    </row>
    <row r="506" ht="42" customHeight="1">
      <c r="A506" s="2" t="inlineStr">
        <is>
          <t>applied_assumptions.forward_scenarios.2.segments.1.working_capital_to_revenue.6</t>
        </is>
      </c>
      <c r="B506" s="3" t="n">
        <v>0.05</v>
      </c>
      <c r="C506" s="2" t="inlineStr">
        <is>
          <t>agent/policy.json and data/AVGO/metrics.json</t>
        </is>
      </c>
    </row>
    <row r="507" ht="42" customHeight="1">
      <c r="A507" s="2" t="inlineStr">
        <is>
          <t>applied_assumptions.forward_scenarios.2.segments.1.working_capital_to_revenue.7</t>
        </is>
      </c>
      <c r="B507" s="3" t="n">
        <v>0.05</v>
      </c>
      <c r="C507" s="2" t="inlineStr">
        <is>
          <t>agent/policy.json and data/AVGO/metrics.json</t>
        </is>
      </c>
    </row>
    <row r="508" ht="42" customHeight="1">
      <c r="A508" s="2" t="inlineStr">
        <is>
          <t>applied_assumptions.forward_scenarios.2.segments.1.working_capital_to_revenue.8</t>
        </is>
      </c>
      <c r="B508" s="3" t="n">
        <v>0.05</v>
      </c>
      <c r="C508" s="2" t="inlineStr">
        <is>
          <t>agent/policy.json and data/AVGO/metrics.json</t>
        </is>
      </c>
    </row>
    <row r="509" ht="42" customHeight="1">
      <c r="A509" s="2" t="inlineStr">
        <is>
          <t>applied_assumptions.forward_scenarios.2.segments.1.working_capital_to_revenue.9</t>
        </is>
      </c>
      <c r="B509" s="3" t="n">
        <v>0.05</v>
      </c>
      <c r="C509" s="2" t="inlineStr">
        <is>
          <t>agent/policy.json and data/AVGO/metrics.json</t>
        </is>
      </c>
    </row>
    <row r="510" ht="42" customHeight="1">
      <c r="A510" s="2" t="inlineStr">
        <is>
          <t>applied_assumptions.forward_scenarios.2.source</t>
        </is>
      </c>
      <c r="B510" s="2" t="inlineStr">
        <is>
          <t>Analyst sensitivity assumptions, 2026-10-11; revenue bases from cited 10-K and 10-Q excerpts</t>
        </is>
      </c>
      <c r="C510" s="2" t="inlineStr">
        <is>
          <t>agent/policy.json and data/AVGO/metrics.json</t>
        </is>
      </c>
    </row>
    <row r="511" ht="42" customHeight="1">
      <c r="A511" s="2" t="inlineStr">
        <is>
          <t>applied_assumptions.forward_scenarios.2.reason</t>
        </is>
      </c>
      <c r="B511"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511" s="2" t="inlineStr">
        <is>
          <t>agent/policy.json and data/AVGO/metrics.json</t>
        </is>
      </c>
    </row>
  </sheetData>
  <autoFilter ref="A1:C51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F48"/>
  <sheetViews>
    <sheetView showGridLines="0" workbookViewId="0">
      <pane ySplit="1" topLeftCell="A2" activePane="bottomLeft" state="frozen"/>
      <selection pane="bottomLeft" activeCell="A1" sqref="A1"/>
    </sheetView>
  </sheetViews>
  <sheetFormatPr baseColWidth="8" defaultRowHeight="15"/>
  <cols>
    <col width="39" customWidth="1" min="1" max="1"/>
    <col width="29" customWidth="1" min="2" max="2"/>
    <col width="28" customWidth="1" min="3" max="3"/>
    <col width="30" customWidth="1" min="4" max="4"/>
    <col width="110" customWidth="1" min="5" max="5"/>
    <col width="26" customWidth="1" min="6" max="6"/>
  </cols>
  <sheetData>
    <row r="1" ht="32" customHeight="1">
      <c r="A1" s="1" t="inlineStr">
        <is>
          <t>Input / calculation</t>
        </is>
      </c>
      <c r="B1" s="1" t="inlineStr">
        <is>
          <t>Editable input or live formula</t>
        </is>
      </c>
      <c r="C1" s="1" t="inlineStr">
        <is>
          <t>Unit</t>
        </is>
      </c>
      <c r="D1" s="1" t="inlineStr">
        <is>
          <t>Input date / basis</t>
        </is>
      </c>
      <c r="E1" s="1" t="inlineStr">
        <is>
          <t>Source or formula explanation</t>
        </is>
      </c>
      <c r="F1" s="1" t="inlineStr">
        <is>
          <t>Published result</t>
        </is>
      </c>
    </row>
    <row r="2" ht="45" customHeight="1">
      <c r="A2" s="10" t="inlineStr">
        <is>
          <t>OCF</t>
        </is>
      </c>
      <c r="B2" s="11" t="n">
        <v>27537000000</v>
      </c>
      <c r="C2" s="10" t="inlineStr">
        <is>
          <t>USD</t>
        </is>
      </c>
      <c r="D2" s="10" t="inlineStr">
        <is>
          <t>2025-11-02</t>
        </is>
      </c>
      <c r="E2" s="10" t="inlineStr">
        <is>
          <t>https://www.sec.gov/Archives/edgar/data/1730168/000173016825000121/0001730168-25-000121-index.html</t>
        </is>
      </c>
      <c r="F2" s="10" t="inlineStr"/>
    </row>
    <row r="3" ht="45" customHeight="1">
      <c r="A3" s="10" t="inlineStr">
        <is>
          <t>CapEx</t>
        </is>
      </c>
      <c r="B3" s="11" t="n">
        <v>623000000</v>
      </c>
      <c r="C3" s="10" t="inlineStr">
        <is>
          <t>USD</t>
        </is>
      </c>
      <c r="D3" s="10" t="inlineStr">
        <is>
          <t>2025-11-02</t>
        </is>
      </c>
      <c r="E3" s="10" t="inlineStr">
        <is>
          <t>https://www.sec.gov/Archives/edgar/data/1730168/000173016825000121/0001730168-25-000121-index.html</t>
        </is>
      </c>
      <c r="F3" s="10" t="inlineStr"/>
    </row>
    <row r="4" ht="45" customHeight="1">
      <c r="A4" s="10" t="inlineStr">
        <is>
          <t>Interest expense</t>
        </is>
      </c>
      <c r="B4" s="11" t="n">
        <v>3210000000</v>
      </c>
      <c r="C4" s="10" t="inlineStr">
        <is>
          <t>USD</t>
        </is>
      </c>
      <c r="D4" s="10" t="inlineStr">
        <is>
          <t>2025-11-02</t>
        </is>
      </c>
      <c r="E4" s="10" t="inlineStr">
        <is>
          <t>https://www.sec.gov/Archives/edgar/data/1730168/000173016825000121/0001730168-25-000121-index.html</t>
        </is>
      </c>
      <c r="F4" s="10" t="inlineStr"/>
    </row>
    <row r="5" ht="45" customHeight="1">
      <c r="A5" s="10" t="inlineStr">
        <is>
          <t>Tax rate</t>
        </is>
      </c>
      <c r="B5" s="12" t="n">
        <v>0</v>
      </c>
      <c r="C5" s="10" t="inlineStr">
        <is>
          <t>ratio</t>
        </is>
      </c>
      <c r="D5" s="10" t="inlineStr">
        <is>
          <t>2025-11-02</t>
        </is>
      </c>
      <c r="E5" s="10" t="inlineStr">
        <is>
          <t>Derived or model input; see parent calculation formula and model assumptions.</t>
        </is>
      </c>
      <c r="F5" s="10" t="inlineStr"/>
    </row>
    <row r="6" ht="45" customHeight="1">
      <c r="A6" s="10" t="inlineStr">
        <is>
          <t>Stock-based pay</t>
        </is>
      </c>
      <c r="B6" s="11" t="n">
        <v>7568000000</v>
      </c>
      <c r="C6" s="10" t="inlineStr">
        <is>
          <t>USD</t>
        </is>
      </c>
      <c r="D6" s="10" t="inlineStr">
        <is>
          <t>2025-11-02</t>
        </is>
      </c>
      <c r="E6" s="10" t="inlineStr">
        <is>
          <t>https://www.sec.gov/Archives/edgar/data/1730168/000173016825000121/0001730168-25-000121-index.html</t>
        </is>
      </c>
      <c r="F6" s="10" t="inlineStr"/>
    </row>
    <row r="7" ht="45" customHeight="1">
      <c r="A7" s="10" t="inlineStr">
        <is>
          <t>Operating income</t>
        </is>
      </c>
      <c r="B7" s="11" t="n">
        <v>25484000000</v>
      </c>
      <c r="C7" s="10" t="inlineStr">
        <is>
          <t>USD</t>
        </is>
      </c>
      <c r="D7" s="10" t="inlineStr">
        <is>
          <t>2025-11-02</t>
        </is>
      </c>
      <c r="E7" s="10" t="inlineStr">
        <is>
          <t>https://www.sec.gov/Archives/edgar/data/1730168/000173016825000121/0001730168-25-000121-index.html</t>
        </is>
      </c>
      <c r="F7" s="10" t="inlineStr"/>
    </row>
    <row r="8" ht="45" customHeight="1">
      <c r="A8" s="10" t="inlineStr">
        <is>
          <t>Average invested capital</t>
        </is>
      </c>
      <c r="B8" s="11" t="n">
        <v>128060000000</v>
      </c>
      <c r="C8" s="10" t="inlineStr">
        <is>
          <t>USD</t>
        </is>
      </c>
      <c r="D8" s="10" t="inlineStr">
        <is>
          <t>2025-11-02</t>
        </is>
      </c>
      <c r="E8" s="10" t="inlineStr">
        <is>
          <t>Derived or model input; see parent calculation formula and model assumptions.</t>
        </is>
      </c>
      <c r="F8" s="10" t="inlineStr"/>
    </row>
    <row r="9" ht="45" customHeight="1">
      <c r="A9" s="10" t="inlineStr">
        <is>
          <t>D&amp;A</t>
        </is>
      </c>
      <c r="B9" s="11" t="n">
        <v>8636000000</v>
      </c>
      <c r="C9" s="10" t="inlineStr">
        <is>
          <t>USD</t>
        </is>
      </c>
      <c r="D9" s="10" t="inlineStr">
        <is>
          <t>2025-11-02</t>
        </is>
      </c>
      <c r="E9" s="10" t="inlineStr">
        <is>
          <t>https://www.sec.gov/Archives/edgar/data/1730168/000173016825000121/0001730168-25-000121-index.html</t>
        </is>
      </c>
      <c r="F9" s="10" t="inlineStr"/>
    </row>
    <row r="10" ht="45" customHeight="1">
      <c r="A10" s="10" t="inlineStr">
        <is>
          <t>Revenue</t>
        </is>
      </c>
      <c r="B10" s="11" t="n">
        <v>63887000000</v>
      </c>
      <c r="C10" s="10" t="inlineStr">
        <is>
          <t>USD</t>
        </is>
      </c>
      <c r="D10" s="10" t="inlineStr">
        <is>
          <t>2025-11-02</t>
        </is>
      </c>
      <c r="E10" s="10" t="inlineStr">
        <is>
          <t>https://www.sec.gov/Archives/edgar/data/1730168/000173016825000121/0001730168-25-000121-index.html</t>
        </is>
      </c>
      <c r="F10" s="10" t="inlineStr"/>
    </row>
    <row r="11" ht="45" customHeight="1">
      <c r="A11" s="10" t="inlineStr">
        <is>
          <t>Net income</t>
        </is>
      </c>
      <c r="B11" s="11" t="n">
        <v>23126000000</v>
      </c>
      <c r="C11" s="10" t="inlineStr">
        <is>
          <t>USD</t>
        </is>
      </c>
      <c r="D11" s="10" t="inlineStr">
        <is>
          <t>2025-11-02</t>
        </is>
      </c>
      <c r="E11" s="10" t="inlineStr">
        <is>
          <t>https://www.sec.gov/Archives/edgar/data/1730168/000173016825000121/0001730168-25-000121-index.html</t>
        </is>
      </c>
      <c r="F11" s="10" t="inlineStr"/>
    </row>
    <row r="12" ht="45" customHeight="1">
      <c r="A12" s="10" t="inlineStr">
        <is>
          <t>Price</t>
        </is>
      </c>
      <c r="B12" s="11" t="n">
        <v>361.54</v>
      </c>
      <c r="C12" s="10" t="inlineStr">
        <is>
          <t>USD/share</t>
        </is>
      </c>
      <c r="D12" s="10" t="inlineStr">
        <is>
          <t>2026-10-09</t>
        </is>
      </c>
      <c r="E12" s="10" t="inlineStr">
        <is>
          <t>User-supplied price, 2026-10-09</t>
        </is>
      </c>
      <c r="F12" s="10" t="inlineStr"/>
    </row>
    <row r="13" ht="45" customHeight="1">
      <c r="A13" s="10" t="inlineStr">
        <is>
          <t>Shares outstanding</t>
        </is>
      </c>
      <c r="B13" s="11" t="n">
        <v>4773629865</v>
      </c>
      <c r="C13" s="10" t="inlineStr">
        <is>
          <t>shares</t>
        </is>
      </c>
      <c r="D13" s="10" t="inlineStr">
        <is>
          <t>2026-08-28</t>
        </is>
      </c>
      <c r="E13" s="10" t="inlineStr">
        <is>
          <t>https://www.sec.gov/Archives/edgar/data/1730168/000173016826000080/0001730168-26-000080-index.html</t>
        </is>
      </c>
      <c r="F13" s="10" t="inlineStr"/>
    </row>
    <row r="14" ht="45" customHeight="1">
      <c r="A14" s="10" t="inlineStr">
        <is>
          <t>Interim debt</t>
        </is>
      </c>
      <c r="B14" s="11" t="n">
        <v>59419000000</v>
      </c>
      <c r="C14" s="10" t="inlineStr">
        <is>
          <t>USD</t>
        </is>
      </c>
      <c r="D14" s="10" t="inlineStr">
        <is>
          <t>2026-08-02</t>
        </is>
      </c>
      <c r="E14" s="10" t="inlineStr">
        <is>
          <t>Derived or model input; see parent calculation formula and model assumptions.</t>
        </is>
      </c>
      <c r="F14" s="10" t="inlineStr"/>
    </row>
    <row r="15" ht="45" customHeight="1">
      <c r="A15" s="10" t="inlineStr">
        <is>
          <t>Interim cash</t>
        </is>
      </c>
      <c r="B15" s="11" t="n">
        <v>23975000000</v>
      </c>
      <c r="C15" s="10" t="inlineStr">
        <is>
          <t>USD</t>
        </is>
      </c>
      <c r="D15" s="10" t="inlineStr">
        <is>
          <t>2026-08-02</t>
        </is>
      </c>
      <c r="E15" s="10" t="inlineStr">
        <is>
          <t>https://www.sec.gov/Archives/edgar/data/1730168/000173016826000080/0001730168-26-000080-index.html</t>
        </is>
      </c>
      <c r="F15" s="10" t="inlineStr"/>
    </row>
    <row r="16" ht="45" customHeight="1">
      <c r="A16" s="10" t="inlineStr">
        <is>
          <t>Minority interest</t>
        </is>
      </c>
      <c r="B16" s="11" t="n">
        <v>0</v>
      </c>
      <c r="C16" s="10" t="inlineStr">
        <is>
          <t>USD</t>
        </is>
      </c>
      <c r="D16" s="10" t="inlineStr">
        <is>
          <t>2026-08-02</t>
        </is>
      </c>
      <c r="E16" s="10" t="inlineStr">
        <is>
          <t xml:space="preserve">
Transformed calculation input: differs from the raw filing value; see formula and flags.</t>
        </is>
      </c>
      <c r="F16" s="10" t="inlineStr"/>
    </row>
    <row r="17" ht="45" customHeight="1">
      <c r="A17" s="10" t="inlineStr">
        <is>
          <t>Preferred stock</t>
        </is>
      </c>
      <c r="B17" s="11" t="n">
        <v>0</v>
      </c>
      <c r="C17" s="10" t="inlineStr">
        <is>
          <t>USD</t>
        </is>
      </c>
      <c r="D17" s="10" t="inlineStr">
        <is>
          <t>2026-08-02</t>
        </is>
      </c>
      <c r="E17" s="10" t="inlineStr">
        <is>
          <t>https://www.sec.gov/Archives/edgar/data/1730168/000173016826000080/0001730168-26-000080-index.html</t>
        </is>
      </c>
      <c r="F17" s="10" t="inlineStr"/>
    </row>
    <row r="18" ht="45" customHeight="1">
      <c r="A18" s="10" t="inlineStr">
        <is>
          <t>Three-year average FCFF</t>
        </is>
      </c>
      <c r="B18" s="11" t="n">
        <v>18591133285.86253</v>
      </c>
      <c r="C18" s="10" t="inlineStr">
        <is>
          <t>USD</t>
        </is>
      </c>
      <c r="D18" s="10" t="inlineStr">
        <is>
          <t>2025-11-02</t>
        </is>
      </c>
      <c r="E18" s="10" t="inlineStr">
        <is>
          <t>Derived or model input; see parent calculation formula and model assumptions.</t>
        </is>
      </c>
      <c r="F18" s="10" t="inlineStr"/>
    </row>
    <row r="19" ht="45" customHeight="1">
      <c r="A19" s="10" t="inlineStr">
        <is>
          <t>WACC</t>
        </is>
      </c>
      <c r="B19" s="12" t="n">
        <v>0.09</v>
      </c>
      <c r="C19" s="10" t="inlineStr">
        <is>
          <t>ratio</t>
        </is>
      </c>
      <c r="D19" s="10" t="inlineStr">
        <is>
          <t>Policy / applied model assumption</t>
        </is>
      </c>
      <c r="E19" s="10" t="inlineStr">
        <is>
          <t>Editable estimate; see Assumptions sheet</t>
        </is>
      </c>
      <c r="F19" s="10" t="inlineStr"/>
    </row>
    <row r="20" ht="45" customHeight="1">
      <c r="A20" s="10" t="inlineStr">
        <is>
          <t>Forecast years</t>
        </is>
      </c>
      <c r="B20" s="11" t="n">
        <v>10</v>
      </c>
      <c r="C20" s="10" t="inlineStr">
        <is>
          <t>years</t>
        </is>
      </c>
      <c r="D20" s="10" t="inlineStr">
        <is>
          <t>Policy / applied model assumption</t>
        </is>
      </c>
      <c r="E20" s="10" t="inlineStr">
        <is>
          <t>Editable estimate; see Assumptions sheet</t>
        </is>
      </c>
      <c r="F20" s="10" t="inlineStr"/>
    </row>
    <row r="21" ht="45" customHeight="1">
      <c r="A21" s="10" t="inlineStr">
        <is>
          <t>Base growth</t>
        </is>
      </c>
      <c r="B21" s="12" t="n">
        <v>0.1</v>
      </c>
      <c r="C21" s="10" t="inlineStr">
        <is>
          <t>ratio</t>
        </is>
      </c>
      <c r="D21" s="10" t="inlineStr">
        <is>
          <t>Policy / applied model assumption</t>
        </is>
      </c>
      <c r="E21" s="10" t="inlineStr">
        <is>
          <t>Editable estimate; see Assumptions sheet</t>
        </is>
      </c>
      <c r="F21" s="10" t="inlineStr"/>
    </row>
    <row r="22" ht="45" customHeight="1">
      <c r="A22" s="10" t="inlineStr">
        <is>
          <t>Terminal growth</t>
        </is>
      </c>
      <c r="B22" s="12" t="n">
        <v>0.025</v>
      </c>
      <c r="C22" s="10" t="inlineStr">
        <is>
          <t>ratio</t>
        </is>
      </c>
      <c r="D22" s="10" t="inlineStr">
        <is>
          <t>Policy / applied model assumption</t>
        </is>
      </c>
      <c r="E22" s="10" t="inlineStr">
        <is>
          <t>Editable estimate; see Assumptions sheet</t>
        </is>
      </c>
      <c r="F22" s="10" t="inlineStr"/>
    </row>
    <row r="23" ht="45" customHeight="1">
      <c r="A23" s="10" t="inlineStr">
        <is>
          <t>FCF</t>
        </is>
      </c>
      <c r="B23" s="13">
        <f>B2-ABS(B3)</f>
        <v/>
      </c>
      <c r="C23" s="10" t="inlineStr">
        <is>
          <t>USD</t>
        </is>
      </c>
      <c r="D23" s="10" t="inlineStr">
        <is>
          <t>Recalculates from inputs above</t>
        </is>
      </c>
      <c r="E23" s="10" t="inlineStr">
        <is>
          <t>B2-ABS(B3)</t>
        </is>
      </c>
      <c r="F23" s="14" t="n">
        <v>26914000000</v>
      </c>
    </row>
    <row r="24" ht="45" customHeight="1">
      <c r="A24" s="10" t="inlineStr">
        <is>
          <t>FCFF</t>
        </is>
      </c>
      <c r="B24" s="13">
        <f>B2+ABS(B4)*(1-B5)-ABS(B3)-B6</f>
        <v/>
      </c>
      <c r="C24" s="10" t="inlineStr">
        <is>
          <t>USD</t>
        </is>
      </c>
      <c r="D24" s="10" t="inlineStr">
        <is>
          <t>Recalculates from inputs above</t>
        </is>
      </c>
      <c r="E24" s="10" t="inlineStr">
        <is>
          <t>B2+ABS(B4)*(1-B5)-ABS(B3)-B6</t>
        </is>
      </c>
      <c r="F24" s="14" t="n">
        <v>22556000000</v>
      </c>
    </row>
    <row r="25" ht="45" customHeight="1">
      <c r="A25" s="10" t="inlineStr">
        <is>
          <t>EBITDA</t>
        </is>
      </c>
      <c r="B25" s="13">
        <f>B7+B9</f>
        <v/>
      </c>
      <c r="C25" s="10" t="inlineStr">
        <is>
          <t>USD</t>
        </is>
      </c>
      <c r="D25" s="10" t="inlineStr">
        <is>
          <t>Recalculates from inputs above</t>
        </is>
      </c>
      <c r="E25" s="10" t="inlineStr">
        <is>
          <t>B7+B9</t>
        </is>
      </c>
      <c r="F25" s="14" t="n">
        <v>34120000000</v>
      </c>
    </row>
    <row r="26" ht="45" customHeight="1">
      <c r="A26" s="10" t="inlineStr">
        <is>
          <t>NOPAT</t>
        </is>
      </c>
      <c r="B26" s="13">
        <f>B7*(1-B5)</f>
        <v/>
      </c>
      <c r="C26" s="10" t="inlineStr">
        <is>
          <t>USD</t>
        </is>
      </c>
      <c r="D26" s="10" t="inlineStr">
        <is>
          <t>Recalculates from inputs above</t>
        </is>
      </c>
      <c r="E26" s="10" t="inlineStr">
        <is>
          <t>B7*(1-B5)</t>
        </is>
      </c>
      <c r="F26" s="14" t="n">
        <v>25484000000</v>
      </c>
    </row>
    <row r="27" ht="45" customHeight="1">
      <c r="A27" s="10" t="inlineStr">
        <is>
          <t>ROIC</t>
        </is>
      </c>
      <c r="B27" s="15">
        <f>IF(B8&gt;0,B26/B8,"")</f>
        <v/>
      </c>
      <c r="C27" s="10" t="inlineStr">
        <is>
          <t>ratio</t>
        </is>
      </c>
      <c r="D27" s="10" t="inlineStr">
        <is>
          <t>Recalculates from inputs above</t>
        </is>
      </c>
      <c r="E27" s="10" t="inlineStr">
        <is>
          <t>IF(B8&gt;0,B26/B8,"")</t>
        </is>
      </c>
      <c r="F27" s="16" t="n">
        <v>0.1990004685303764</v>
      </c>
    </row>
    <row r="28" ht="45" customHeight="1">
      <c r="A28" s="10" t="inlineStr">
        <is>
          <t>FCF margin</t>
        </is>
      </c>
      <c r="B28" s="15">
        <f>IF(B10&gt;0,B23/B10,"")</f>
        <v/>
      </c>
      <c r="C28" s="10" t="inlineStr">
        <is>
          <t>ratio</t>
        </is>
      </c>
      <c r="D28" s="10" t="inlineStr">
        <is>
          <t>Recalculates from inputs above</t>
        </is>
      </c>
      <c r="E28" s="10" t="inlineStr">
        <is>
          <t>IF(B10&gt;0,B23/B10,"")</t>
        </is>
      </c>
      <c r="F28" s="16" t="n">
        <v>0.4212750637844945</v>
      </c>
    </row>
    <row r="29" ht="45" customHeight="1">
      <c r="A29" s="10" t="inlineStr">
        <is>
          <t>Market cap</t>
        </is>
      </c>
      <c r="B29" s="13">
        <f>B12*B13</f>
        <v/>
      </c>
      <c r="C29" s="10" t="inlineStr">
        <is>
          <t>USD</t>
        </is>
      </c>
      <c r="D29" s="10" t="inlineStr">
        <is>
          <t>Recalculates from inputs above</t>
        </is>
      </c>
      <c r="E29" s="10" t="inlineStr">
        <is>
          <t>B12*B13</t>
        </is>
      </c>
      <c r="F29" s="14" t="n">
        <v>1725858141392.1</v>
      </c>
    </row>
    <row r="30" ht="45" customHeight="1">
      <c r="A30" s="10" t="inlineStr">
        <is>
          <t>EV</t>
        </is>
      </c>
      <c r="B30" s="13">
        <f>B29+B14-B15+B16+B17</f>
        <v/>
      </c>
      <c r="C30" s="10" t="inlineStr">
        <is>
          <t>USD</t>
        </is>
      </c>
      <c r="D30" s="10" t="inlineStr">
        <is>
          <t>Recalculates from inputs above</t>
        </is>
      </c>
      <c r="E30" s="10" t="inlineStr">
        <is>
          <t>B29+B14-B15+B16+B17</t>
        </is>
      </c>
      <c r="F30" s="14" t="n">
        <v>1761302141392.1</v>
      </c>
    </row>
    <row r="31" ht="45" customHeight="1">
      <c r="A31" s="10" t="inlineStr">
        <is>
          <t>P/E</t>
        </is>
      </c>
      <c r="B31" s="13">
        <f>IF(B11&gt;0,B29/B11,"")</f>
        <v/>
      </c>
      <c r="C31" s="10" t="inlineStr">
        <is>
          <t>multiple (x)</t>
        </is>
      </c>
      <c r="D31" s="10" t="inlineStr">
        <is>
          <t>Recalculates from inputs above</t>
        </is>
      </c>
      <c r="E31" s="10" t="inlineStr">
        <is>
          <t>IF(B11&gt;0,B29/B11,"")</t>
        </is>
      </c>
      <c r="F31" s="14" t="n">
        <v>74.62847623419961</v>
      </c>
    </row>
    <row r="32" ht="45" customHeight="1">
      <c r="A32" s="10" t="inlineStr">
        <is>
          <t>FCF yield</t>
        </is>
      </c>
      <c r="B32" s="15">
        <f>IF(B29&gt;0,B23/B29,"")</f>
        <v/>
      </c>
      <c r="C32" s="10" t="inlineStr">
        <is>
          <t>ratio</t>
        </is>
      </c>
      <c r="D32" s="10" t="inlineStr">
        <is>
          <t>Recalculates from inputs above</t>
        </is>
      </c>
      <c r="E32" s="10" t="inlineStr">
        <is>
          <t>IF(B29&gt;0,B23/B29,"")</t>
        </is>
      </c>
      <c r="F32" s="16" t="n">
        <v>0.01559456096333086</v>
      </c>
    </row>
    <row r="33" ht="45" customHeight="1">
      <c r="A33" s="10" t="inlineStr">
        <is>
          <t>Price / FCF</t>
        </is>
      </c>
      <c r="B33" s="13">
        <f>IF(B23&gt;0,B29/B23,"")</f>
        <v/>
      </c>
      <c r="C33" s="10" t="inlineStr">
        <is>
          <t>multiple (x)</t>
        </is>
      </c>
      <c r="D33" s="10" t="inlineStr">
        <is>
          <t>Recalculates from inputs above</t>
        </is>
      </c>
      <c r="E33" s="10" t="inlineStr">
        <is>
          <t>IF(B23&gt;0,B29/B23,"")</t>
        </is>
      </c>
      <c r="F33" s="14" t="n"/>
    </row>
    <row r="34" ht="45" customHeight="1">
      <c r="A34" s="10" t="inlineStr">
        <is>
          <t>Price / sales</t>
        </is>
      </c>
      <c r="B34" s="13">
        <f>IF(B10&gt;0,B29/B10,"")</f>
        <v/>
      </c>
      <c r="C34" s="10" t="inlineStr">
        <is>
          <t>multiple (x)</t>
        </is>
      </c>
      <c r="D34" s="10" t="inlineStr">
        <is>
          <t>Recalculates from inputs above</t>
        </is>
      </c>
      <c r="E34" s="10" t="inlineStr">
        <is>
          <t>IF(B10&gt;0,B29/B10,"")</t>
        </is>
      </c>
      <c r="F34" s="14" t="n"/>
    </row>
    <row r="35" ht="45" customHeight="1">
      <c r="A35" s="10" t="inlineStr">
        <is>
          <t>EV / revenue</t>
        </is>
      </c>
      <c r="B35" s="13">
        <f>IF(B10&gt;0,B30/B10,"")</f>
        <v/>
      </c>
      <c r="C35" s="10" t="inlineStr">
        <is>
          <t>multiple (x)</t>
        </is>
      </c>
      <c r="D35" s="10" t="inlineStr">
        <is>
          <t>Recalculates from inputs above</t>
        </is>
      </c>
      <c r="E35" s="10" t="inlineStr">
        <is>
          <t>IF(B10&gt;0,B30/B10,"")</t>
        </is>
      </c>
      <c r="F35" s="14" t="n"/>
    </row>
    <row r="36" ht="45" customHeight="1">
      <c r="A36" s="10" t="inlineStr">
        <is>
          <t>DCF discounted cash flow year 1</t>
        </is>
      </c>
      <c r="B36" s="13">
        <f>B18*(1+B21)^1/(1+B19)^1</f>
        <v/>
      </c>
      <c r="C36" s="10" t="inlineStr">
        <is>
          <t>USD</t>
        </is>
      </c>
      <c r="D36" s="10" t="inlineStr">
        <is>
          <t>Recalculates from inputs above</t>
        </is>
      </c>
      <c r="E36" s="10" t="inlineStr">
        <is>
          <t>B18*(1+B21)^1/(1+B19)^1</t>
        </is>
      </c>
      <c r="F36" s="14" t="n"/>
    </row>
    <row r="37" ht="45" customHeight="1">
      <c r="A37" s="10" t="inlineStr">
        <is>
          <t>DCF discounted cash flow year 2</t>
        </is>
      </c>
      <c r="B37" s="13">
        <f>B18*(1+B21)^2/(1+B19)^2</f>
        <v/>
      </c>
      <c r="C37" s="10" t="inlineStr">
        <is>
          <t>USD</t>
        </is>
      </c>
      <c r="D37" s="10" t="inlineStr">
        <is>
          <t>Recalculates from inputs above</t>
        </is>
      </c>
      <c r="E37" s="10" t="inlineStr">
        <is>
          <t>B18*(1+B21)^2/(1+B19)^2</t>
        </is>
      </c>
      <c r="F37" s="14" t="n"/>
    </row>
    <row r="38" ht="45" customHeight="1">
      <c r="A38" s="10" t="inlineStr">
        <is>
          <t>DCF discounted cash flow year 3</t>
        </is>
      </c>
      <c r="B38" s="13">
        <f>B18*(1+B21)^3/(1+B19)^3</f>
        <v/>
      </c>
      <c r="C38" s="10" t="inlineStr">
        <is>
          <t>USD</t>
        </is>
      </c>
      <c r="D38" s="10" t="inlineStr">
        <is>
          <t>Recalculates from inputs above</t>
        </is>
      </c>
      <c r="E38" s="10" t="inlineStr">
        <is>
          <t>B18*(1+B21)^3/(1+B19)^3</t>
        </is>
      </c>
      <c r="F38" s="14" t="n"/>
    </row>
    <row r="39" ht="45" customHeight="1">
      <c r="A39" s="10" t="inlineStr">
        <is>
          <t>DCF discounted cash flow year 4</t>
        </is>
      </c>
      <c r="B39" s="13">
        <f>B18*(1+B21)^4/(1+B19)^4</f>
        <v/>
      </c>
      <c r="C39" s="10" t="inlineStr">
        <is>
          <t>USD</t>
        </is>
      </c>
      <c r="D39" s="10" t="inlineStr">
        <is>
          <t>Recalculates from inputs above</t>
        </is>
      </c>
      <c r="E39" s="10" t="inlineStr">
        <is>
          <t>B18*(1+B21)^4/(1+B19)^4</t>
        </is>
      </c>
      <c r="F39" s="14" t="n"/>
    </row>
    <row r="40" ht="45" customHeight="1">
      <c r="A40" s="10" t="inlineStr">
        <is>
          <t>DCF discounted cash flow year 5</t>
        </is>
      </c>
      <c r="B40" s="13">
        <f>B18*(1+B21)^5/(1+B19)^5</f>
        <v/>
      </c>
      <c r="C40" s="10" t="inlineStr">
        <is>
          <t>USD</t>
        </is>
      </c>
      <c r="D40" s="10" t="inlineStr">
        <is>
          <t>Recalculates from inputs above</t>
        </is>
      </c>
      <c r="E40" s="10" t="inlineStr">
        <is>
          <t>B18*(1+B21)^5/(1+B19)^5</t>
        </is>
      </c>
      <c r="F40" s="14" t="n"/>
    </row>
    <row r="41" ht="45" customHeight="1">
      <c r="A41" s="10" t="inlineStr">
        <is>
          <t>DCF discounted cash flow year 6</t>
        </is>
      </c>
      <c r="B41" s="13">
        <f>B18*(1+B21)^6/(1+B19)^6</f>
        <v/>
      </c>
      <c r="C41" s="10" t="inlineStr">
        <is>
          <t>USD</t>
        </is>
      </c>
      <c r="D41" s="10" t="inlineStr">
        <is>
          <t>Recalculates from inputs above</t>
        </is>
      </c>
      <c r="E41" s="10" t="inlineStr">
        <is>
          <t>B18*(1+B21)^6/(1+B19)^6</t>
        </is>
      </c>
      <c r="F41" s="14" t="n"/>
    </row>
    <row r="42" ht="45" customHeight="1">
      <c r="A42" s="10" t="inlineStr">
        <is>
          <t>DCF discounted cash flow year 7</t>
        </is>
      </c>
      <c r="B42" s="13">
        <f>B18*(1+B21)^7/(1+B19)^7</f>
        <v/>
      </c>
      <c r="C42" s="10" t="inlineStr">
        <is>
          <t>USD</t>
        </is>
      </c>
      <c r="D42" s="10" t="inlineStr">
        <is>
          <t>Recalculates from inputs above</t>
        </is>
      </c>
      <c r="E42" s="10" t="inlineStr">
        <is>
          <t>B18*(1+B21)^7/(1+B19)^7</t>
        </is>
      </c>
      <c r="F42" s="14" t="n"/>
    </row>
    <row r="43" ht="45" customHeight="1">
      <c r="A43" s="10" t="inlineStr">
        <is>
          <t>DCF discounted cash flow year 8</t>
        </is>
      </c>
      <c r="B43" s="13">
        <f>B18*(1+B21)^8/(1+B19)^8</f>
        <v/>
      </c>
      <c r="C43" s="10" t="inlineStr">
        <is>
          <t>USD</t>
        </is>
      </c>
      <c r="D43" s="10" t="inlineStr">
        <is>
          <t>Recalculates from inputs above</t>
        </is>
      </c>
      <c r="E43" s="10" t="inlineStr">
        <is>
          <t>B18*(1+B21)^8/(1+B19)^8</t>
        </is>
      </c>
      <c r="F43" s="14" t="n"/>
    </row>
    <row r="44" ht="45" customHeight="1">
      <c r="A44" s="10" t="inlineStr">
        <is>
          <t>DCF discounted cash flow year 9</t>
        </is>
      </c>
      <c r="B44" s="13">
        <f>B18*(1+B21)^9/(1+B19)^9</f>
        <v/>
      </c>
      <c r="C44" s="10" t="inlineStr">
        <is>
          <t>USD</t>
        </is>
      </c>
      <c r="D44" s="10" t="inlineStr">
        <is>
          <t>Recalculates from inputs above</t>
        </is>
      </c>
      <c r="E44" s="10" t="inlineStr">
        <is>
          <t>B18*(1+B21)^9/(1+B19)^9</t>
        </is>
      </c>
      <c r="F44" s="14" t="n"/>
    </row>
    <row r="45" ht="45" customHeight="1">
      <c r="A45" s="10" t="inlineStr">
        <is>
          <t>DCF discounted cash flow year 10</t>
        </is>
      </c>
      <c r="B45" s="13">
        <f>B18*(1+B21)^10/(1+B19)^10</f>
        <v/>
      </c>
      <c r="C45" s="10" t="inlineStr">
        <is>
          <t>USD</t>
        </is>
      </c>
      <c r="D45" s="10" t="inlineStr">
        <is>
          <t>Recalculates from inputs above</t>
        </is>
      </c>
      <c r="E45" s="10" t="inlineStr">
        <is>
          <t>B18*(1+B21)^10/(1+B19)^10</t>
        </is>
      </c>
      <c r="F45" s="14" t="n"/>
    </row>
    <row r="46" ht="45" customHeight="1">
      <c r="A46" s="10" t="inlineStr">
        <is>
          <t>Discounted terminal value</t>
        </is>
      </c>
      <c r="B46" s="13">
        <f>IF(B19&gt;B22,B18*(1+B21)^10*(1+B22)/(B19-B22)/(1+B19)^10,"")</f>
        <v/>
      </c>
      <c r="C46" s="10" t="inlineStr">
        <is>
          <t>USD</t>
        </is>
      </c>
      <c r="D46" s="10" t="inlineStr">
        <is>
          <t>Recalculates from inputs above</t>
        </is>
      </c>
      <c r="E46" s="10" t="inlineStr">
        <is>
          <t>IF(B19&gt;B22,B18*(1+B21)^10*(1+B22)/(B19-B22)/(1+B19)^10,"")</t>
        </is>
      </c>
      <c r="F46" s="14" t="n"/>
    </row>
    <row r="47" ht="45" customHeight="1">
      <c r="A47" s="10" t="inlineStr">
        <is>
          <t>Base DCF per share</t>
        </is>
      </c>
      <c r="B47" s="13">
        <f>IF(AND(B20=10,B19&gt;B22,B13&gt;0),(SUM(B36:B45)+B46-B14-B16-B17+B15)/B13,"")</f>
        <v/>
      </c>
      <c r="C47" s="10" t="inlineStr">
        <is>
          <t>USD/share</t>
        </is>
      </c>
      <c r="D47" s="10" t="inlineStr">
        <is>
          <t>Recalculates from inputs above</t>
        </is>
      </c>
      <c r="E47" s="10" t="inlineStr">
        <is>
          <t>IF(AND(B20=10,B19&gt;B22,B13&gt;0),(SUM(B36:B45)+B46-B14-B16-B17+B15)/B13,"")</t>
        </is>
      </c>
      <c r="F47" s="14" t="n">
        <v>100.8275011282553</v>
      </c>
    </row>
    <row r="48" ht="45" customHeight="1">
      <c r="A48" s="10" t="inlineStr">
        <is>
          <t>Base margin of safety</t>
        </is>
      </c>
      <c r="B48" s="15">
        <f>IF(B47&gt;0,(B47-B12)/B47,"")</f>
        <v/>
      </c>
      <c r="C48" s="10" t="inlineStr">
        <is>
          <t>ratio</t>
        </is>
      </c>
      <c r="D48" s="10" t="inlineStr">
        <is>
          <t>Recalculates from inputs above</t>
        </is>
      </c>
      <c r="E48" s="10" t="inlineStr">
        <is>
          <t>IF(B47&gt;0,(B47-B12)/B47,"")</t>
        </is>
      </c>
      <c r="F48" s="16" t="n">
        <v>-2.585728059848587</v>
      </c>
    </row>
  </sheetData>
  <autoFilter ref="A1:F48"/>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7" t="inlineStr">
        <is>
          <t>Model</t>
        </is>
      </c>
      <c r="B1" s="17" t="inlineStr">
        <is>
          <t>Style</t>
        </is>
      </c>
      <c r="C1" s="17" t="inlineStr">
        <is>
          <t>Status</t>
        </is>
      </c>
      <c r="D1" s="17" t="inlineStr">
        <is>
          <t>Value per share USD</t>
        </is>
      </c>
      <c r="E1" s="17" t="inlineStr">
        <is>
          <t>Price / value</t>
        </is>
      </c>
      <c r="F1" s="17" t="inlineStr">
        <is>
          <t>Value gap / price (ratio)</t>
        </is>
      </c>
      <c r="G1" s="17" t="inlineStr">
        <is>
          <t>Margin of safety (ratio)</t>
        </is>
      </c>
    </row>
    <row r="2">
      <c r="A2" t="inlineStr">
        <is>
          <t>policy</t>
        </is>
      </c>
      <c r="B2" t="inlineStr">
        <is>
          <t>value</t>
        </is>
      </c>
      <c r="C2" t="inlineStr">
        <is>
          <t>ok</t>
        </is>
      </c>
      <c r="D2" s="18" t="n">
        <v>100.8275011282553</v>
      </c>
      <c r="E2" s="18" t="n">
        <v>3.585728059848587</v>
      </c>
      <c r="F2" s="18" t="n">
        <v>-0.7211166091490422</v>
      </c>
      <c r="G2" s="18" t="n">
        <v>-2.585728059848587</v>
      </c>
    </row>
    <row r="3">
      <c r="A3" t="inlineStr">
        <is>
          <t>illustrative-growth</t>
        </is>
      </c>
      <c r="B3" t="inlineStr">
        <is>
          <t>growth</t>
        </is>
      </c>
      <c r="C3" t="inlineStr">
        <is>
          <t>ok</t>
        </is>
      </c>
      <c r="D3" s="18" t="n">
        <v>173.9693007429269</v>
      </c>
      <c r="E3" s="18" t="n">
        <v>2.078182750956991</v>
      </c>
      <c r="F3" s="18" t="n">
        <v>-0.5188103647095013</v>
      </c>
      <c r="G3" s="18" t="n">
        <v>-1.078182750956991</v>
      </c>
    </row>
    <row r="4">
      <c r="A4" t="inlineStr">
        <is>
          <t>illustrative-garp</t>
        </is>
      </c>
      <c r="B4" t="inlineStr">
        <is>
          <t>garp</t>
        </is>
      </c>
      <c r="C4" t="inlineStr">
        <is>
          <t>ok</t>
        </is>
      </c>
      <c r="D4" s="18" t="n">
        <v>138.6386707594602</v>
      </c>
      <c r="E4" s="18" t="n">
        <v>2.607786110610338</v>
      </c>
      <c r="F4" s="18" t="n">
        <v>-0.6165329679718421</v>
      </c>
      <c r="G4" s="18" t="n">
        <v>-1.607786110610338</v>
      </c>
    </row>
    <row r="5">
      <c r="A5" t="inlineStr">
        <is>
          <t>illustrative-quality</t>
        </is>
      </c>
      <c r="B5" t="inlineStr">
        <is>
          <t>quality</t>
        </is>
      </c>
      <c r="C5" t="inlineStr">
        <is>
          <t>ok</t>
        </is>
      </c>
      <c r="D5" s="18" t="n">
        <v>117.601800084625</v>
      </c>
      <c r="E5" s="18" t="n">
        <v>3.074272670484972</v>
      </c>
      <c r="F5" s="18" t="n">
        <v>-0.6747198094688691</v>
      </c>
      <c r="G5" s="18" t="n">
        <v>-2.074272670484972</v>
      </c>
    </row>
  </sheetData>
  <autoFilter ref="A1:G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7" t="inlineStr">
        <is>
          <t>Scenario</t>
        </is>
      </c>
      <c r="B1" s="17" t="inlineStr">
        <is>
          <t>year</t>
        </is>
      </c>
      <c r="C1" s="17" t="inlineStr">
        <is>
          <t>revenue</t>
        </is>
      </c>
      <c r="D1" s="17" t="inlineStr">
        <is>
          <t>corporate_costs</t>
        </is>
      </c>
      <c r="E1" s="17" t="inlineStr">
        <is>
          <t>operating_income</t>
        </is>
      </c>
      <c r="F1" s="17" t="inlineStr">
        <is>
          <t>taxes</t>
        </is>
      </c>
      <c r="G1" s="17" t="inlineStr">
        <is>
          <t>nopat</t>
        </is>
      </c>
      <c r="H1" s="17" t="inlineStr">
        <is>
          <t>depreciation</t>
        </is>
      </c>
      <c r="I1" s="17" t="inlineStr">
        <is>
          <t>capex</t>
        </is>
      </c>
      <c r="J1" s="17" t="inlineStr">
        <is>
          <t>change_in_working_capital</t>
        </is>
      </c>
      <c r="K1" s="17" t="inlineStr">
        <is>
          <t>reinvestment</t>
        </is>
      </c>
      <c r="L1" s="17" t="inlineStr">
        <is>
          <t>fcff</t>
        </is>
      </c>
    </row>
    <row r="2">
      <c r="A2" t="inlineStr">
        <is>
          <t>illustrative-growth</t>
        </is>
      </c>
      <c r="B2" s="18" t="n">
        <v>1</v>
      </c>
      <c r="C2" s="18" t="n">
        <v>110494780000</v>
      </c>
      <c r="D2" s="18" t="n">
        <v>0</v>
      </c>
      <c r="E2" s="18" t="n">
        <v>47520840000</v>
      </c>
      <c r="F2" s="18" t="n">
        <v>9979376400</v>
      </c>
      <c r="G2" s="18" t="n">
        <v>37541463600</v>
      </c>
      <c r="H2" s="18" t="n">
        <v>1325128900</v>
      </c>
      <c r="I2" s="18" t="n">
        <v>2263930300</v>
      </c>
      <c r="J2" s="18" t="n">
        <v>3387504000</v>
      </c>
      <c r="K2" s="18" t="n">
        <v>4326305400</v>
      </c>
      <c r="L2" s="18" t="n">
        <v>33215158200</v>
      </c>
    </row>
    <row r="3">
      <c r="A3" t="inlineStr">
        <is>
          <t>illustrative-growth</t>
        </is>
      </c>
      <c r="B3" s="18" t="n">
        <v>2</v>
      </c>
      <c r="C3" s="18" t="n">
        <v>133466375800</v>
      </c>
      <c r="D3" s="18" t="n">
        <v>0</v>
      </c>
      <c r="E3" s="18" t="n">
        <v>57075000400</v>
      </c>
      <c r="F3" s="18" t="n">
        <v>11985750084</v>
      </c>
      <c r="G3" s="18" t="n">
        <v>45089250316</v>
      </c>
      <c r="H3" s="18" t="n">
        <v>1633150629</v>
      </c>
      <c r="I3" s="18" t="n">
        <v>2783391883</v>
      </c>
      <c r="J3" s="18" t="n">
        <v>3659708540</v>
      </c>
      <c r="K3" s="18" t="n">
        <v>4809949794</v>
      </c>
      <c r="L3" s="18" t="n">
        <v>40279300522</v>
      </c>
    </row>
    <row r="4">
      <c r="A4" t="inlineStr">
        <is>
          <t>illustrative-growth</t>
        </is>
      </c>
      <c r="B4" s="18" t="n">
        <v>3</v>
      </c>
      <c r="C4" s="18" t="n">
        <v>156471200880</v>
      </c>
      <c r="D4" s="18" t="n">
        <v>0</v>
      </c>
      <c r="E4" s="18" t="n">
        <v>66645775440.00001</v>
      </c>
      <c r="F4" s="18" t="n">
        <v>13995612842.4</v>
      </c>
      <c r="G4" s="18" t="n">
        <v>52650162597.60001</v>
      </c>
      <c r="H4" s="18" t="n">
        <v>1941338504.4</v>
      </c>
      <c r="I4" s="18" t="n">
        <v>3303185758.8</v>
      </c>
      <c r="J4" s="18" t="n">
        <v>3661370004</v>
      </c>
      <c r="K4" s="18" t="n">
        <v>5023217258.400001</v>
      </c>
      <c r="L4" s="18" t="n">
        <v>47626945339.2</v>
      </c>
    </row>
    <row r="5">
      <c r="A5" t="inlineStr">
        <is>
          <t>illustrative-growth</t>
        </is>
      </c>
      <c r="B5" s="18" t="n">
        <v>4</v>
      </c>
      <c r="C5" s="18" t="n">
        <v>177507503959.2</v>
      </c>
      <c r="D5" s="18" t="n">
        <v>0</v>
      </c>
      <c r="E5" s="18" t="n">
        <v>75425453229.60001</v>
      </c>
      <c r="F5" s="18" t="n">
        <v>15839345178.216</v>
      </c>
      <c r="G5" s="18" t="n">
        <v>59586108051.384</v>
      </c>
      <c r="H5" s="18" t="n">
        <v>2220367394.796</v>
      </c>
      <c r="I5" s="18" t="n">
        <v>3774319852.092</v>
      </c>
      <c r="J5" s="18" t="n">
        <v>3311831028.959996</v>
      </c>
      <c r="K5" s="18" t="n">
        <v>4865783486.255997</v>
      </c>
      <c r="L5" s="18" t="n">
        <v>54720324565.128</v>
      </c>
    </row>
    <row r="6">
      <c r="A6" t="inlineStr">
        <is>
          <t>illustrative-growth</t>
        </is>
      </c>
      <c r="B6" s="18" t="n">
        <v>5</v>
      </c>
      <c r="C6" s="18" t="n">
        <v>197039423775.936</v>
      </c>
      <c r="D6" s="18" t="n">
        <v>0</v>
      </c>
      <c r="E6" s="18" t="n">
        <v>83592017287.96802</v>
      </c>
      <c r="F6" s="18" t="n">
        <v>17554323630.47328</v>
      </c>
      <c r="G6" s="18" t="n">
        <v>66037693657.49474</v>
      </c>
      <c r="H6" s="18" t="n">
        <v>2477966578.87968</v>
      </c>
      <c r="I6" s="18" t="n">
        <v>4209548427.75936</v>
      </c>
      <c r="J6" s="18" t="n">
        <v>3055810595.836804</v>
      </c>
      <c r="K6" s="18" t="n">
        <v>4787392444.716484</v>
      </c>
      <c r="L6" s="18" t="n">
        <v>61250301212.77824</v>
      </c>
    </row>
    <row r="7">
      <c r="A7" t="inlineStr">
        <is>
          <t>illustrative-growth</t>
        </is>
      </c>
      <c r="B7" s="18" t="n">
        <v>6</v>
      </c>
      <c r="C7" s="18" t="n">
        <v>215310491820.2516</v>
      </c>
      <c r="D7" s="18" t="n">
        <v>0</v>
      </c>
      <c r="E7" s="18" t="n">
        <v>91234781850.12578</v>
      </c>
      <c r="F7" s="18" t="n">
        <v>19159304188.52641</v>
      </c>
      <c r="G7" s="18" t="n">
        <v>72075477661.59937</v>
      </c>
      <c r="H7" s="18" t="n">
        <v>2718598865.101258</v>
      </c>
      <c r="I7" s="18" t="n">
        <v>4616174527.202516</v>
      </c>
      <c r="J7" s="18" t="n">
        <v>2854153700.215776</v>
      </c>
      <c r="K7" s="18" t="n">
        <v>4751729362.317034</v>
      </c>
      <c r="L7" s="18" t="n">
        <v>67323748299.28233</v>
      </c>
    </row>
    <row r="8">
      <c r="A8" t="inlineStr">
        <is>
          <t>illustrative-growth</t>
        </is>
      </c>
      <c r="B8" s="18" t="n">
        <v>7</v>
      </c>
      <c r="C8" s="18" t="n">
        <v>231513214141.4666</v>
      </c>
      <c r="D8" s="18" t="n">
        <v>0</v>
      </c>
      <c r="E8" s="18" t="n">
        <v>98022505885.93332</v>
      </c>
      <c r="F8" s="18" t="n">
        <v>20584726236.046</v>
      </c>
      <c r="G8" s="18" t="n">
        <v>77437779649.88733</v>
      </c>
      <c r="H8" s="18" t="n">
        <v>2930976189.187333</v>
      </c>
      <c r="I8" s="18" t="n">
        <v>4975247319.134666</v>
      </c>
      <c r="J8" s="18" t="n">
        <v>2517864378.300754</v>
      </c>
      <c r="K8" s="18" t="n">
        <v>4562135508.248087</v>
      </c>
      <c r="L8" s="18" t="n">
        <v>72875644141.63925</v>
      </c>
    </row>
    <row r="9">
      <c r="A9" t="inlineStr">
        <is>
          <t>illustrative-growth</t>
        </is>
      </c>
      <c r="B9" s="18" t="n">
        <v>8</v>
      </c>
      <c r="C9" s="18" t="n">
        <v>244862284967.02</v>
      </c>
      <c r="D9" s="18" t="n">
        <v>0</v>
      </c>
      <c r="E9" s="18" t="n">
        <v>103632995227.622</v>
      </c>
      <c r="F9" s="18" t="n">
        <v>21762928997.80062</v>
      </c>
      <c r="G9" s="18" t="n">
        <v>81870066229.82138</v>
      </c>
      <c r="H9" s="18" t="n">
        <v>3104126150.4239</v>
      </c>
      <c r="I9" s="18" t="n">
        <v>5268344938.0534</v>
      </c>
      <c r="J9" s="18" t="n">
        <v>2050713433.692068</v>
      </c>
      <c r="K9" s="18" t="n">
        <v>4214932221.321568</v>
      </c>
      <c r="L9" s="18" t="n">
        <v>77655134008.49982</v>
      </c>
    </row>
    <row r="10">
      <c r="A10" t="inlineStr">
        <is>
          <t>illustrative-growth</t>
        </is>
      </c>
      <c r="B10" s="18" t="n">
        <v>9</v>
      </c>
      <c r="C10" s="18" t="n">
        <v>256536591091.2896</v>
      </c>
      <c r="D10" s="18" t="n">
        <v>0</v>
      </c>
      <c r="E10" s="18" t="n">
        <v>108530240926.9624</v>
      </c>
      <c r="F10" s="18" t="n">
        <v>22791350594.6621</v>
      </c>
      <c r="G10" s="18" t="n">
        <v>85738890332.30029</v>
      </c>
      <c r="H10" s="18" t="n">
        <v>3256488417.324688</v>
      </c>
      <c r="I10" s="18" t="n">
        <v>5526074103.715256</v>
      </c>
      <c r="J10" s="18" t="n">
        <v>1805594877.846199</v>
      </c>
      <c r="K10" s="18" t="n">
        <v>4075180564.236766</v>
      </c>
      <c r="L10" s="18" t="n">
        <v>81663709768.06354</v>
      </c>
    </row>
    <row r="11">
      <c r="A11" t="inlineStr">
        <is>
          <t>illustrative-growth</t>
        </is>
      </c>
      <c r="B11" s="18" t="n">
        <v>10</v>
      </c>
      <c r="C11" s="18" t="n">
        <v>266206494285.8965</v>
      </c>
      <c r="D11" s="18" t="n">
        <v>0</v>
      </c>
      <c r="E11" s="18" t="n">
        <v>112575670339.5186</v>
      </c>
      <c r="F11" s="18" t="n">
        <v>23640890771.2989</v>
      </c>
      <c r="G11" s="18" t="n">
        <v>88934779568.21967</v>
      </c>
      <c r="H11" s="18" t="n">
        <v>3383790151.772452</v>
      </c>
      <c r="I11" s="18" t="n">
        <v>5741201463.373421</v>
      </c>
      <c r="J11" s="18" t="n">
        <v>1509873999.901834</v>
      </c>
      <c r="K11" s="18" t="n">
        <v>3867285311.502802</v>
      </c>
      <c r="L11" s="18" t="n">
        <v>85067494256.71684</v>
      </c>
    </row>
    <row r="12">
      <c r="A12" t="inlineStr">
        <is>
          <t>illustrative-garp</t>
        </is>
      </c>
      <c r="B12" s="18" t="n">
        <v>1</v>
      </c>
      <c r="C12" s="18" t="n">
        <v>103957900000</v>
      </c>
      <c r="D12" s="18" t="n">
        <v>0</v>
      </c>
      <c r="E12" s="18" t="n">
        <v>44846750000</v>
      </c>
      <c r="F12" s="18" t="n">
        <v>9417817500</v>
      </c>
      <c r="G12" s="18" t="n">
        <v>35428932500</v>
      </c>
      <c r="H12" s="18" t="n">
        <v>1233009500</v>
      </c>
      <c r="I12" s="18" t="n">
        <v>2109409000</v>
      </c>
      <c r="J12" s="18" t="n">
        <v>2288005000</v>
      </c>
      <c r="K12" s="18" t="n">
        <v>3164404500</v>
      </c>
      <c r="L12" s="18" t="n">
        <v>32264528000</v>
      </c>
    </row>
    <row r="13">
      <c r="A13" t="inlineStr">
        <is>
          <t>illustrative-garp</t>
        </is>
      </c>
      <c r="B13" s="18" t="n">
        <v>2</v>
      </c>
      <c r="C13" s="18" t="n">
        <v>119733091000</v>
      </c>
      <c r="D13" s="18" t="n">
        <v>0</v>
      </c>
      <c r="E13" s="18" t="n">
        <v>51450549500</v>
      </c>
      <c r="F13" s="18" t="n">
        <v>10804615395</v>
      </c>
      <c r="G13" s="18" t="n">
        <v>40645934105</v>
      </c>
      <c r="H13" s="18" t="n">
        <v>1440265055</v>
      </c>
      <c r="I13" s="18" t="n">
        <v>2459730310</v>
      </c>
      <c r="J13" s="18" t="n">
        <v>2457694350</v>
      </c>
      <c r="K13" s="18" t="n">
        <v>3477159605</v>
      </c>
      <c r="L13" s="18" t="n">
        <v>37168774500</v>
      </c>
    </row>
    <row r="14">
      <c r="A14" t="inlineStr">
        <is>
          <t>illustrative-garp</t>
        </is>
      </c>
      <c r="B14" s="18" t="n">
        <v>3</v>
      </c>
      <c r="C14" s="18" t="n">
        <v>135202935480</v>
      </c>
      <c r="D14" s="18" t="n">
        <v>0</v>
      </c>
      <c r="E14" s="18" t="n">
        <v>57923072340</v>
      </c>
      <c r="F14" s="18" t="n">
        <v>12163845191.4</v>
      </c>
      <c r="G14" s="18" t="n">
        <v>45759227148.6</v>
      </c>
      <c r="H14" s="18" t="n">
        <v>1643854217.4</v>
      </c>
      <c r="I14" s="18" t="n">
        <v>2803788664.8</v>
      </c>
      <c r="J14" s="18" t="n">
        <v>2414611444</v>
      </c>
      <c r="K14" s="18" t="n">
        <v>3574545891.4</v>
      </c>
      <c r="L14" s="18" t="n">
        <v>42184681257.2</v>
      </c>
    </row>
    <row r="15">
      <c r="A15" t="inlineStr">
        <is>
          <t>illustrative-garp</t>
        </is>
      </c>
      <c r="B15" s="18" t="n">
        <v>4</v>
      </c>
      <c r="C15" s="18" t="n">
        <v>149506338663.6</v>
      </c>
      <c r="D15" s="18" t="n">
        <v>0</v>
      </c>
      <c r="E15" s="18" t="n">
        <v>63913366483.80002</v>
      </c>
      <c r="F15" s="18" t="n">
        <v>13421806961.598</v>
      </c>
      <c r="G15" s="18" t="n">
        <v>50491559522.20201</v>
      </c>
      <c r="H15" s="18" t="n">
        <v>1831511978.118</v>
      </c>
      <c r="I15" s="18" t="n">
        <v>3121033813.836</v>
      </c>
      <c r="J15" s="18" t="n">
        <v>2224999841.580002</v>
      </c>
      <c r="K15" s="18" t="n">
        <v>3514521677.298002</v>
      </c>
      <c r="L15" s="18" t="n">
        <v>46977037844.90401</v>
      </c>
    </row>
    <row r="16">
      <c r="A16" t="inlineStr">
        <is>
          <t>illustrative-garp</t>
        </is>
      </c>
      <c r="B16" s="18" t="n">
        <v>5</v>
      </c>
      <c r="C16" s="18" t="n">
        <v>162812640122.6161</v>
      </c>
      <c r="D16" s="18" t="n">
        <v>0</v>
      </c>
      <c r="E16" s="18" t="n">
        <v>69482536928.50803</v>
      </c>
      <c r="F16" s="18" t="n">
        <v>14591332754.98668</v>
      </c>
      <c r="G16" s="18" t="n">
        <v>54891204173.52134</v>
      </c>
      <c r="H16" s="18" t="n">
        <v>2006441513.89308</v>
      </c>
      <c r="I16" s="18" t="n">
        <v>3416693871.146161</v>
      </c>
      <c r="J16" s="18" t="n">
        <v>2074489443.190804</v>
      </c>
      <c r="K16" s="18" t="n">
        <v>3484741800.443884</v>
      </c>
      <c r="L16" s="18" t="n">
        <v>51406462373.07745</v>
      </c>
    </row>
    <row r="17">
      <c r="A17" t="inlineStr">
        <is>
          <t>illustrative-garp</t>
        </is>
      </c>
      <c r="B17" s="18" t="n">
        <v>6</v>
      </c>
      <c r="C17" s="18" t="n">
        <v>174530407068.5869</v>
      </c>
      <c r="D17" s="18" t="n">
        <v>0</v>
      </c>
      <c r="E17" s="18" t="n">
        <v>74387517750.86943</v>
      </c>
      <c r="F17" s="18" t="n">
        <v>15621378727.68258</v>
      </c>
      <c r="G17" s="18" t="n">
        <v>58766139023.18685</v>
      </c>
      <c r="H17" s="18" t="n">
        <v>2160420613.685335</v>
      </c>
      <c r="I17" s="18" t="n">
        <v>3676956938.199469</v>
      </c>
      <c r="J17" s="18" t="n">
        <v>1825961793.10974</v>
      </c>
      <c r="K17" s="18" t="n">
        <v>3342498117.623874</v>
      </c>
      <c r="L17" s="18" t="n">
        <v>55423640905.56297</v>
      </c>
    </row>
    <row r="18">
      <c r="A18" t="inlineStr">
        <is>
          <t>illustrative-garp</t>
        </is>
      </c>
      <c r="B18" s="18" t="n">
        <v>7</v>
      </c>
      <c r="C18" s="18" t="n">
        <v>184087160508.0151</v>
      </c>
      <c r="D18" s="18" t="n">
        <v>0</v>
      </c>
      <c r="E18" s="18" t="n">
        <v>78393233323.57812</v>
      </c>
      <c r="F18" s="18" t="n">
        <v>16462578997.95141</v>
      </c>
      <c r="G18" s="18" t="n">
        <v>61930654325.62672</v>
      </c>
      <c r="H18" s="18" t="n">
        <v>2285470495.58302</v>
      </c>
      <c r="I18" s="18" t="n">
        <v>3888423644.644568</v>
      </c>
      <c r="J18" s="18" t="n">
        <v>1482297163.078488</v>
      </c>
      <c r="K18" s="18" t="n">
        <v>3085250312.140036</v>
      </c>
      <c r="L18" s="18" t="n">
        <v>58845404013.48668</v>
      </c>
    </row>
    <row r="19">
      <c r="A19" t="inlineStr">
        <is>
          <t>illustrative-garp</t>
        </is>
      </c>
      <c r="B19" s="18" t="n">
        <v>8</v>
      </c>
      <c r="C19" s="18" t="n">
        <v>192339844709.3415</v>
      </c>
      <c r="D19" s="18" t="n">
        <v>0</v>
      </c>
      <c r="E19" s="18" t="n">
        <v>81837058077.71985</v>
      </c>
      <c r="F19" s="18" t="n">
        <v>17185782196.32117</v>
      </c>
      <c r="G19" s="18" t="n">
        <v>64651275881.39868</v>
      </c>
      <c r="H19" s="18" t="n">
        <v>2394985651.241799</v>
      </c>
      <c r="I19" s="18" t="n">
        <v>4073328088.636053</v>
      </c>
      <c r="J19" s="18" t="n">
        <v>1299906760.544237</v>
      </c>
      <c r="K19" s="18" t="n">
        <v>2978249197.93849</v>
      </c>
      <c r="L19" s="18" t="n">
        <v>61673026683.46019</v>
      </c>
    </row>
    <row r="20">
      <c r="A20" t="inlineStr">
        <is>
          <t>illustrative-garp</t>
        </is>
      </c>
      <c r="B20" s="18" t="n">
        <v>9</v>
      </c>
      <c r="C20" s="18" t="n">
        <v>199543326478.3168</v>
      </c>
      <c r="D20" s="18" t="n">
        <v>0</v>
      </c>
      <c r="E20" s="18" t="n">
        <v>84865484391.12947</v>
      </c>
      <c r="F20" s="18" t="n">
        <v>17821751722.13719</v>
      </c>
      <c r="G20" s="18" t="n">
        <v>67043732668.99228</v>
      </c>
      <c r="H20" s="18" t="n">
        <v>2488334517.19448</v>
      </c>
      <c r="I20" s="18" t="n">
        <v>4231360091.987512</v>
      </c>
      <c r="J20" s="18" t="n">
        <v>1105483030.850213</v>
      </c>
      <c r="K20" s="18" t="n">
        <v>2848508605.643244</v>
      </c>
      <c r="L20" s="18" t="n">
        <v>64195224063.34903</v>
      </c>
    </row>
    <row r="21">
      <c r="A21" t="inlineStr">
        <is>
          <t>illustrative-garp</t>
        </is>
      </c>
      <c r="B21" s="18" t="n">
        <v>10</v>
      </c>
      <c r="C21" s="18" t="n">
        <v>205529626272.6664</v>
      </c>
      <c r="D21" s="18" t="n">
        <v>0</v>
      </c>
      <c r="E21" s="18" t="n">
        <v>87411448922.86336</v>
      </c>
      <c r="F21" s="18" t="n">
        <v>18356404273.8013</v>
      </c>
      <c r="G21" s="18" t="n">
        <v>69055044649.06206</v>
      </c>
      <c r="H21" s="18" t="n">
        <v>2562984552.710314</v>
      </c>
      <c r="I21" s="18" t="n">
        <v>4358300894.747137</v>
      </c>
      <c r="J21" s="18" t="n">
        <v>880655964.7906046</v>
      </c>
      <c r="K21" s="18" t="n">
        <v>2675972306.827428</v>
      </c>
      <c r="L21" s="18" t="n">
        <v>66379072342.23463</v>
      </c>
    </row>
    <row r="22">
      <c r="A22" t="inlineStr">
        <is>
          <t>illustrative-quality</t>
        </is>
      </c>
      <c r="B22" s="18" t="n">
        <v>1</v>
      </c>
      <c r="C22" s="18" t="n">
        <v>100392770000</v>
      </c>
      <c r="D22" s="18" t="n">
        <v>0</v>
      </c>
      <c r="E22" s="18" t="n">
        <v>43361360000</v>
      </c>
      <c r="F22" s="18" t="n">
        <v>9105885600</v>
      </c>
      <c r="G22" s="18" t="n">
        <v>34255474400</v>
      </c>
      <c r="H22" s="18" t="n">
        <v>1185466350</v>
      </c>
      <c r="I22" s="18" t="n">
        <v>2029181450</v>
      </c>
      <c r="J22" s="18" t="n">
        <v>1723420999.999998</v>
      </c>
      <c r="K22" s="18" t="n">
        <v>2567136099.999998</v>
      </c>
      <c r="L22" s="18" t="n">
        <v>31688338300</v>
      </c>
    </row>
    <row r="23">
      <c r="A23" t="inlineStr">
        <is>
          <t>illustrative-quality</t>
        </is>
      </c>
      <c r="B23" s="18" t="n">
        <v>2</v>
      </c>
      <c r="C23" s="18" t="n">
        <v>111521278900</v>
      </c>
      <c r="D23" s="18" t="n">
        <v>0</v>
      </c>
      <c r="E23" s="18" t="n">
        <v>48037061200</v>
      </c>
      <c r="F23" s="18" t="n">
        <v>10087782852</v>
      </c>
      <c r="G23" s="18" t="n">
        <v>37949278348</v>
      </c>
      <c r="H23" s="18" t="n">
        <v>1329964219.5</v>
      </c>
      <c r="I23" s="18" t="n">
        <v>2273749526.5</v>
      </c>
      <c r="J23" s="18" t="n">
        <v>1711544669.999998</v>
      </c>
      <c r="K23" s="18" t="n">
        <v>2655329976.999999</v>
      </c>
      <c r="L23" s="18" t="n">
        <v>35293948371</v>
      </c>
    </row>
    <row r="24">
      <c r="A24" t="inlineStr">
        <is>
          <t>illustrative-quality</t>
        </is>
      </c>
      <c r="B24" s="18" t="n">
        <v>3</v>
      </c>
      <c r="C24" s="18" t="n">
        <v>122074344759</v>
      </c>
      <c r="D24" s="18" t="n">
        <v>0</v>
      </c>
      <c r="E24" s="18" t="n">
        <v>52464000522</v>
      </c>
      <c r="F24" s="18" t="n">
        <v>11017440109.62</v>
      </c>
      <c r="G24" s="18" t="n">
        <v>41446560412.38</v>
      </c>
      <c r="H24" s="18" t="n">
        <v>1467688909.545</v>
      </c>
      <c r="I24" s="18" t="n">
        <v>2506719226.215</v>
      </c>
      <c r="J24" s="18" t="n">
        <v>1632124982.7</v>
      </c>
      <c r="K24" s="18" t="n">
        <v>2671155299.37</v>
      </c>
      <c r="L24" s="18" t="n">
        <v>38775405113.01001</v>
      </c>
    </row>
    <row r="25">
      <c r="A25" t="inlineStr">
        <is>
          <t>illustrative-quality</t>
        </is>
      </c>
      <c r="B25" s="18" t="n">
        <v>4</v>
      </c>
      <c r="C25" s="18" t="n">
        <v>131607330739.95</v>
      </c>
      <c r="D25" s="18" t="n">
        <v>0</v>
      </c>
      <c r="E25" s="18" t="n">
        <v>56458908045.3</v>
      </c>
      <c r="F25" s="18" t="n">
        <v>11856370689.513</v>
      </c>
      <c r="G25" s="18" t="n">
        <v>44602537355.787</v>
      </c>
      <c r="H25" s="18" t="n">
        <v>1592512386.16725</v>
      </c>
      <c r="I25" s="18" t="n">
        <v>2717786906.10075</v>
      </c>
      <c r="J25" s="18" t="n">
        <v>1479710406.375001</v>
      </c>
      <c r="K25" s="18" t="n">
        <v>2604984926.308501</v>
      </c>
      <c r="L25" s="18" t="n">
        <v>41997552429.4785</v>
      </c>
    </row>
    <row r="26">
      <c r="A26" t="inlineStr">
        <is>
          <t>illustrative-quality</t>
        </is>
      </c>
      <c r="B26" s="18" t="n">
        <v>5</v>
      </c>
      <c r="C26" s="18" t="n">
        <v>140609526899.418</v>
      </c>
      <c r="D26" s="18" t="n">
        <v>0</v>
      </c>
      <c r="E26" s="18" t="n">
        <v>60212425539.06001</v>
      </c>
      <c r="F26" s="18" t="n">
        <v>12644609363.2026</v>
      </c>
      <c r="G26" s="18" t="n">
        <v>47567816175.85741</v>
      </c>
      <c r="H26" s="18" t="n">
        <v>1712281425.56199</v>
      </c>
      <c r="I26" s="18" t="n">
        <v>2919945955.59153</v>
      </c>
      <c r="J26" s="18" t="n">
        <v>1421964569.739601</v>
      </c>
      <c r="K26" s="18" t="n">
        <v>2629629099.769141</v>
      </c>
      <c r="L26" s="18" t="n">
        <v>44938187076.08826</v>
      </c>
    </row>
    <row r="27">
      <c r="A27" t="inlineStr">
        <is>
          <t>illustrative-quality</t>
        </is>
      </c>
      <c r="B27" s="18" t="n">
        <v>6</v>
      </c>
      <c r="C27" s="18" t="n">
        <v>148252375557.5245</v>
      </c>
      <c r="D27" s="18" t="n">
        <v>0</v>
      </c>
      <c r="E27" s="18" t="n">
        <v>63428309593.47433</v>
      </c>
      <c r="F27" s="18" t="n">
        <v>13319945014.62961</v>
      </c>
      <c r="G27" s="18" t="n">
        <v>50108364578.84473</v>
      </c>
      <c r="H27" s="18" t="n">
        <v>1811049696.316417</v>
      </c>
      <c r="I27" s="18" t="n">
        <v>3087205483.368437</v>
      </c>
      <c r="J27" s="18" t="n">
        <v>1169344789.93595</v>
      </c>
      <c r="K27" s="18" t="n">
        <v>2445500576.98797</v>
      </c>
      <c r="L27" s="18" t="n">
        <v>47662864001.85675</v>
      </c>
    </row>
    <row r="28">
      <c r="A28" t="inlineStr">
        <is>
          <t>illustrative-quality</t>
        </is>
      </c>
      <c r="B28" s="18" t="n">
        <v>7</v>
      </c>
      <c r="C28" s="18" t="n">
        <v>154839522461.3079</v>
      </c>
      <c r="D28" s="18" t="n">
        <v>0</v>
      </c>
      <c r="E28" s="18" t="n">
        <v>66186989136.1016</v>
      </c>
      <c r="F28" s="18" t="n">
        <v>13899267718.58134</v>
      </c>
      <c r="G28" s="18" t="n">
        <v>52287721417.52026</v>
      </c>
      <c r="H28" s="18" t="n">
        <v>1897474821.761773</v>
      </c>
      <c r="I28" s="18" t="n">
        <v>3233311038.795929</v>
      </c>
      <c r="J28" s="18" t="n">
        <v>1024719427.232883</v>
      </c>
      <c r="K28" s="18" t="n">
        <v>2360555644.267039</v>
      </c>
      <c r="L28" s="18" t="n">
        <v>49927165773.25323</v>
      </c>
    </row>
    <row r="29">
      <c r="A29" t="inlineStr">
        <is>
          <t>illustrative-quality</t>
        </is>
      </c>
      <c r="B29" s="18" t="n">
        <v>8</v>
      </c>
      <c r="C29" s="18" t="n">
        <v>160607985344.6024</v>
      </c>
      <c r="D29" s="18" t="n">
        <v>0</v>
      </c>
      <c r="E29" s="18" t="n">
        <v>68621909693.96675</v>
      </c>
      <c r="F29" s="18" t="n">
        <v>14410601035.73302</v>
      </c>
      <c r="G29" s="18" t="n">
        <v>54211308658.23373</v>
      </c>
      <c r="H29" s="18" t="n">
        <v>1971248224.556455</v>
      </c>
      <c r="I29" s="18" t="n">
        <v>3358392300.196188</v>
      </c>
      <c r="J29" s="18" t="n">
        <v>872527293.0814466</v>
      </c>
      <c r="K29" s="18" t="n">
        <v>2259671368.72118</v>
      </c>
      <c r="L29" s="18" t="n">
        <v>51951637289.51256</v>
      </c>
    </row>
    <row r="30">
      <c r="A30" t="inlineStr">
        <is>
          <t>illustrative-quality</t>
        </is>
      </c>
      <c r="B30" s="18" t="n">
        <v>9</v>
      </c>
      <c r="C30" s="18" t="n">
        <v>165426224904.9404</v>
      </c>
      <c r="D30" s="18" t="n">
        <v>0</v>
      </c>
      <c r="E30" s="18" t="n">
        <v>70680566984.78575</v>
      </c>
      <c r="F30" s="18" t="n">
        <v>14842919066.80501</v>
      </c>
      <c r="G30" s="18" t="n">
        <v>55837647917.98074</v>
      </c>
      <c r="H30" s="18" t="n">
        <v>2030385671.293149</v>
      </c>
      <c r="I30" s="18" t="n">
        <v>3459144069.202074</v>
      </c>
      <c r="J30" s="18" t="n">
        <v>696513214.171946</v>
      </c>
      <c r="K30" s="18" t="n">
        <v>2125271612.080872</v>
      </c>
      <c r="L30" s="18" t="n">
        <v>53712376305.89988</v>
      </c>
    </row>
    <row r="31">
      <c r="A31" t="inlineStr">
        <is>
          <t>illustrative-quality</t>
        </is>
      </c>
      <c r="B31" s="18" t="n">
        <v>10</v>
      </c>
      <c r="C31" s="18" t="n">
        <v>170389011652.0887</v>
      </c>
      <c r="D31" s="18" t="n">
        <v>0</v>
      </c>
      <c r="E31" s="18" t="n">
        <v>72800983994.32933</v>
      </c>
      <c r="F31" s="18" t="n">
        <v>15288206638.80916</v>
      </c>
      <c r="G31" s="18" t="n">
        <v>57512777355.52017</v>
      </c>
      <c r="H31" s="18" t="n">
        <v>2091297241.431943</v>
      </c>
      <c r="I31" s="18" t="n">
        <v>3562918391.278137</v>
      </c>
      <c r="J31" s="18" t="n">
        <v>717408610.5971065</v>
      </c>
      <c r="K31" s="18" t="n">
        <v>2189029760.4433</v>
      </c>
      <c r="L31" s="18" t="n">
        <v>55323747595.07687</v>
      </c>
    </row>
  </sheetData>
  <autoFilter ref="A1:L3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7" t="inlineStr">
        <is>
          <t>Scenario</t>
        </is>
      </c>
      <c r="B1" s="17" t="inlineStr">
        <is>
          <t>year</t>
        </is>
      </c>
      <c r="C1" s="17" t="inlineStr">
        <is>
          <t>name</t>
        </is>
      </c>
      <c r="D1" s="17" t="inlineStr">
        <is>
          <t>revenue</t>
        </is>
      </c>
      <c r="E1" s="17" t="inlineStr">
        <is>
          <t>operating_income</t>
        </is>
      </c>
      <c r="F1" s="17" t="inlineStr">
        <is>
          <t>depreciation</t>
        </is>
      </c>
      <c r="G1" s="17" t="inlineStr">
        <is>
          <t>capex</t>
        </is>
      </c>
      <c r="H1" s="17" t="inlineStr">
        <is>
          <t>change_in_working_capital</t>
        </is>
      </c>
    </row>
    <row r="2">
      <c r="A2" t="inlineStr">
        <is>
          <t>illustrative-growth</t>
        </is>
      </c>
      <c r="B2" s="18" t="n">
        <v>1</v>
      </c>
      <c r="C2" t="inlineStr">
        <is>
          <t>Semiconductor solutions (including AI)</t>
        </is>
      </c>
      <c r="D2" s="18" t="n">
        <v>77265500000</v>
      </c>
      <c r="E2" s="18" t="n">
        <v>30906200000</v>
      </c>
      <c r="F2" s="18" t="n">
        <v>1158982500</v>
      </c>
      <c r="G2" s="18" t="n">
        <v>1931637500</v>
      </c>
      <c r="H2" s="18" t="n">
        <v>3209490000</v>
      </c>
    </row>
    <row r="3">
      <c r="A3" t="inlineStr">
        <is>
          <t>illustrative-growth</t>
        </is>
      </c>
      <c r="B3" s="18" t="n">
        <v>1</v>
      </c>
      <c r="C3" t="inlineStr">
        <is>
          <t>Infrastructure software (including VMware)</t>
        </is>
      </c>
      <c r="D3" s="18" t="n">
        <v>33229280000</v>
      </c>
      <c r="E3" s="18" t="n">
        <v>16614640000</v>
      </c>
      <c r="F3" s="18" t="n">
        <v>166146400</v>
      </c>
      <c r="G3" s="18" t="n">
        <v>332292800.0000001</v>
      </c>
      <c r="H3" s="18" t="n">
        <v>178014000.0000002</v>
      </c>
    </row>
    <row r="4">
      <c r="A4" t="inlineStr">
        <is>
          <t>illustrative-growth</t>
        </is>
      </c>
      <c r="B4" s="18" t="n">
        <v>2</v>
      </c>
      <c r="C4" t="inlineStr">
        <is>
          <t>Semiconductor solutions (including AI)</t>
        </is>
      </c>
      <c r="D4" s="18" t="n">
        <v>96581875000</v>
      </c>
      <c r="E4" s="18" t="n">
        <v>38632750000</v>
      </c>
      <c r="F4" s="18" t="n">
        <v>1448728125</v>
      </c>
      <c r="G4" s="18" t="n">
        <v>2414546875</v>
      </c>
      <c r="H4" s="18" t="n">
        <v>3476947500</v>
      </c>
    </row>
    <row r="5">
      <c r="A5" t="inlineStr">
        <is>
          <t>illustrative-growth</t>
        </is>
      </c>
      <c r="B5" s="18" t="n">
        <v>2</v>
      </c>
      <c r="C5" t="inlineStr">
        <is>
          <t>Infrastructure software (including VMware)</t>
        </is>
      </c>
      <c r="D5" s="18" t="n">
        <v>36884500800.00001</v>
      </c>
      <c r="E5" s="18" t="n">
        <v>18442250400</v>
      </c>
      <c r="F5" s="18" t="n">
        <v>184422504</v>
      </c>
      <c r="G5" s="18" t="n">
        <v>368845008.0000001</v>
      </c>
      <c r="H5" s="18" t="n">
        <v>182761040.0000002</v>
      </c>
    </row>
    <row r="6">
      <c r="A6" t="inlineStr">
        <is>
          <t>illustrative-growth</t>
        </is>
      </c>
      <c r="B6" s="18" t="n">
        <v>3</v>
      </c>
      <c r="C6" t="inlineStr">
        <is>
          <t>Semiconductor solutions (including AI)</t>
        </is>
      </c>
      <c r="D6" s="18" t="n">
        <v>115898250000</v>
      </c>
      <c r="E6" s="18" t="n">
        <v>46359300000</v>
      </c>
      <c r="F6" s="18" t="n">
        <v>1738473750</v>
      </c>
      <c r="G6" s="18" t="n">
        <v>2897456250</v>
      </c>
      <c r="H6" s="18" t="n">
        <v>3476947500</v>
      </c>
    </row>
    <row r="7">
      <c r="A7" t="inlineStr">
        <is>
          <t>illustrative-growth</t>
        </is>
      </c>
      <c r="B7" s="18" t="n">
        <v>3</v>
      </c>
      <c r="C7" t="inlineStr">
        <is>
          <t>Infrastructure software (including VMware)</t>
        </is>
      </c>
      <c r="D7" s="18" t="n">
        <v>40572950880.00002</v>
      </c>
      <c r="E7" s="18" t="n">
        <v>20286475440.00001</v>
      </c>
      <c r="F7" s="18" t="n">
        <v>202864754.4000001</v>
      </c>
      <c r="G7" s="18" t="n">
        <v>405729508.8000002</v>
      </c>
      <c r="H7" s="18" t="n">
        <v>184422504.0000005</v>
      </c>
    </row>
    <row r="8">
      <c r="A8" t="inlineStr">
        <is>
          <t>illustrative-growth</t>
        </is>
      </c>
      <c r="B8" s="18" t="n">
        <v>4</v>
      </c>
      <c r="C8" t="inlineStr">
        <is>
          <t>Semiconductor solutions (including AI)</t>
        </is>
      </c>
      <c r="D8" s="18" t="n">
        <v>133282987500</v>
      </c>
      <c r="E8" s="18" t="n">
        <v>53313195000</v>
      </c>
      <c r="F8" s="18" t="n">
        <v>1999244812.5</v>
      </c>
      <c r="G8" s="18" t="n">
        <v>3332074687.5</v>
      </c>
      <c r="H8" s="18" t="n">
        <v>3129252749.999996</v>
      </c>
    </row>
    <row r="9">
      <c r="A9" t="inlineStr">
        <is>
          <t>illustrative-growth</t>
        </is>
      </c>
      <c r="B9" s="18" t="n">
        <v>4</v>
      </c>
      <c r="C9" t="inlineStr">
        <is>
          <t>Infrastructure software (including VMware)</t>
        </is>
      </c>
      <c r="D9" s="18" t="n">
        <v>44224516459.20002</v>
      </c>
      <c r="E9" s="18" t="n">
        <v>22112258229.60001</v>
      </c>
      <c r="F9" s="18" t="n">
        <v>221122582.2960001</v>
      </c>
      <c r="G9" s="18" t="n">
        <v>442245164.5920002</v>
      </c>
      <c r="H9" s="18" t="n">
        <v>182578278.96</v>
      </c>
    </row>
    <row r="10">
      <c r="A10" t="inlineStr">
        <is>
          <t>illustrative-growth</t>
        </is>
      </c>
      <c r="B10" s="18" t="n">
        <v>5</v>
      </c>
      <c r="C10" t="inlineStr">
        <is>
          <t>Semiconductor solutions (including AI)</t>
        </is>
      </c>
      <c r="D10" s="18" t="n">
        <v>149276946000</v>
      </c>
      <c r="E10" s="18" t="n">
        <v>59710778400</v>
      </c>
      <c r="F10" s="18" t="n">
        <v>2239154190</v>
      </c>
      <c r="G10" s="18" t="n">
        <v>3731923650</v>
      </c>
      <c r="H10" s="18" t="n">
        <v>2878912530.000004</v>
      </c>
    </row>
    <row r="11">
      <c r="A11" t="inlineStr">
        <is>
          <t>illustrative-growth</t>
        </is>
      </c>
      <c r="B11" s="18" t="n">
        <v>5</v>
      </c>
      <c r="C11" t="inlineStr">
        <is>
          <t>Infrastructure software (including VMware)</t>
        </is>
      </c>
      <c r="D11" s="18" t="n">
        <v>47762477775.93603</v>
      </c>
      <c r="E11" s="18" t="n">
        <v>23881238887.96801</v>
      </c>
      <c r="F11" s="18" t="n">
        <v>238812388.8796802</v>
      </c>
      <c r="G11" s="18" t="n">
        <v>477624777.7593603</v>
      </c>
      <c r="H11" s="18" t="n">
        <v>176898065.8368006</v>
      </c>
    </row>
    <row r="12">
      <c r="A12" t="inlineStr">
        <is>
          <t>illustrative-growth</t>
        </is>
      </c>
      <c r="B12" s="18" t="n">
        <v>6</v>
      </c>
      <c r="C12" t="inlineStr">
        <is>
          <t>Semiconductor solutions (including AI)</t>
        </is>
      </c>
      <c r="D12" s="18" t="n">
        <v>164204640600</v>
      </c>
      <c r="E12" s="18" t="n">
        <v>65681856240</v>
      </c>
      <c r="F12" s="18" t="n">
        <v>2463069609</v>
      </c>
      <c r="G12" s="18" t="n">
        <v>4105116015</v>
      </c>
      <c r="H12" s="18" t="n">
        <v>2686985028</v>
      </c>
    </row>
    <row r="13">
      <c r="A13" t="inlineStr">
        <is>
          <t>illustrative-growth</t>
        </is>
      </c>
      <c r="B13" s="18" t="n">
        <v>6</v>
      </c>
      <c r="C13" t="inlineStr">
        <is>
          <t>Infrastructure software (including VMware)</t>
        </is>
      </c>
      <c r="D13" s="18" t="n">
        <v>51105851220.25155</v>
      </c>
      <c r="E13" s="18" t="n">
        <v>25552925610.12577</v>
      </c>
      <c r="F13" s="18" t="n">
        <v>255529256.1012577</v>
      </c>
      <c r="G13" s="18" t="n">
        <v>511058512.2025155</v>
      </c>
      <c r="H13" s="18" t="n">
        <v>167168672.215776</v>
      </c>
    </row>
    <row r="14">
      <c r="A14" t="inlineStr">
        <is>
          <t>illustrative-growth</t>
        </is>
      </c>
      <c r="B14" s="18" t="n">
        <v>7</v>
      </c>
      <c r="C14" t="inlineStr">
        <is>
          <t>Semiconductor solutions (including AI)</t>
        </is>
      </c>
      <c r="D14" s="18" t="n">
        <v>177341011848</v>
      </c>
      <c r="E14" s="18" t="n">
        <v>70936404739.2</v>
      </c>
      <c r="F14" s="18" t="n">
        <v>2660115177.72</v>
      </c>
      <c r="G14" s="18" t="n">
        <v>4433525296.2</v>
      </c>
      <c r="H14" s="18" t="n">
        <v>2364546824.639999</v>
      </c>
    </row>
    <row r="15">
      <c r="A15" t="inlineStr">
        <is>
          <t>illustrative-growth</t>
        </is>
      </c>
      <c r="B15" s="18" t="n">
        <v>7</v>
      </c>
      <c r="C15" t="inlineStr">
        <is>
          <t>Infrastructure software (including VMware)</t>
        </is>
      </c>
      <c r="D15" s="18" t="n">
        <v>54172202293.46664</v>
      </c>
      <c r="E15" s="18" t="n">
        <v>27086101146.73332</v>
      </c>
      <c r="F15" s="18" t="n">
        <v>270861011.4673332</v>
      </c>
      <c r="G15" s="18" t="n">
        <v>541722022.9346664</v>
      </c>
      <c r="H15" s="18" t="n">
        <v>153317553.6607547</v>
      </c>
    </row>
    <row r="16">
      <c r="A16" t="inlineStr">
        <is>
          <t>illustrative-growth</t>
        </is>
      </c>
      <c r="B16" s="18" t="n">
        <v>8</v>
      </c>
      <c r="C16" t="inlineStr">
        <is>
          <t>Semiconductor solutions (including AI)</t>
        </is>
      </c>
      <c r="D16" s="18" t="n">
        <v>187981472558.88</v>
      </c>
      <c r="E16" s="18" t="n">
        <v>75192589023.552</v>
      </c>
      <c r="F16" s="18" t="n">
        <v>2819722088.3832</v>
      </c>
      <c r="G16" s="18" t="n">
        <v>4699536813.972</v>
      </c>
      <c r="H16" s="18" t="n">
        <v>1915282927.958401</v>
      </c>
    </row>
    <row r="17">
      <c r="A17" t="inlineStr">
        <is>
          <t>illustrative-growth</t>
        </is>
      </c>
      <c r="B17" s="18" t="n">
        <v>8</v>
      </c>
      <c r="C17" t="inlineStr">
        <is>
          <t>Infrastructure software (including VMware)</t>
        </is>
      </c>
      <c r="D17" s="18" t="n">
        <v>56880812408.13998</v>
      </c>
      <c r="E17" s="18" t="n">
        <v>28440406204.06999</v>
      </c>
      <c r="F17" s="18" t="n">
        <v>284404062.0406999</v>
      </c>
      <c r="G17" s="18" t="n">
        <v>568808124.0813998</v>
      </c>
      <c r="H17" s="18" t="n">
        <v>135430505.7336669</v>
      </c>
    </row>
    <row r="18">
      <c r="A18" t="inlineStr">
        <is>
          <t>illustrative-growth</t>
        </is>
      </c>
      <c r="B18" s="18" t="n">
        <v>9</v>
      </c>
      <c r="C18" t="inlineStr">
        <is>
          <t>Semiconductor solutions (including AI)</t>
        </is>
      </c>
      <c r="D18" s="18" t="n">
        <v>197380546186.824</v>
      </c>
      <c r="E18" s="18" t="n">
        <v>78952218474.7296</v>
      </c>
      <c r="F18" s="18" t="n">
        <v>2960708192.80236</v>
      </c>
      <c r="G18" s="18" t="n">
        <v>4934513654.6706</v>
      </c>
      <c r="H18" s="18" t="n">
        <v>1691833253.029919</v>
      </c>
    </row>
    <row r="19">
      <c r="A19" t="inlineStr">
        <is>
          <t>illustrative-growth</t>
        </is>
      </c>
      <c r="B19" s="18" t="n">
        <v>9</v>
      </c>
      <c r="C19" t="inlineStr">
        <is>
          <t>Infrastructure software (including VMware)</t>
        </is>
      </c>
      <c r="D19" s="18" t="n">
        <v>59156044904.46558</v>
      </c>
      <c r="E19" s="18" t="n">
        <v>29578022452.23279</v>
      </c>
      <c r="F19" s="18" t="n">
        <v>295780224.5223279</v>
      </c>
      <c r="G19" s="18" t="n">
        <v>591560449.0446558</v>
      </c>
      <c r="H19" s="18" t="n">
        <v>113761624.8162799</v>
      </c>
    </row>
    <row r="20">
      <c r="A20" t="inlineStr">
        <is>
          <t>illustrative-growth</t>
        </is>
      </c>
      <c r="B20" s="18" t="n">
        <v>10</v>
      </c>
      <c r="C20" t="inlineStr">
        <is>
          <t>Semiconductor solutions (including AI)</t>
        </is>
      </c>
      <c r="D20" s="18" t="n">
        <v>205275768034.297</v>
      </c>
      <c r="E20" s="18" t="n">
        <v>82110307213.7188</v>
      </c>
      <c r="F20" s="18" t="n">
        <v>3079136520.514454</v>
      </c>
      <c r="G20" s="18" t="n">
        <v>5131894200.857425</v>
      </c>
      <c r="H20" s="18" t="n">
        <v>1421139932.545135</v>
      </c>
    </row>
    <row r="21">
      <c r="A21" t="inlineStr">
        <is>
          <t>illustrative-growth</t>
        </is>
      </c>
      <c r="B21" s="18" t="n">
        <v>10</v>
      </c>
      <c r="C21" t="inlineStr">
        <is>
          <t>Infrastructure software (including VMware)</t>
        </is>
      </c>
      <c r="D21" s="18" t="n">
        <v>60930726251.59955</v>
      </c>
      <c r="E21" s="18" t="n">
        <v>30465363125.79977</v>
      </c>
      <c r="F21" s="18" t="n">
        <v>304653631.2579978</v>
      </c>
      <c r="G21" s="18" t="n">
        <v>609307262.5159955</v>
      </c>
      <c r="H21" s="18" t="n">
        <v>88734067.35669851</v>
      </c>
    </row>
    <row r="22">
      <c r="A22" t="inlineStr">
        <is>
          <t>illustrative-garp</t>
        </is>
      </c>
      <c r="B22" s="18" t="n">
        <v>1</v>
      </c>
      <c r="C22" t="inlineStr">
        <is>
          <t>Semiconductor solutions (including AI)</t>
        </is>
      </c>
      <c r="D22" s="18" t="n">
        <v>71322000000</v>
      </c>
      <c r="E22" s="18" t="n">
        <v>28528800000</v>
      </c>
      <c r="F22" s="18" t="n">
        <v>1069830000</v>
      </c>
      <c r="G22" s="18" t="n">
        <v>1783050000</v>
      </c>
      <c r="H22" s="18" t="n">
        <v>2139660000</v>
      </c>
    </row>
    <row r="23">
      <c r="A23" t="inlineStr">
        <is>
          <t>illustrative-garp</t>
        </is>
      </c>
      <c r="B23" s="18" t="n">
        <v>1</v>
      </c>
      <c r="C23" t="inlineStr">
        <is>
          <t>Infrastructure software (including VMware)</t>
        </is>
      </c>
      <c r="D23" s="18" t="n">
        <v>32635900000</v>
      </c>
      <c r="E23" s="18" t="n">
        <v>16317950000</v>
      </c>
      <c r="F23" s="18" t="n">
        <v>163179500</v>
      </c>
      <c r="G23" s="18" t="n">
        <v>326359000.0000001</v>
      </c>
      <c r="H23" s="18" t="n">
        <v>148345000.0000002</v>
      </c>
    </row>
    <row r="24">
      <c r="A24" t="inlineStr">
        <is>
          <t>illustrative-garp</t>
        </is>
      </c>
      <c r="B24" s="18" t="n">
        <v>2</v>
      </c>
      <c r="C24" t="inlineStr">
        <is>
          <t>Semiconductor solutions (including AI)</t>
        </is>
      </c>
      <c r="D24" s="18" t="n">
        <v>84159960000</v>
      </c>
      <c r="E24" s="18" t="n">
        <v>33663984000</v>
      </c>
      <c r="F24" s="18" t="n">
        <v>1262399400</v>
      </c>
      <c r="G24" s="18" t="n">
        <v>2103999000</v>
      </c>
      <c r="H24" s="18" t="n">
        <v>2310832800</v>
      </c>
    </row>
    <row r="25">
      <c r="A25" t="inlineStr">
        <is>
          <t>illustrative-garp</t>
        </is>
      </c>
      <c r="B25" s="18" t="n">
        <v>2</v>
      </c>
      <c r="C25" t="inlineStr">
        <is>
          <t>Infrastructure software (including VMware)</t>
        </is>
      </c>
      <c r="D25" s="18" t="n">
        <v>35573131000.00001</v>
      </c>
      <c r="E25" s="18" t="n">
        <v>17786565500</v>
      </c>
      <c r="F25" s="18" t="n">
        <v>177865655</v>
      </c>
      <c r="G25" s="18" t="n">
        <v>355731310.0000001</v>
      </c>
      <c r="H25" s="18" t="n">
        <v>146861550.0000002</v>
      </c>
    </row>
    <row r="26">
      <c r="A26" t="inlineStr">
        <is>
          <t>illustrative-garp</t>
        </is>
      </c>
      <c r="B26" s="18" t="n">
        <v>3</v>
      </c>
      <c r="C26" t="inlineStr">
        <is>
          <t>Semiconductor solutions (including AI)</t>
        </is>
      </c>
      <c r="D26" s="18" t="n">
        <v>96783954000</v>
      </c>
      <c r="E26" s="18" t="n">
        <v>38713581600</v>
      </c>
      <c r="F26" s="18" t="n">
        <v>1451759310</v>
      </c>
      <c r="G26" s="18" t="n">
        <v>2419598850</v>
      </c>
      <c r="H26" s="18" t="n">
        <v>2272318920</v>
      </c>
    </row>
    <row r="27">
      <c r="A27" t="inlineStr">
        <is>
          <t>illustrative-garp</t>
        </is>
      </c>
      <c r="B27" s="18" t="n">
        <v>3</v>
      </c>
      <c r="C27" t="inlineStr">
        <is>
          <t>Infrastructure software (including VMware)</t>
        </is>
      </c>
      <c r="D27" s="18" t="n">
        <v>38418981480.00001</v>
      </c>
      <c r="E27" s="18" t="n">
        <v>19209490740</v>
      </c>
      <c r="F27" s="18" t="n">
        <v>192094907.4</v>
      </c>
      <c r="G27" s="18" t="n">
        <v>384189814.8000001</v>
      </c>
      <c r="H27" s="18" t="n">
        <v>142292524</v>
      </c>
    </row>
    <row r="28">
      <c r="A28" t="inlineStr">
        <is>
          <t>illustrative-garp</t>
        </is>
      </c>
      <c r="B28" s="18" t="n">
        <v>4</v>
      </c>
      <c r="C28" t="inlineStr">
        <is>
          <t>Semiconductor solutions (including AI)</t>
        </is>
      </c>
      <c r="D28" s="18" t="n">
        <v>108398028480</v>
      </c>
      <c r="E28" s="18" t="n">
        <v>43359211392.00001</v>
      </c>
      <c r="F28" s="18" t="n">
        <v>1625970427.2</v>
      </c>
      <c r="G28" s="18" t="n">
        <v>2709950712</v>
      </c>
      <c r="H28" s="18" t="n">
        <v>2090533406.400002</v>
      </c>
    </row>
    <row r="29">
      <c r="A29" t="inlineStr">
        <is>
          <t>illustrative-garp</t>
        </is>
      </c>
      <c r="B29" s="18" t="n">
        <v>4</v>
      </c>
      <c r="C29" t="inlineStr">
        <is>
          <t>Infrastructure software (including VMware)</t>
        </is>
      </c>
      <c r="D29" s="18" t="n">
        <v>41108310183.60001</v>
      </c>
      <c r="E29" s="18" t="n">
        <v>20554155091.80001</v>
      </c>
      <c r="F29" s="18" t="n">
        <v>205541550.9180001</v>
      </c>
      <c r="G29" s="18" t="n">
        <v>411083101.8360001</v>
      </c>
      <c r="H29" s="18" t="n">
        <v>134466435.1800003</v>
      </c>
    </row>
    <row r="30">
      <c r="A30" t="inlineStr">
        <is>
          <t>illustrative-garp</t>
        </is>
      </c>
      <c r="B30" s="18" t="n">
        <v>5</v>
      </c>
      <c r="C30" t="inlineStr">
        <is>
          <t>Semiconductor solutions (including AI)</t>
        </is>
      </c>
      <c r="D30" s="18" t="n">
        <v>119237831328</v>
      </c>
      <c r="E30" s="18" t="n">
        <v>47695132531.20001</v>
      </c>
      <c r="F30" s="18" t="n">
        <v>1788567469.92</v>
      </c>
      <c r="G30" s="18" t="n">
        <v>2980945783.200001</v>
      </c>
      <c r="H30" s="18" t="n">
        <v>1951164512.640003</v>
      </c>
    </row>
    <row r="31">
      <c r="A31" t="inlineStr">
        <is>
          <t>illustrative-garp</t>
        </is>
      </c>
      <c r="B31" s="18" t="n">
        <v>5</v>
      </c>
      <c r="C31" t="inlineStr">
        <is>
          <t>Infrastructure software (including VMware)</t>
        </is>
      </c>
      <c r="D31" s="18" t="n">
        <v>43574808794.61602</v>
      </c>
      <c r="E31" s="18" t="n">
        <v>21787404397.30801</v>
      </c>
      <c r="F31" s="18" t="n">
        <v>217874043.9730801</v>
      </c>
      <c r="G31" s="18" t="n">
        <v>435748087.9461602</v>
      </c>
      <c r="H31" s="18" t="n">
        <v>123324930.5508003</v>
      </c>
    </row>
    <row r="32">
      <c r="A32" t="inlineStr">
        <is>
          <t>illustrative-garp</t>
        </is>
      </c>
      <c r="B32" s="18" t="n">
        <v>6</v>
      </c>
      <c r="C32" t="inlineStr">
        <is>
          <t>Semiconductor solutions (including AI)</t>
        </is>
      </c>
      <c r="D32" s="18" t="n">
        <v>128776857834.24</v>
      </c>
      <c r="E32" s="18" t="n">
        <v>51510743133.69601</v>
      </c>
      <c r="F32" s="18" t="n">
        <v>1931652867.513601</v>
      </c>
      <c r="G32" s="18" t="n">
        <v>3219421445.856001</v>
      </c>
      <c r="H32" s="18" t="n">
        <v>1717024771.123199</v>
      </c>
    </row>
    <row r="33">
      <c r="A33" t="inlineStr">
        <is>
          <t>illustrative-garp</t>
        </is>
      </c>
      <c r="B33" s="18" t="n">
        <v>6</v>
      </c>
      <c r="C33" t="inlineStr">
        <is>
          <t>Infrastructure software (including VMware)</t>
        </is>
      </c>
      <c r="D33" s="18" t="n">
        <v>45753549234.34682</v>
      </c>
      <c r="E33" s="18" t="n">
        <v>22876774617.17341</v>
      </c>
      <c r="F33" s="18" t="n">
        <v>228767746.1717341</v>
      </c>
      <c r="G33" s="18" t="n">
        <v>457535492.3434682</v>
      </c>
      <c r="H33" s="18" t="n">
        <v>108937021.9865403</v>
      </c>
    </row>
    <row r="34">
      <c r="A34" t="inlineStr">
        <is>
          <t>illustrative-garp</t>
        </is>
      </c>
      <c r="B34" s="18" t="n">
        <v>7</v>
      </c>
      <c r="C34" t="inlineStr">
        <is>
          <t>Semiconductor solutions (including AI)</t>
        </is>
      </c>
      <c r="D34" s="18" t="n">
        <v>136503469304.2944</v>
      </c>
      <c r="E34" s="18" t="n">
        <v>54601387721.71778</v>
      </c>
      <c r="F34" s="18" t="n">
        <v>2047552039.564417</v>
      </c>
      <c r="G34" s="18" t="n">
        <v>3412586732.607361</v>
      </c>
      <c r="H34" s="18" t="n">
        <v>1390790064.609795</v>
      </c>
    </row>
    <row r="35">
      <c r="A35" t="inlineStr">
        <is>
          <t>illustrative-garp</t>
        </is>
      </c>
      <c r="B35" s="18" t="n">
        <v>7</v>
      </c>
      <c r="C35" t="inlineStr">
        <is>
          <t>Infrastructure software (including VMware)</t>
        </is>
      </c>
      <c r="D35" s="18" t="n">
        <v>47583691203.7207</v>
      </c>
      <c r="E35" s="18" t="n">
        <v>23791845601.86035</v>
      </c>
      <c r="F35" s="18" t="n">
        <v>237918456.0186035</v>
      </c>
      <c r="G35" s="18" t="n">
        <v>475836912.0372069</v>
      </c>
      <c r="H35" s="18" t="n">
        <v>91507098.46869326</v>
      </c>
    </row>
    <row r="36">
      <c r="A36" t="inlineStr">
        <is>
          <t>illustrative-garp</t>
        </is>
      </c>
      <c r="B36" s="18" t="n">
        <v>8</v>
      </c>
      <c r="C36" t="inlineStr">
        <is>
          <t>Semiconductor solutions (including AI)</t>
        </is>
      </c>
      <c r="D36" s="18" t="n">
        <v>143328642769.5092</v>
      </c>
      <c r="E36" s="18" t="n">
        <v>57331457107.80368</v>
      </c>
      <c r="F36" s="18" t="n">
        <v>2149929641.542638</v>
      </c>
      <c r="G36" s="18" t="n">
        <v>3583216069.23773</v>
      </c>
      <c r="H36" s="18" t="n">
        <v>1228531223.738655</v>
      </c>
    </row>
    <row r="37">
      <c r="A37" t="inlineStr">
        <is>
          <t>illustrative-garp</t>
        </is>
      </c>
      <c r="B37" s="18" t="n">
        <v>8</v>
      </c>
      <c r="C37" t="inlineStr">
        <is>
          <t>Infrastructure software (including VMware)</t>
        </is>
      </c>
      <c r="D37" s="18" t="n">
        <v>49011201939.83232</v>
      </c>
      <c r="E37" s="18" t="n">
        <v>24505600969.91616</v>
      </c>
      <c r="F37" s="18" t="n">
        <v>245056009.6991616</v>
      </c>
      <c r="G37" s="18" t="n">
        <v>490112019.3983232</v>
      </c>
      <c r="H37" s="18" t="n">
        <v>71375536.80558157</v>
      </c>
    </row>
    <row r="38">
      <c r="A38" t="inlineStr">
        <is>
          <t>illustrative-garp</t>
        </is>
      </c>
      <c r="B38" s="18" t="n">
        <v>9</v>
      </c>
      <c r="C38" t="inlineStr">
        <is>
          <t>Semiconductor solutions (including AI)</t>
        </is>
      </c>
      <c r="D38" s="18" t="n">
        <v>149061788480.2896</v>
      </c>
      <c r="E38" s="18" t="n">
        <v>59624715392.11582</v>
      </c>
      <c r="F38" s="18" t="n">
        <v>2235926827.204343</v>
      </c>
      <c r="G38" s="18" t="n">
        <v>3726544712.007239</v>
      </c>
      <c r="H38" s="18" t="n">
        <v>1031966227.940464</v>
      </c>
    </row>
    <row r="39">
      <c r="A39" t="inlineStr">
        <is>
          <t>illustrative-garp</t>
        </is>
      </c>
      <c r="B39" s="18" t="n">
        <v>9</v>
      </c>
      <c r="C39" t="inlineStr">
        <is>
          <t>Infrastructure software (including VMware)</t>
        </is>
      </c>
      <c r="D39" s="18" t="n">
        <v>50481537998.02729</v>
      </c>
      <c r="E39" s="18" t="n">
        <v>25240768999.01365</v>
      </c>
      <c r="F39" s="18" t="n">
        <v>252407689.9901364</v>
      </c>
      <c r="G39" s="18" t="n">
        <v>504815379.9802729</v>
      </c>
      <c r="H39" s="18" t="n">
        <v>73516802.90974855</v>
      </c>
    </row>
    <row r="40">
      <c r="A40" t="inlineStr">
        <is>
          <t>illustrative-garp</t>
        </is>
      </c>
      <c r="B40" s="18" t="n">
        <v>10</v>
      </c>
      <c r="C40" t="inlineStr">
        <is>
          <t>Semiconductor solutions (including AI)</t>
        </is>
      </c>
      <c r="D40" s="18" t="n">
        <v>153533642134.6982</v>
      </c>
      <c r="E40" s="18" t="n">
        <v>61413456853.8793</v>
      </c>
      <c r="F40" s="18" t="n">
        <v>2303004632.020473</v>
      </c>
      <c r="G40" s="18" t="n">
        <v>3838341053.367456</v>
      </c>
      <c r="H40" s="18" t="n">
        <v>804933657.7935638</v>
      </c>
    </row>
    <row r="41">
      <c r="A41" t="inlineStr">
        <is>
          <t>illustrative-garp</t>
        </is>
      </c>
      <c r="B41" s="18" t="n">
        <v>10</v>
      </c>
      <c r="C41" t="inlineStr">
        <is>
          <t>Infrastructure software (including VMware)</t>
        </is>
      </c>
      <c r="D41" s="18" t="n">
        <v>51995984137.96811</v>
      </c>
      <c r="E41" s="18" t="n">
        <v>25997992068.98405</v>
      </c>
      <c r="F41" s="18" t="n">
        <v>259979920.6898406</v>
      </c>
      <c r="G41" s="18" t="n">
        <v>519959841.3796811</v>
      </c>
      <c r="H41" s="18" t="n">
        <v>75722306.99704075</v>
      </c>
    </row>
    <row r="42">
      <c r="A42" t="inlineStr">
        <is>
          <t>illustrative-quality</t>
        </is>
      </c>
      <c r="B42" s="18" t="n">
        <v>1</v>
      </c>
      <c r="C42" t="inlineStr">
        <is>
          <t>Semiconductor solutions (including AI)</t>
        </is>
      </c>
      <c r="D42" s="18" t="n">
        <v>68350249999.99999</v>
      </c>
      <c r="E42" s="18" t="n">
        <v>27340100000</v>
      </c>
      <c r="F42" s="18" t="n">
        <v>1025253750</v>
      </c>
      <c r="G42" s="18" t="n">
        <v>1708756250</v>
      </c>
      <c r="H42" s="18" t="n">
        <v>1604744999.999998</v>
      </c>
    </row>
    <row r="43">
      <c r="A43" t="inlineStr">
        <is>
          <t>illustrative-quality</t>
        </is>
      </c>
      <c r="B43" s="18" t="n">
        <v>1</v>
      </c>
      <c r="C43" t="inlineStr">
        <is>
          <t>Infrastructure software (including VMware)</t>
        </is>
      </c>
      <c r="D43" s="18" t="n">
        <v>32042520000</v>
      </c>
      <c r="E43" s="18" t="n">
        <v>16021260000</v>
      </c>
      <c r="F43" s="18" t="n">
        <v>160212600</v>
      </c>
      <c r="G43" s="18" t="n">
        <v>320425200.0000001</v>
      </c>
      <c r="H43" s="18" t="n">
        <v>118676000.0000002</v>
      </c>
    </row>
    <row r="44">
      <c r="A44" t="inlineStr">
        <is>
          <t>illustrative-quality</t>
        </is>
      </c>
      <c r="B44" s="18" t="n">
        <v>2</v>
      </c>
      <c r="C44" t="inlineStr">
        <is>
          <t>Semiconductor solutions (including AI)</t>
        </is>
      </c>
      <c r="D44" s="18" t="n">
        <v>77235782499.99998</v>
      </c>
      <c r="E44" s="18" t="n">
        <v>30894313000</v>
      </c>
      <c r="F44" s="18" t="n">
        <v>1158536737.5</v>
      </c>
      <c r="G44" s="18" t="n">
        <v>1930894562.5</v>
      </c>
      <c r="H44" s="18" t="n">
        <v>1599395849.999998</v>
      </c>
    </row>
    <row r="45">
      <c r="A45" t="inlineStr">
        <is>
          <t>illustrative-quality</t>
        </is>
      </c>
      <c r="B45" s="18" t="n">
        <v>2</v>
      </c>
      <c r="C45" t="inlineStr">
        <is>
          <t>Infrastructure software (including VMware)</t>
        </is>
      </c>
      <c r="D45" s="18" t="n">
        <v>34285496400.00001</v>
      </c>
      <c r="E45" s="18" t="n">
        <v>17142748200</v>
      </c>
      <c r="F45" s="18" t="n">
        <v>171427482</v>
      </c>
      <c r="G45" s="18" t="n">
        <v>342854964.0000001</v>
      </c>
      <c r="H45" s="18" t="n">
        <v>112148820.0000002</v>
      </c>
    </row>
    <row r="46">
      <c r="A46" t="inlineStr">
        <is>
          <t>illustrative-quality</t>
        </is>
      </c>
      <c r="B46" s="18" t="n">
        <v>3</v>
      </c>
      <c r="C46" t="inlineStr">
        <is>
          <t>Semiconductor solutions (including AI)</t>
        </is>
      </c>
      <c r="D46" s="18" t="n">
        <v>85731718574.99998</v>
      </c>
      <c r="E46" s="18" t="n">
        <v>34292687430</v>
      </c>
      <c r="F46" s="18" t="n">
        <v>1285975778.625</v>
      </c>
      <c r="G46" s="18" t="n">
        <v>2143292964.375</v>
      </c>
      <c r="H46" s="18" t="n">
        <v>1529268493.5</v>
      </c>
    </row>
    <row r="47">
      <c r="A47" t="inlineStr">
        <is>
          <t>illustrative-quality</t>
        </is>
      </c>
      <c r="B47" s="18" t="n">
        <v>3</v>
      </c>
      <c r="C47" t="inlineStr">
        <is>
          <t>Infrastructure software (including VMware)</t>
        </is>
      </c>
      <c r="D47" s="18" t="n">
        <v>36342626184.00001</v>
      </c>
      <c r="E47" s="18" t="n">
        <v>18171313092</v>
      </c>
      <c r="F47" s="18" t="n">
        <v>181713130.92</v>
      </c>
      <c r="G47" s="18" t="n">
        <v>363426261.8400001</v>
      </c>
      <c r="H47" s="18" t="n">
        <v>102856489.2</v>
      </c>
    </row>
    <row r="48">
      <c r="A48" t="inlineStr">
        <is>
          <t>illustrative-quality</t>
        </is>
      </c>
      <c r="B48" s="18" t="n">
        <v>4</v>
      </c>
      <c r="C48" t="inlineStr">
        <is>
          <t>Semiconductor solutions (including AI)</t>
        </is>
      </c>
      <c r="D48" s="18" t="n">
        <v>93447573246.74998</v>
      </c>
      <c r="E48" s="18" t="n">
        <v>37379029298.7</v>
      </c>
      <c r="F48" s="18" t="n">
        <v>1401713598.70125</v>
      </c>
      <c r="G48" s="18" t="n">
        <v>2336189331.16875</v>
      </c>
      <c r="H48" s="18" t="n">
        <v>1388853840.915001</v>
      </c>
    </row>
    <row r="49">
      <c r="A49" t="inlineStr">
        <is>
          <t>illustrative-quality</t>
        </is>
      </c>
      <c r="B49" s="18" t="n">
        <v>4</v>
      </c>
      <c r="C49" t="inlineStr">
        <is>
          <t>Infrastructure software (including VMware)</t>
        </is>
      </c>
      <c r="D49" s="18" t="n">
        <v>38159757493.20001</v>
      </c>
      <c r="E49" s="18" t="n">
        <v>19079878746.60001</v>
      </c>
      <c r="F49" s="18" t="n">
        <v>190798787.4660001</v>
      </c>
      <c r="G49" s="18" t="n">
        <v>381597574.9320001</v>
      </c>
      <c r="H49" s="18" t="n">
        <v>90856565.46000028</v>
      </c>
    </row>
    <row r="50">
      <c r="A50" t="inlineStr">
        <is>
          <t>illustrative-quality</t>
        </is>
      </c>
      <c r="B50" s="18" t="n">
        <v>5</v>
      </c>
      <c r="C50" t="inlineStr">
        <is>
          <t>Semiconductor solutions (including AI)</t>
        </is>
      </c>
      <c r="D50" s="18" t="n">
        <v>100923379106.49</v>
      </c>
      <c r="E50" s="18" t="n">
        <v>40369351642.596</v>
      </c>
      <c r="F50" s="18" t="n">
        <v>1513850686.59735</v>
      </c>
      <c r="G50" s="18" t="n">
        <v>2523084477.66225</v>
      </c>
      <c r="H50" s="18" t="n">
        <v>1345645054.753201</v>
      </c>
    </row>
    <row r="51">
      <c r="A51" t="inlineStr">
        <is>
          <t>illustrative-quality</t>
        </is>
      </c>
      <c r="B51" s="18" t="n">
        <v>5</v>
      </c>
      <c r="C51" t="inlineStr">
        <is>
          <t>Infrastructure software (including VMware)</t>
        </is>
      </c>
      <c r="D51" s="18" t="n">
        <v>39686147792.92802</v>
      </c>
      <c r="E51" s="18" t="n">
        <v>19843073896.46401</v>
      </c>
      <c r="F51" s="18" t="n">
        <v>198430738.9646401</v>
      </c>
      <c r="G51" s="18" t="n">
        <v>396861477.9292802</v>
      </c>
      <c r="H51" s="18" t="n">
        <v>76319514.98640013</v>
      </c>
    </row>
    <row r="52">
      <c r="A52" t="inlineStr">
        <is>
          <t>illustrative-quality</t>
        </is>
      </c>
      <c r="B52" s="18" t="n">
        <v>6</v>
      </c>
      <c r="C52" t="inlineStr">
        <is>
          <t>Semiconductor solutions (including AI)</t>
        </is>
      </c>
      <c r="D52" s="18" t="n">
        <v>106978781852.8794</v>
      </c>
      <c r="E52" s="18" t="n">
        <v>42791512741.15176</v>
      </c>
      <c r="F52" s="18" t="n">
        <v>1604681727.793191</v>
      </c>
      <c r="G52" s="18" t="n">
        <v>2674469546.321985</v>
      </c>
      <c r="H52" s="18" t="n">
        <v>1089972494.350094</v>
      </c>
    </row>
    <row r="53">
      <c r="A53" t="inlineStr">
        <is>
          <t>illustrative-quality</t>
        </is>
      </c>
      <c r="B53" s="18" t="n">
        <v>6</v>
      </c>
      <c r="C53" t="inlineStr">
        <is>
          <t>Infrastructure software (including VMware)</t>
        </is>
      </c>
      <c r="D53" s="18" t="n">
        <v>41273593704.64514</v>
      </c>
      <c r="E53" s="18" t="n">
        <v>20636796852.32257</v>
      </c>
      <c r="F53" s="18" t="n">
        <v>206367968.5232257</v>
      </c>
      <c r="G53" s="18" t="n">
        <v>412735937.0464514</v>
      </c>
      <c r="H53" s="18" t="n">
        <v>79372295.5858562</v>
      </c>
    </row>
    <row r="54">
      <c r="A54" t="inlineStr">
        <is>
          <t>illustrative-quality</t>
        </is>
      </c>
      <c r="B54" s="18" t="n">
        <v>7</v>
      </c>
      <c r="C54" t="inlineStr">
        <is>
          <t>Semiconductor solutions (including AI)</t>
        </is>
      </c>
      <c r="D54" s="18" t="n">
        <v>112327720945.5234</v>
      </c>
      <c r="E54" s="18" t="n">
        <v>44931088378.20935</v>
      </c>
      <c r="F54" s="18" t="n">
        <v>1684915814.182851</v>
      </c>
      <c r="G54" s="18" t="n">
        <v>2808193023.638084</v>
      </c>
      <c r="H54" s="18" t="n">
        <v>962809036.6759148</v>
      </c>
    </row>
    <row r="55">
      <c r="A55" t="inlineStr">
        <is>
          <t>illustrative-quality</t>
        </is>
      </c>
      <c r="B55" s="18" t="n">
        <v>7</v>
      </c>
      <c r="C55" t="inlineStr">
        <is>
          <t>Infrastructure software (including VMware)</t>
        </is>
      </c>
      <c r="D55" s="18" t="n">
        <v>42511801515.7845</v>
      </c>
      <c r="E55" s="18" t="n">
        <v>21255900757.89225</v>
      </c>
      <c r="F55" s="18" t="n">
        <v>212559007.5789225</v>
      </c>
      <c r="G55" s="18" t="n">
        <v>425118015.157845</v>
      </c>
      <c r="H55" s="18" t="n">
        <v>61910390.55696797</v>
      </c>
    </row>
    <row r="56">
      <c r="A56" t="inlineStr">
        <is>
          <t>illustrative-quality</t>
        </is>
      </c>
      <c r="B56" s="18" t="n">
        <v>8</v>
      </c>
      <c r="C56" t="inlineStr">
        <is>
          <t>Semiconductor solutions (including AI)</t>
        </is>
      </c>
      <c r="D56" s="18" t="n">
        <v>116820829783.3443</v>
      </c>
      <c r="E56" s="18" t="n">
        <v>46728331913.33773</v>
      </c>
      <c r="F56" s="18" t="n">
        <v>1752312446.750165</v>
      </c>
      <c r="G56" s="18" t="n">
        <v>2920520744.583608</v>
      </c>
      <c r="H56" s="18" t="n">
        <v>808759590.8077698</v>
      </c>
    </row>
    <row r="57">
      <c r="A57" t="inlineStr">
        <is>
          <t>illustrative-quality</t>
        </is>
      </c>
      <c r="B57" s="18" t="n">
        <v>8</v>
      </c>
      <c r="C57" t="inlineStr">
        <is>
          <t>Infrastructure software (including VMware)</t>
        </is>
      </c>
      <c r="D57" s="18" t="n">
        <v>43787155561.25803</v>
      </c>
      <c r="E57" s="18" t="n">
        <v>21893577780.62902</v>
      </c>
      <c r="F57" s="18" t="n">
        <v>218935777.8062902</v>
      </c>
      <c r="G57" s="18" t="n">
        <v>437871555.6125804</v>
      </c>
      <c r="H57" s="18" t="n">
        <v>63767702.27367687</v>
      </c>
    </row>
    <row r="58">
      <c r="A58" t="inlineStr">
        <is>
          <t>illustrative-quality</t>
        </is>
      </c>
      <c r="B58" s="18" t="n">
        <v>9</v>
      </c>
      <c r="C58" t="inlineStr">
        <is>
          <t>Semiconductor solutions (including AI)</t>
        </is>
      </c>
      <c r="D58" s="18" t="n">
        <v>120325454676.8447</v>
      </c>
      <c r="E58" s="18" t="n">
        <v>48130181870.73786</v>
      </c>
      <c r="F58" s="18" t="n">
        <v>1804881820.15267</v>
      </c>
      <c r="G58" s="18" t="n">
        <v>3008136366.921116</v>
      </c>
      <c r="H58" s="18" t="n">
        <v>630832480.8300591</v>
      </c>
    </row>
    <row r="59">
      <c r="A59" t="inlineStr">
        <is>
          <t>illustrative-quality</t>
        </is>
      </c>
      <c r="B59" s="18" t="n">
        <v>9</v>
      </c>
      <c r="C59" t="inlineStr">
        <is>
          <t>Infrastructure software (including VMware)</t>
        </is>
      </c>
      <c r="D59" s="18" t="n">
        <v>45100770228.09578</v>
      </c>
      <c r="E59" s="18" t="n">
        <v>22550385114.04789</v>
      </c>
      <c r="F59" s="18" t="n">
        <v>225503851.1404789</v>
      </c>
      <c r="G59" s="18" t="n">
        <v>451007702.2809578</v>
      </c>
      <c r="H59" s="18" t="n">
        <v>65680733.341887</v>
      </c>
    </row>
    <row r="60">
      <c r="A60" t="inlineStr">
        <is>
          <t>illustrative-quality</t>
        </is>
      </c>
      <c r="B60" s="18" t="n">
        <v>10</v>
      </c>
      <c r="C60" t="inlineStr">
        <is>
          <t>Semiconductor solutions (including AI)</t>
        </is>
      </c>
      <c r="D60" s="18" t="n">
        <v>123935218317.15</v>
      </c>
      <c r="E60" s="18" t="n">
        <v>49574087326.86</v>
      </c>
      <c r="F60" s="18" t="n">
        <v>1859028274.75725</v>
      </c>
      <c r="G60" s="18" t="n">
        <v>3098380457.92875</v>
      </c>
      <c r="H60" s="18" t="n">
        <v>649757455.2549629</v>
      </c>
    </row>
    <row r="61">
      <c r="A61" t="inlineStr">
        <is>
          <t>illustrative-quality</t>
        </is>
      </c>
      <c r="B61" s="18" t="n">
        <v>10</v>
      </c>
      <c r="C61" t="inlineStr">
        <is>
          <t>Infrastructure software (including VMware)</t>
        </is>
      </c>
      <c r="D61" s="18" t="n">
        <v>46453793334.93865</v>
      </c>
      <c r="E61" s="18" t="n">
        <v>23226896667.46933</v>
      </c>
      <c r="F61" s="18" t="n">
        <v>232268966.6746933</v>
      </c>
      <c r="G61" s="18" t="n">
        <v>464537933.3493865</v>
      </c>
      <c r="H61" s="18" t="n">
        <v>67651155.34214354</v>
      </c>
    </row>
  </sheetData>
  <autoFilter ref="A1:H6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7" t="inlineStr">
        <is>
          <t>Basis/scenario</t>
        </is>
      </c>
      <c r="B1" s="17" t="inlineStr">
        <is>
          <t>WACC (ratio)</t>
        </is>
      </c>
      <c r="C1" s="17" t="inlineStr">
        <is>
          <t>FCFF growth (ratio)</t>
        </is>
      </c>
      <c r="D1" s="17" t="inlineStr">
        <is>
          <t>Revenue growth shift (ratio)</t>
        </is>
      </c>
      <c r="E1" s="17" t="inlineStr">
        <is>
          <t>Terminal growth (ratio)</t>
        </is>
      </c>
      <c r="F1" s="17" t="inlineStr">
        <is>
          <t>Value/share USD</t>
        </is>
      </c>
      <c r="G1" s="17" t="inlineStr">
        <is>
          <t>Status</t>
        </is>
      </c>
    </row>
    <row r="2">
      <c r="A2" t="inlineStr">
        <is>
          <t>historical-average</t>
        </is>
      </c>
      <c r="B2" s="18" t="n">
        <v>0.06999999999999999</v>
      </c>
      <c r="C2" s="18" t="n">
        <v>0.05</v>
      </c>
      <c r="E2" s="18" t="n">
        <v>0.02</v>
      </c>
      <c r="F2" s="18" t="n">
        <v>93.52048470650458</v>
      </c>
      <c r="G2" t="inlineStr">
        <is>
          <t>ok</t>
        </is>
      </c>
    </row>
    <row r="3">
      <c r="A3" t="inlineStr">
        <is>
          <t>historical-average</t>
        </is>
      </c>
      <c r="B3" s="18" t="n">
        <v>0.06999999999999999</v>
      </c>
      <c r="C3" s="18" t="n">
        <v>0.05</v>
      </c>
      <c r="E3" s="18" t="n">
        <v>0.025</v>
      </c>
      <c r="F3" s="18" t="n">
        <v>101.1885111225927</v>
      </c>
      <c r="G3" t="inlineStr">
        <is>
          <t>ok</t>
        </is>
      </c>
    </row>
    <row r="4">
      <c r="A4" t="inlineStr">
        <is>
          <t>historical-average</t>
        </is>
      </c>
      <c r="B4" s="18" t="n">
        <v>0.06999999999999999</v>
      </c>
      <c r="C4" s="18" t="n">
        <v>0.05</v>
      </c>
      <c r="E4" s="18" t="n">
        <v>0.03</v>
      </c>
      <c r="F4" s="18" t="n">
        <v>110.7735441427029</v>
      </c>
      <c r="G4" t="inlineStr">
        <is>
          <t>ok</t>
        </is>
      </c>
    </row>
    <row r="5">
      <c r="A5" t="inlineStr">
        <is>
          <t>historical-average</t>
        </is>
      </c>
      <c r="B5" s="18" t="n">
        <v>0.06999999999999999</v>
      </c>
      <c r="C5" s="18" t="n">
        <v>0.1</v>
      </c>
      <c r="E5" s="18" t="n">
        <v>0.02</v>
      </c>
      <c r="F5" s="18" t="n">
        <v>142.8161413469887</v>
      </c>
      <c r="G5" t="inlineStr">
        <is>
          <t>ok</t>
        </is>
      </c>
    </row>
    <row r="6">
      <c r="A6" t="inlineStr">
        <is>
          <t>historical-average</t>
        </is>
      </c>
      <c r="B6" s="18" t="n">
        <v>0.06999999999999999</v>
      </c>
      <c r="C6" s="18" t="n">
        <v>0.1</v>
      </c>
      <c r="E6" s="18" t="n">
        <v>0.025</v>
      </c>
      <c r="F6" s="18" t="n">
        <v>155.0261918767297</v>
      </c>
      <c r="G6" t="inlineStr">
        <is>
          <t>ok</t>
        </is>
      </c>
    </row>
    <row r="7">
      <c r="A7" t="inlineStr">
        <is>
          <t>historical-average</t>
        </is>
      </c>
      <c r="B7" s="18" t="n">
        <v>0.06999999999999999</v>
      </c>
      <c r="C7" s="18" t="n">
        <v>0.1</v>
      </c>
      <c r="E7" s="18" t="n">
        <v>0.03</v>
      </c>
      <c r="F7" s="18" t="n">
        <v>170.288755038906</v>
      </c>
      <c r="G7" t="inlineStr">
        <is>
          <t>ok</t>
        </is>
      </c>
    </row>
    <row r="8">
      <c r="A8" t="inlineStr">
        <is>
          <t>historical-average</t>
        </is>
      </c>
      <c r="B8" s="18" t="n">
        <v>0.06999999999999999</v>
      </c>
      <c r="C8" s="18" t="n">
        <v>0.15</v>
      </c>
      <c r="E8" s="18" t="n">
        <v>0.02</v>
      </c>
      <c r="F8" s="18" t="n">
        <v>215.1163589594606</v>
      </c>
      <c r="G8" t="inlineStr">
        <is>
          <t>ok</t>
        </is>
      </c>
    </row>
    <row r="9">
      <c r="A9" t="inlineStr">
        <is>
          <t>historical-average</t>
        </is>
      </c>
      <c r="B9" s="18" t="n">
        <v>0.06999999999999999</v>
      </c>
      <c r="C9" s="18" t="n">
        <v>0.15</v>
      </c>
      <c r="E9" s="18" t="n">
        <v>0.025</v>
      </c>
      <c r="F9" s="18" t="n">
        <v>234.1608343203928</v>
      </c>
      <c r="G9" t="inlineStr">
        <is>
          <t>ok</t>
        </is>
      </c>
    </row>
    <row r="10">
      <c r="A10" t="inlineStr">
        <is>
          <t>historical-average</t>
        </is>
      </c>
      <c r="B10" s="18" t="n">
        <v>0.06999999999999999</v>
      </c>
      <c r="C10" s="18" t="n">
        <v>0.15</v>
      </c>
      <c r="E10" s="18" t="n">
        <v>0.03</v>
      </c>
      <c r="F10" s="18" t="n">
        <v>257.9664285215581</v>
      </c>
      <c r="G10" t="inlineStr">
        <is>
          <t>ok</t>
        </is>
      </c>
    </row>
    <row r="11">
      <c r="A11" t="inlineStr">
        <is>
          <t>historical-average</t>
        </is>
      </c>
      <c r="B11" s="18" t="n">
        <v>0.09</v>
      </c>
      <c r="C11" s="18" t="n">
        <v>0.05</v>
      </c>
      <c r="E11" s="18" t="n">
        <v>0.02</v>
      </c>
      <c r="F11" s="18" t="n">
        <v>63.51194904948458</v>
      </c>
      <c r="G11" t="inlineStr">
        <is>
          <t>ok</t>
        </is>
      </c>
    </row>
    <row r="12">
      <c r="A12" t="inlineStr">
        <is>
          <t>historical-average</t>
        </is>
      </c>
      <c r="B12" s="18" t="n">
        <v>0.09</v>
      </c>
      <c r="C12" s="18" t="n">
        <v>0.05</v>
      </c>
      <c r="E12" s="18" t="n">
        <v>0.025</v>
      </c>
      <c r="F12" s="18" t="n">
        <v>66.72169189500578</v>
      </c>
      <c r="G12" t="inlineStr">
        <is>
          <t>ok</t>
        </is>
      </c>
    </row>
    <row r="13">
      <c r="A13" t="inlineStr">
        <is>
          <t>historical-average</t>
        </is>
      </c>
      <c r="B13" s="18" t="n">
        <v>0.09</v>
      </c>
      <c r="C13" s="18" t="n">
        <v>0.05</v>
      </c>
      <c r="E13" s="18" t="n">
        <v>0.03</v>
      </c>
      <c r="F13" s="18" t="n">
        <v>70.46639188144718</v>
      </c>
      <c r="G13" t="inlineStr">
        <is>
          <t>ok</t>
        </is>
      </c>
    </row>
    <row r="14">
      <c r="A14" t="inlineStr">
        <is>
          <t>historical-average</t>
        </is>
      </c>
      <c r="B14" s="18" t="n">
        <v>0.09</v>
      </c>
      <c r="C14" s="18" t="n">
        <v>0.1</v>
      </c>
      <c r="E14" s="18" t="n">
        <v>0.02</v>
      </c>
      <c r="F14" s="18" t="n">
        <v>95.71652208297415</v>
      </c>
      <c r="G14" t="inlineStr">
        <is>
          <t>ok</t>
        </is>
      </c>
    </row>
    <row r="15">
      <c r="A15" t="inlineStr">
        <is>
          <t>historical-average</t>
        </is>
      </c>
      <c r="B15" s="18" t="n">
        <v>0.09</v>
      </c>
      <c r="C15" s="18" t="n">
        <v>0.1</v>
      </c>
      <c r="E15" s="18" t="n">
        <v>0.025</v>
      </c>
      <c r="F15" s="18" t="n">
        <v>100.8275011282553</v>
      </c>
      <c r="G15" t="inlineStr">
        <is>
          <t>ok</t>
        </is>
      </c>
    </row>
    <row r="16">
      <c r="A16" t="inlineStr">
        <is>
          <t>historical-average</t>
        </is>
      </c>
      <c r="B16" s="18" t="n">
        <v>0.09</v>
      </c>
      <c r="C16" s="18" t="n">
        <v>0.1</v>
      </c>
      <c r="E16" s="18" t="n">
        <v>0.03</v>
      </c>
      <c r="F16" s="18" t="n">
        <v>106.7903100144166</v>
      </c>
      <c r="G16" t="inlineStr">
        <is>
          <t>ok</t>
        </is>
      </c>
    </row>
    <row r="17">
      <c r="A17" t="inlineStr">
        <is>
          <t>historical-average</t>
        </is>
      </c>
      <c r="B17" s="18" t="n">
        <v>0.09</v>
      </c>
      <c r="C17" s="18" t="n">
        <v>0.15</v>
      </c>
      <c r="E17" s="18" t="n">
        <v>0.02</v>
      </c>
      <c r="F17" s="18" t="n">
        <v>142.4681779911519</v>
      </c>
      <c r="G17" t="inlineStr">
        <is>
          <t>ok</t>
        </is>
      </c>
    </row>
    <row r="18">
      <c r="A18" t="inlineStr">
        <is>
          <t>historical-average</t>
        </is>
      </c>
      <c r="B18" s="18" t="n">
        <v>0.09</v>
      </c>
      <c r="C18" s="18" t="n">
        <v>0.15</v>
      </c>
      <c r="E18" s="18" t="n">
        <v>0.025</v>
      </c>
      <c r="F18" s="18" t="n">
        <v>150.439964370005</v>
      </c>
      <c r="G18" t="inlineStr">
        <is>
          <t>ok</t>
        </is>
      </c>
    </row>
    <row r="19">
      <c r="A19" t="inlineStr">
        <is>
          <t>historical-average</t>
        </is>
      </c>
      <c r="B19" s="18" t="n">
        <v>0.09</v>
      </c>
      <c r="C19" s="18" t="n">
        <v>0.15</v>
      </c>
      <c r="E19" s="18" t="n">
        <v>0.03</v>
      </c>
      <c r="F19" s="18" t="n">
        <v>159.7403818120003</v>
      </c>
      <c r="G19" t="inlineStr">
        <is>
          <t>ok</t>
        </is>
      </c>
    </row>
    <row r="20">
      <c r="A20" t="inlineStr">
        <is>
          <t>historical-average</t>
        </is>
      </c>
      <c r="B20" s="18" t="n">
        <v>0.11</v>
      </c>
      <c r="C20" s="18" t="n">
        <v>0.05</v>
      </c>
      <c r="E20" s="18" t="n">
        <v>0.02</v>
      </c>
      <c r="F20" s="18" t="n">
        <v>46.95212991382639</v>
      </c>
      <c r="G20" t="inlineStr">
        <is>
          <t>ok</t>
        </is>
      </c>
    </row>
    <row r="21">
      <c r="A21" t="inlineStr">
        <is>
          <t>historical-average</t>
        </is>
      </c>
      <c r="B21" s="18" t="n">
        <v>0.11</v>
      </c>
      <c r="C21" s="18" t="n">
        <v>0.05</v>
      </c>
      <c r="E21" s="18" t="n">
        <v>0.025</v>
      </c>
      <c r="F21" s="18" t="n">
        <v>48.57301368277116</v>
      </c>
      <c r="G21" t="inlineStr">
        <is>
          <t>ok</t>
        </is>
      </c>
    </row>
    <row r="22">
      <c r="A22" t="inlineStr">
        <is>
          <t>historical-average</t>
        </is>
      </c>
      <c r="B22" s="18" t="n">
        <v>0.11</v>
      </c>
      <c r="C22" s="18" t="n">
        <v>0.05</v>
      </c>
      <c r="E22" s="18" t="n">
        <v>0.03</v>
      </c>
      <c r="F22" s="18" t="n">
        <v>50.39650792283405</v>
      </c>
      <c r="G22" t="inlineStr">
        <is>
          <t>ok</t>
        </is>
      </c>
    </row>
    <row r="23">
      <c r="A23" t="inlineStr">
        <is>
          <t>historical-average</t>
        </is>
      </c>
      <c r="B23" s="18" t="n">
        <v>0.11</v>
      </c>
      <c r="C23" s="18" t="n">
        <v>0.1</v>
      </c>
      <c r="E23" s="18" t="n">
        <v>0.02</v>
      </c>
      <c r="F23" s="18" t="n">
        <v>69.9612180864568</v>
      </c>
      <c r="G23" t="inlineStr">
        <is>
          <t>ok</t>
        </is>
      </c>
    </row>
    <row r="24">
      <c r="A24" t="inlineStr">
        <is>
          <t>historical-average</t>
        </is>
      </c>
      <c r="B24" s="18" t="n">
        <v>0.11</v>
      </c>
      <c r="C24" s="18" t="n">
        <v>0.1</v>
      </c>
      <c r="E24" s="18" t="n">
        <v>0.025</v>
      </c>
      <c r="F24" s="18" t="n">
        <v>72.5422045942927</v>
      </c>
      <c r="G24" t="inlineStr">
        <is>
          <t>ok</t>
        </is>
      </c>
    </row>
    <row r="25">
      <c r="A25" t="inlineStr">
        <is>
          <t>historical-average</t>
        </is>
      </c>
      <c r="B25" s="18" t="n">
        <v>0.11</v>
      </c>
      <c r="C25" s="18" t="n">
        <v>0.1</v>
      </c>
      <c r="E25" s="18" t="n">
        <v>0.03</v>
      </c>
      <c r="F25" s="18" t="n">
        <v>75.44581441560811</v>
      </c>
      <c r="G25" t="inlineStr">
        <is>
          <t>ok</t>
        </is>
      </c>
    </row>
    <row r="26">
      <c r="A26" t="inlineStr">
        <is>
          <t>historical-average</t>
        </is>
      </c>
      <c r="B26" s="18" t="n">
        <v>0.11</v>
      </c>
      <c r="C26" s="18" t="n">
        <v>0.15</v>
      </c>
      <c r="E26" s="18" t="n">
        <v>0.02</v>
      </c>
      <c r="F26" s="18" t="n">
        <v>103.0245856255511</v>
      </c>
      <c r="G26" t="inlineStr">
        <is>
          <t>ok</t>
        </is>
      </c>
    </row>
    <row r="27">
      <c r="A27" t="inlineStr">
        <is>
          <t>historical-average</t>
        </is>
      </c>
      <c r="B27" s="18" t="n">
        <v>0.11</v>
      </c>
      <c r="C27" s="18" t="n">
        <v>0.15</v>
      </c>
      <c r="E27" s="18" t="n">
        <v>0.025</v>
      </c>
      <c r="F27" s="18" t="n">
        <v>107.0502474224169</v>
      </c>
      <c r="G27" t="inlineStr">
        <is>
          <t>ok</t>
        </is>
      </c>
    </row>
    <row r="28">
      <c r="A28" t="inlineStr">
        <is>
          <t>historical-average</t>
        </is>
      </c>
      <c r="B28" s="18" t="n">
        <v>0.11</v>
      </c>
      <c r="C28" s="18" t="n">
        <v>0.15</v>
      </c>
      <c r="E28" s="18" t="n">
        <v>0.03</v>
      </c>
      <c r="F28" s="18" t="n">
        <v>111.579116943891</v>
      </c>
      <c r="G28" t="inlineStr">
        <is>
          <t>ok</t>
        </is>
      </c>
    </row>
    <row r="29">
      <c r="A29" t="inlineStr">
        <is>
          <t>latest-annual</t>
        </is>
      </c>
      <c r="B29" s="18" t="n">
        <v>0.06999999999999999</v>
      </c>
      <c r="C29" s="18" t="n">
        <v>0.05</v>
      </c>
      <c r="E29" s="18" t="n">
        <v>0.02</v>
      </c>
      <c r="F29" s="18" t="n">
        <v>115.048770181857</v>
      </c>
      <c r="G29" t="inlineStr">
        <is>
          <t>ok</t>
        </is>
      </c>
    </row>
    <row r="30">
      <c r="A30" t="inlineStr">
        <is>
          <t>latest-annual</t>
        </is>
      </c>
      <c r="B30" s="18" t="n">
        <v>0.06999999999999999</v>
      </c>
      <c r="C30" s="18" t="n">
        <v>0.05</v>
      </c>
      <c r="E30" s="18" t="n">
        <v>0.025</v>
      </c>
      <c r="F30" s="18" t="n">
        <v>124.3521300783088</v>
      </c>
      <c r="G30" t="inlineStr">
        <is>
          <t>ok</t>
        </is>
      </c>
    </row>
    <row r="31">
      <c r="A31" t="inlineStr">
        <is>
          <t>latest-annual</t>
        </is>
      </c>
      <c r="B31" s="18" t="n">
        <v>0.06999999999999999</v>
      </c>
      <c r="C31" s="18" t="n">
        <v>0.05</v>
      </c>
      <c r="E31" s="18" t="n">
        <v>0.03</v>
      </c>
      <c r="F31" s="18" t="n">
        <v>135.9813299488735</v>
      </c>
      <c r="G31" t="inlineStr">
        <is>
          <t>ok</t>
        </is>
      </c>
    </row>
    <row r="32">
      <c r="A32" t="inlineStr">
        <is>
          <t>latest-annual</t>
        </is>
      </c>
      <c r="B32" s="18" t="n">
        <v>0.06999999999999999</v>
      </c>
      <c r="C32" s="18" t="n">
        <v>0.1</v>
      </c>
      <c r="E32" s="18" t="n">
        <v>0.02</v>
      </c>
      <c r="F32" s="18" t="n">
        <v>174.8575410666478</v>
      </c>
      <c r="G32" t="inlineStr">
        <is>
          <t>ok</t>
        </is>
      </c>
    </row>
    <row r="33">
      <c r="A33" t="inlineStr">
        <is>
          <t>latest-annual</t>
        </is>
      </c>
      <c r="B33" s="18" t="n">
        <v>0.06999999999999999</v>
      </c>
      <c r="C33" s="18" t="n">
        <v>0.1</v>
      </c>
      <c r="E33" s="18" t="n">
        <v>0.025</v>
      </c>
      <c r="F33" s="18" t="n">
        <v>189.6715868547155</v>
      </c>
      <c r="G33" t="inlineStr">
        <is>
          <t>ok</t>
        </is>
      </c>
    </row>
    <row r="34">
      <c r="A34" t="inlineStr">
        <is>
          <t>latest-annual</t>
        </is>
      </c>
      <c r="B34" s="18" t="n">
        <v>0.06999999999999999</v>
      </c>
      <c r="C34" s="18" t="n">
        <v>0.1</v>
      </c>
      <c r="E34" s="18" t="n">
        <v>0.03</v>
      </c>
      <c r="F34" s="18" t="n">
        <v>208.1891440898003</v>
      </c>
      <c r="G34" t="inlineStr">
        <is>
          <t>ok</t>
        </is>
      </c>
    </row>
    <row r="35">
      <c r="A35" t="inlineStr">
        <is>
          <t>latest-annual</t>
        </is>
      </c>
      <c r="B35" s="18" t="n">
        <v>0.06999999999999999</v>
      </c>
      <c r="C35" s="18" t="n">
        <v>0.15</v>
      </c>
      <c r="E35" s="18" t="n">
        <v>0.02</v>
      </c>
      <c r="F35" s="18" t="n">
        <v>262.5769761000702</v>
      </c>
      <c r="G35" t="inlineStr">
        <is>
          <t>ok</t>
        </is>
      </c>
    </row>
    <row r="36">
      <c r="A36" t="inlineStr">
        <is>
          <t>latest-annual</t>
        </is>
      </c>
      <c r="B36" s="18" t="n">
        <v>0.06999999999999999</v>
      </c>
      <c r="C36" s="18" t="n">
        <v>0.15</v>
      </c>
      <c r="E36" s="18" t="n">
        <v>0.025</v>
      </c>
      <c r="F36" s="18" t="n">
        <v>285.6830008719892</v>
      </c>
      <c r="G36" t="inlineStr">
        <is>
          <t>ok</t>
        </is>
      </c>
    </row>
    <row r="37">
      <c r="A37" t="inlineStr">
        <is>
          <t>latest-annual</t>
        </is>
      </c>
      <c r="B37" s="18" t="n">
        <v>0.06999999999999999</v>
      </c>
      <c r="C37" s="18" t="n">
        <v>0.15</v>
      </c>
      <c r="E37" s="18" t="n">
        <v>0.03</v>
      </c>
      <c r="F37" s="18" t="n">
        <v>314.5655318368879</v>
      </c>
      <c r="G37" t="inlineStr">
        <is>
          <t>ok</t>
        </is>
      </c>
    </row>
    <row r="38">
      <c r="A38" t="inlineStr">
        <is>
          <t>latest-annual</t>
        </is>
      </c>
      <c r="B38" s="18" t="n">
        <v>0.09</v>
      </c>
      <c r="C38" s="18" t="n">
        <v>0.05</v>
      </c>
      <c r="E38" s="18" t="n">
        <v>0.02</v>
      </c>
      <c r="F38" s="18" t="n">
        <v>78.64041788444942</v>
      </c>
      <c r="G38" t="inlineStr">
        <is>
          <t>ok</t>
        </is>
      </c>
    </row>
    <row r="39">
      <c r="A39" t="inlineStr">
        <is>
          <t>latest-annual</t>
        </is>
      </c>
      <c r="B39" s="18" t="n">
        <v>0.09</v>
      </c>
      <c r="C39" s="18" t="n">
        <v>0.05</v>
      </c>
      <c r="E39" s="18" t="n">
        <v>0.025</v>
      </c>
      <c r="F39" s="18" t="n">
        <v>82.5346914884492</v>
      </c>
      <c r="G39" t="inlineStr">
        <is>
          <t>ok</t>
        </is>
      </c>
    </row>
    <row r="40">
      <c r="A40" t="inlineStr">
        <is>
          <t>latest-annual</t>
        </is>
      </c>
      <c r="B40" s="18" t="n">
        <v>0.09</v>
      </c>
      <c r="C40" s="18" t="n">
        <v>0.05</v>
      </c>
      <c r="E40" s="18" t="n">
        <v>0.03</v>
      </c>
      <c r="F40" s="18" t="n">
        <v>87.07801069311563</v>
      </c>
      <c r="G40" t="inlineStr">
        <is>
          <t>ok</t>
        </is>
      </c>
    </row>
    <row r="41">
      <c r="A41" t="inlineStr">
        <is>
          <t>latest-annual</t>
        </is>
      </c>
      <c r="B41" s="18" t="n">
        <v>0.09</v>
      </c>
      <c r="C41" s="18" t="n">
        <v>0.1</v>
      </c>
      <c r="E41" s="18" t="n">
        <v>0.02</v>
      </c>
      <c r="F41" s="18" t="n">
        <v>117.713148856465</v>
      </c>
      <c r="G41" t="inlineStr">
        <is>
          <t>ok</t>
        </is>
      </c>
    </row>
    <row r="42">
      <c r="A42" t="inlineStr">
        <is>
          <t>latest-annual</t>
        </is>
      </c>
      <c r="B42" s="18" t="n">
        <v>0.09</v>
      </c>
      <c r="C42" s="18" t="n">
        <v>0.1</v>
      </c>
      <c r="E42" s="18" t="n">
        <v>0.025</v>
      </c>
      <c r="F42" s="18" t="n">
        <v>123.9141287307273</v>
      </c>
      <c r="G42" t="inlineStr">
        <is>
          <t>ok</t>
        </is>
      </c>
    </row>
    <row r="43">
      <c r="A43" t="inlineStr">
        <is>
          <t>latest-annual</t>
        </is>
      </c>
      <c r="B43" s="18" t="n">
        <v>0.09</v>
      </c>
      <c r="C43" s="18" t="n">
        <v>0.1</v>
      </c>
      <c r="E43" s="18" t="n">
        <v>0.03</v>
      </c>
      <c r="F43" s="18" t="n">
        <v>131.1486052507</v>
      </c>
      <c r="G43" t="inlineStr">
        <is>
          <t>ok</t>
        </is>
      </c>
    </row>
    <row r="44">
      <c r="A44" t="inlineStr">
        <is>
          <t>latest-annual</t>
        </is>
      </c>
      <c r="B44" s="18" t="n">
        <v>0.09</v>
      </c>
      <c r="C44" s="18" t="n">
        <v>0.15</v>
      </c>
      <c r="E44" s="18" t="n">
        <v>0.02</v>
      </c>
      <c r="F44" s="18" t="n">
        <v>174.4353687690491</v>
      </c>
      <c r="G44" t="inlineStr">
        <is>
          <t>ok</t>
        </is>
      </c>
    </row>
    <row r="45">
      <c r="A45" t="inlineStr">
        <is>
          <t>latest-annual</t>
        </is>
      </c>
      <c r="B45" s="18" t="n">
        <v>0.09</v>
      </c>
      <c r="C45" s="18" t="n">
        <v>0.15</v>
      </c>
      <c r="E45" s="18" t="n">
        <v>0.025</v>
      </c>
      <c r="F45" s="18" t="n">
        <v>184.1072704652274</v>
      </c>
      <c r="G45" t="inlineStr">
        <is>
          <t>ok</t>
        </is>
      </c>
    </row>
    <row r="46">
      <c r="A46" t="inlineStr">
        <is>
          <t>latest-annual</t>
        </is>
      </c>
      <c r="B46" s="18" t="n">
        <v>0.09</v>
      </c>
      <c r="C46" s="18" t="n">
        <v>0.15</v>
      </c>
      <c r="E46" s="18" t="n">
        <v>0.03</v>
      </c>
      <c r="F46" s="18" t="n">
        <v>195.3911557774354</v>
      </c>
      <c r="G46" t="inlineStr">
        <is>
          <t>ok</t>
        </is>
      </c>
    </row>
    <row r="47">
      <c r="A47" t="inlineStr">
        <is>
          <t>latest-annual</t>
        </is>
      </c>
      <c r="B47" s="18" t="n">
        <v>0.11</v>
      </c>
      <c r="C47" s="18" t="n">
        <v>0.05</v>
      </c>
      <c r="E47" s="18" t="n">
        <v>0.02</v>
      </c>
      <c r="F47" s="18" t="n">
        <v>58.54894337988286</v>
      </c>
      <c r="G47" t="inlineStr">
        <is>
          <t>ok</t>
        </is>
      </c>
    </row>
    <row r="48">
      <c r="A48" t="inlineStr">
        <is>
          <t>latest-annual</t>
        </is>
      </c>
      <c r="B48" s="18" t="n">
        <v>0.11</v>
      </c>
      <c r="C48" s="18" t="n">
        <v>0.05</v>
      </c>
      <c r="E48" s="18" t="n">
        <v>0.025</v>
      </c>
      <c r="F48" s="18" t="n">
        <v>60.51550742577243</v>
      </c>
      <c r="G48" t="inlineStr">
        <is>
          <t>ok</t>
        </is>
      </c>
    </row>
    <row r="49">
      <c r="A49" t="inlineStr">
        <is>
          <t>latest-annual</t>
        </is>
      </c>
      <c r="B49" s="18" t="n">
        <v>0.11</v>
      </c>
      <c r="C49" s="18" t="n">
        <v>0.05</v>
      </c>
      <c r="E49" s="18" t="n">
        <v>0.03</v>
      </c>
      <c r="F49" s="18" t="n">
        <v>62.72789197739822</v>
      </c>
      <c r="G49" t="inlineStr">
        <is>
          <t>ok</t>
        </is>
      </c>
    </row>
    <row r="50">
      <c r="A50" t="inlineStr">
        <is>
          <t>latest-annual</t>
        </is>
      </c>
      <c r="B50" s="18" t="n">
        <v>0.11</v>
      </c>
      <c r="C50" s="18" t="n">
        <v>0.1</v>
      </c>
      <c r="E50" s="18" t="n">
        <v>0.02</v>
      </c>
      <c r="F50" s="18" t="n">
        <v>86.46510022958471</v>
      </c>
      <c r="G50" t="inlineStr">
        <is>
          <t>ok</t>
        </is>
      </c>
    </row>
    <row r="51">
      <c r="A51" t="inlineStr">
        <is>
          <t>latest-annual</t>
        </is>
      </c>
      <c r="B51" s="18" t="n">
        <v>0.11</v>
      </c>
      <c r="C51" s="18" t="n">
        <v>0.1</v>
      </c>
      <c r="E51" s="18" t="n">
        <v>0.025</v>
      </c>
      <c r="F51" s="18" t="n">
        <v>89.59652480578401</v>
      </c>
      <c r="G51" t="inlineStr">
        <is>
          <t>ok</t>
        </is>
      </c>
    </row>
    <row r="52">
      <c r="A52" t="inlineStr">
        <is>
          <t>latest-annual</t>
        </is>
      </c>
      <c r="B52" s="18" t="n">
        <v>0.11</v>
      </c>
      <c r="C52" s="18" t="n">
        <v>0.1</v>
      </c>
      <c r="E52" s="18" t="n">
        <v>0.03</v>
      </c>
      <c r="F52" s="18" t="n">
        <v>93.11937745400823</v>
      </c>
      <c r="G52" t="inlineStr">
        <is>
          <t>ok</t>
        </is>
      </c>
    </row>
    <row r="53">
      <c r="A53" t="inlineStr">
        <is>
          <t>latest-annual</t>
        </is>
      </c>
      <c r="B53" s="18" t="n">
        <v>0.11</v>
      </c>
      <c r="C53" s="18" t="n">
        <v>0.15</v>
      </c>
      <c r="E53" s="18" t="n">
        <v>0.02</v>
      </c>
      <c r="F53" s="18" t="n">
        <v>126.5797778419996</v>
      </c>
      <c r="G53" t="inlineStr">
        <is>
          <t>ok</t>
        </is>
      </c>
    </row>
    <row r="54">
      <c r="A54" t="inlineStr">
        <is>
          <t>latest-annual</t>
        </is>
      </c>
      <c r="B54" s="18" t="n">
        <v>0.11</v>
      </c>
      <c r="C54" s="18" t="n">
        <v>0.15</v>
      </c>
      <c r="E54" s="18" t="n">
        <v>0.025</v>
      </c>
      <c r="F54" s="18" t="n">
        <v>131.4639786109305</v>
      </c>
      <c r="G54" t="inlineStr">
        <is>
          <t>ok</t>
        </is>
      </c>
    </row>
    <row r="55">
      <c r="A55" t="inlineStr">
        <is>
          <t>latest-annual</t>
        </is>
      </c>
      <c r="B55" s="18" t="n">
        <v>0.11</v>
      </c>
      <c r="C55" s="18" t="n">
        <v>0.15</v>
      </c>
      <c r="E55" s="18" t="n">
        <v>0.03</v>
      </c>
      <c r="F55" s="18" t="n">
        <v>136.9587044759776</v>
      </c>
      <c r="G55" t="inlineStr">
        <is>
          <t>ok</t>
        </is>
      </c>
    </row>
    <row r="56">
      <c r="A56" t="inlineStr">
        <is>
          <t>ttm-fcff</t>
        </is>
      </c>
      <c r="B56" s="18" t="n">
        <v>0.06999999999999999</v>
      </c>
      <c r="C56" s="18" t="n">
        <v>0.05</v>
      </c>
      <c r="E56" s="18" t="n">
        <v>0.02</v>
      </c>
      <c r="F56" s="18" t="n">
        <v>176.4664352173347</v>
      </c>
      <c r="G56" t="inlineStr">
        <is>
          <t>ok</t>
        </is>
      </c>
    </row>
    <row r="57">
      <c r="A57" t="inlineStr">
        <is>
          <t>ttm-fcff</t>
        </is>
      </c>
      <c r="B57" s="18" t="n">
        <v>0.06999999999999999</v>
      </c>
      <c r="C57" s="18" t="n">
        <v>0.05</v>
      </c>
      <c r="E57" s="18" t="n">
        <v>0.025</v>
      </c>
      <c r="F57" s="18" t="n">
        <v>190.4352090889621</v>
      </c>
      <c r="G57" t="inlineStr">
        <is>
          <t>ok</t>
        </is>
      </c>
    </row>
    <row r="58">
      <c r="A58" t="inlineStr">
        <is>
          <t>ttm-fcff</t>
        </is>
      </c>
      <c r="B58" s="18" t="n">
        <v>0.06999999999999999</v>
      </c>
      <c r="C58" s="18" t="n">
        <v>0.05</v>
      </c>
      <c r="E58" s="18" t="n">
        <v>0.03</v>
      </c>
      <c r="F58" s="18" t="n">
        <v>207.8961764284963</v>
      </c>
      <c r="G58" t="inlineStr">
        <is>
          <t>ok</t>
        </is>
      </c>
    </row>
    <row r="59">
      <c r="A59" t="inlineStr">
        <is>
          <t>ttm-fcff</t>
        </is>
      </c>
      <c r="B59" s="18" t="n">
        <v>0.06999999999999999</v>
      </c>
      <c r="C59" s="18" t="n">
        <v>0.1</v>
      </c>
      <c r="E59" s="18" t="n">
        <v>0.02</v>
      </c>
      <c r="F59" s="18" t="n">
        <v>266.2678838690467</v>
      </c>
      <c r="G59" t="inlineStr">
        <is>
          <t>ok</t>
        </is>
      </c>
    </row>
    <row r="60">
      <c r="A60" t="inlineStr">
        <is>
          <t>ttm-fcff</t>
        </is>
      </c>
      <c r="B60" s="18" t="n">
        <v>0.06999999999999999</v>
      </c>
      <c r="C60" s="18" t="n">
        <v>0.1</v>
      </c>
      <c r="E60" s="18" t="n">
        <v>0.025</v>
      </c>
      <c r="F60" s="18" t="n">
        <v>288.5108216937326</v>
      </c>
      <c r="G60" t="inlineStr">
        <is>
          <t>ok</t>
        </is>
      </c>
    </row>
    <row r="61">
      <c r="A61" t="inlineStr">
        <is>
          <t>ttm-fcff</t>
        </is>
      </c>
      <c r="B61" s="18" t="n">
        <v>0.06999999999999999</v>
      </c>
      <c r="C61" s="18" t="n">
        <v>0.1</v>
      </c>
      <c r="E61" s="18" t="n">
        <v>0.03</v>
      </c>
      <c r="F61" s="18" t="n">
        <v>316.3144939745898</v>
      </c>
      <c r="G61" t="inlineStr">
        <is>
          <t>ok</t>
        </is>
      </c>
    </row>
    <row r="62">
      <c r="A62" t="inlineStr">
        <is>
          <t>ttm-fcff</t>
        </is>
      </c>
      <c r="B62" s="18" t="n">
        <v>0.06999999999999999</v>
      </c>
      <c r="C62" s="18" t="n">
        <v>0.15</v>
      </c>
      <c r="E62" s="18" t="n">
        <v>0.02</v>
      </c>
      <c r="F62" s="18" t="n">
        <v>397.9765316873597</v>
      </c>
      <c r="G62" t="inlineStr">
        <is>
          <t>ok</t>
        </is>
      </c>
    </row>
    <row r="63">
      <c r="A63" t="inlineStr">
        <is>
          <t>ttm-fcff</t>
        </is>
      </c>
      <c r="B63" s="18" t="n">
        <v>0.06999999999999999</v>
      </c>
      <c r="C63" s="18" t="n">
        <v>0.15</v>
      </c>
      <c r="E63" s="18" t="n">
        <v>0.025</v>
      </c>
      <c r="F63" s="18" t="n">
        <v>432.6696789700156</v>
      </c>
      <c r="G63" t="inlineStr">
        <is>
          <t>ok</t>
        </is>
      </c>
    </row>
    <row r="64">
      <c r="A64" t="inlineStr">
        <is>
          <t>ttm-fcff</t>
        </is>
      </c>
      <c r="B64" s="18" t="n">
        <v>0.06999999999999999</v>
      </c>
      <c r="C64" s="18" t="n">
        <v>0.15</v>
      </c>
      <c r="E64" s="18" t="n">
        <v>0.03</v>
      </c>
      <c r="F64" s="18" t="n">
        <v>476.0361130733356</v>
      </c>
      <c r="G64" t="inlineStr">
        <is>
          <t>ok</t>
        </is>
      </c>
    </row>
    <row r="65">
      <c r="A65" t="inlineStr">
        <is>
          <t>ttm-fcff</t>
        </is>
      </c>
      <c r="B65" s="18" t="n">
        <v>0.09</v>
      </c>
      <c r="C65" s="18" t="n">
        <v>0.05</v>
      </c>
      <c r="E65" s="18" t="n">
        <v>0.02</v>
      </c>
      <c r="F65" s="18" t="n">
        <v>121.8001591685066</v>
      </c>
      <c r="G65" t="inlineStr">
        <is>
          <t>ok</t>
        </is>
      </c>
    </row>
    <row r="66">
      <c r="A66" t="inlineStr">
        <is>
          <t>ttm-fcff</t>
        </is>
      </c>
      <c r="B66" s="18" t="n">
        <v>0.09</v>
      </c>
      <c r="C66" s="18" t="n">
        <v>0.05</v>
      </c>
      <c r="E66" s="18" t="n">
        <v>0.025</v>
      </c>
      <c r="F66" s="18" t="n">
        <v>127.6473184715953</v>
      </c>
      <c r="G66" t="inlineStr">
        <is>
          <t>ok</t>
        </is>
      </c>
    </row>
    <row r="67">
      <c r="A67" t="inlineStr">
        <is>
          <t>ttm-fcff</t>
        </is>
      </c>
      <c r="B67" s="18" t="n">
        <v>0.09</v>
      </c>
      <c r="C67" s="18" t="n">
        <v>0.05</v>
      </c>
      <c r="E67" s="18" t="n">
        <v>0.03</v>
      </c>
      <c r="F67" s="18" t="n">
        <v>134.4690043251988</v>
      </c>
      <c r="G67" t="inlineStr">
        <is>
          <t>ok</t>
        </is>
      </c>
    </row>
    <row r="68">
      <c r="A68" t="inlineStr">
        <is>
          <t>ttm-fcff</t>
        </is>
      </c>
      <c r="B68" s="18" t="n">
        <v>0.09</v>
      </c>
      <c r="C68" s="18" t="n">
        <v>0.1</v>
      </c>
      <c r="E68" s="18" t="n">
        <v>0.02</v>
      </c>
      <c r="F68" s="18" t="n">
        <v>180.4669365016267</v>
      </c>
      <c r="G68" t="inlineStr">
        <is>
          <t>ok</t>
        </is>
      </c>
    </row>
    <row r="69">
      <c r="A69" t="inlineStr">
        <is>
          <t>ttm-fcff</t>
        </is>
      </c>
      <c r="B69" s="18" t="n">
        <v>0.09</v>
      </c>
      <c r="C69" s="18" t="n">
        <v>0.1</v>
      </c>
      <c r="E69" s="18" t="n">
        <v>0.025</v>
      </c>
      <c r="F69" s="18" t="n">
        <v>189.7775604708357</v>
      </c>
      <c r="G69" t="inlineStr">
        <is>
          <t>ok</t>
        </is>
      </c>
    </row>
    <row r="70">
      <c r="A70" t="inlineStr">
        <is>
          <t>ttm-fcff</t>
        </is>
      </c>
      <c r="B70" s="18" t="n">
        <v>0.09</v>
      </c>
      <c r="C70" s="18" t="n">
        <v>0.1</v>
      </c>
      <c r="E70" s="18" t="n">
        <v>0.03</v>
      </c>
      <c r="F70" s="18" t="n">
        <v>200.6399551015796</v>
      </c>
      <c r="G70" t="inlineStr">
        <is>
          <t>ok</t>
        </is>
      </c>
    </row>
    <row r="71">
      <c r="A71" t="inlineStr">
        <is>
          <t>ttm-fcff</t>
        </is>
      </c>
      <c r="B71" s="18" t="n">
        <v>0.09</v>
      </c>
      <c r="C71" s="18" t="n">
        <v>0.15</v>
      </c>
      <c r="E71" s="18" t="n">
        <v>0.02</v>
      </c>
      <c r="F71" s="18" t="n">
        <v>265.6340021934309</v>
      </c>
      <c r="G71" t="inlineStr">
        <is>
          <t>ok</t>
        </is>
      </c>
    </row>
    <row r="72">
      <c r="A72" t="inlineStr">
        <is>
          <t>ttm-fcff</t>
        </is>
      </c>
      <c r="B72" s="18" t="n">
        <v>0.09</v>
      </c>
      <c r="C72" s="18" t="n">
        <v>0.15</v>
      </c>
      <c r="E72" s="18" t="n">
        <v>0.025</v>
      </c>
      <c r="F72" s="18" t="n">
        <v>280.1561328221783</v>
      </c>
      <c r="G72" t="inlineStr">
        <is>
          <t>ok</t>
        </is>
      </c>
    </row>
    <row r="73">
      <c r="A73" t="inlineStr">
        <is>
          <t>ttm-fcff</t>
        </is>
      </c>
      <c r="B73" s="18" t="n">
        <v>0.09</v>
      </c>
      <c r="C73" s="18" t="n">
        <v>0.15</v>
      </c>
      <c r="E73" s="18" t="n">
        <v>0.03</v>
      </c>
      <c r="F73" s="18" t="n">
        <v>297.0986185557171</v>
      </c>
      <c r="G73" t="inlineStr">
        <is>
          <t>ok</t>
        </is>
      </c>
    </row>
    <row r="74">
      <c r="A74" t="inlineStr">
        <is>
          <t>ttm-fcff</t>
        </is>
      </c>
      <c r="B74" s="18" t="n">
        <v>0.11</v>
      </c>
      <c r="C74" s="18" t="n">
        <v>0.05</v>
      </c>
      <c r="E74" s="18" t="n">
        <v>0.02</v>
      </c>
      <c r="F74" s="18" t="n">
        <v>91.63328749788627</v>
      </c>
      <c r="G74" t="inlineStr">
        <is>
          <t>ok</t>
        </is>
      </c>
    </row>
    <row r="75">
      <c r="A75" t="inlineStr">
        <is>
          <t>ttm-fcff</t>
        </is>
      </c>
      <c r="B75" s="18" t="n">
        <v>0.11</v>
      </c>
      <c r="C75" s="18" t="n">
        <v>0.05</v>
      </c>
      <c r="E75" s="18" t="n">
        <v>0.025</v>
      </c>
      <c r="F75" s="18" t="n">
        <v>94.58603669461262</v>
      </c>
      <c r="G75" t="inlineStr">
        <is>
          <t>ok</t>
        </is>
      </c>
    </row>
    <row r="76">
      <c r="A76" t="inlineStr">
        <is>
          <t>ttm-fcff</t>
        </is>
      </c>
      <c r="B76" s="18" t="n">
        <v>0.11</v>
      </c>
      <c r="C76" s="18" t="n">
        <v>0.05</v>
      </c>
      <c r="E76" s="18" t="n">
        <v>0.03</v>
      </c>
      <c r="F76" s="18" t="n">
        <v>97.90787954092978</v>
      </c>
      <c r="G76" t="inlineStr">
        <is>
          <t>ok</t>
        </is>
      </c>
    </row>
    <row r="77">
      <c r="A77" t="inlineStr">
        <is>
          <t>ttm-fcff</t>
        </is>
      </c>
      <c r="B77" s="18" t="n">
        <v>0.11</v>
      </c>
      <c r="C77" s="18" t="n">
        <v>0.1</v>
      </c>
      <c r="E77" s="18" t="n">
        <v>0.02</v>
      </c>
      <c r="F77" s="18" t="n">
        <v>133.5487338246581</v>
      </c>
      <c r="G77" t="inlineStr">
        <is>
          <t>ok</t>
        </is>
      </c>
    </row>
    <row r="78">
      <c r="A78" t="inlineStr">
        <is>
          <t>ttm-fcff</t>
        </is>
      </c>
      <c r="B78" s="18" t="n">
        <v>0.11</v>
      </c>
      <c r="C78" s="18" t="n">
        <v>0.1</v>
      </c>
      <c r="E78" s="18" t="n">
        <v>0.025</v>
      </c>
      <c r="F78" s="18" t="n">
        <v>138.2504934349326</v>
      </c>
      <c r="G78" t="inlineStr">
        <is>
          <t>ok</t>
        </is>
      </c>
    </row>
    <row r="79">
      <c r="A79" t="inlineStr">
        <is>
          <t>ttm-fcff</t>
        </is>
      </c>
      <c r="B79" s="18" t="n">
        <v>0.11</v>
      </c>
      <c r="C79" s="18" t="n">
        <v>0.1</v>
      </c>
      <c r="E79" s="18" t="n">
        <v>0.03</v>
      </c>
      <c r="F79" s="18" t="n">
        <v>143.5399729964914</v>
      </c>
      <c r="G79" t="inlineStr">
        <is>
          <t>ok</t>
        </is>
      </c>
    </row>
    <row r="80">
      <c r="A80" t="inlineStr">
        <is>
          <t>ttm-fcff</t>
        </is>
      </c>
      <c r="B80" s="18" t="n">
        <v>0.11</v>
      </c>
      <c r="C80" s="18" t="n">
        <v>0.15</v>
      </c>
      <c r="E80" s="18" t="n">
        <v>0.02</v>
      </c>
      <c r="F80" s="18" t="n">
        <v>193.7799692855984</v>
      </c>
      <c r="G80" t="inlineStr">
        <is>
          <t>ok</t>
        </is>
      </c>
    </row>
    <row r="81">
      <c r="A81" t="inlineStr">
        <is>
          <t>ttm-fcff</t>
        </is>
      </c>
      <c r="B81" s="18" t="n">
        <v>0.11</v>
      </c>
      <c r="C81" s="18" t="n">
        <v>0.15</v>
      </c>
      <c r="E81" s="18" t="n">
        <v>0.025</v>
      </c>
      <c r="F81" s="18" t="n">
        <v>201.113480709879</v>
      </c>
      <c r="G81" t="inlineStr">
        <is>
          <t>ok</t>
        </is>
      </c>
    </row>
    <row r="82">
      <c r="A82" t="inlineStr">
        <is>
          <t>ttm-fcff</t>
        </is>
      </c>
      <c r="B82" s="18" t="n">
        <v>0.11</v>
      </c>
      <c r="C82" s="18" t="n">
        <v>0.15</v>
      </c>
      <c r="E82" s="18" t="n">
        <v>0.03</v>
      </c>
      <c r="F82" s="18" t="n">
        <v>209.3636810621947</v>
      </c>
      <c r="G82" t="inlineStr">
        <is>
          <t>ok</t>
        </is>
      </c>
    </row>
    <row r="83">
      <c r="A83" t="inlineStr">
        <is>
          <t>normalized-fcff-annual</t>
        </is>
      </c>
      <c r="B83" s="18" t="n">
        <v>0.06999999999999999</v>
      </c>
      <c r="C83" s="18" t="n">
        <v>0.05</v>
      </c>
      <c r="E83" s="18" t="n">
        <v>0.02</v>
      </c>
      <c r="F83" s="18" t="n">
        <v>127.2568314916539</v>
      </c>
      <c r="G83" t="inlineStr">
        <is>
          <t>ok</t>
        </is>
      </c>
    </row>
    <row r="84">
      <c r="A84" t="inlineStr">
        <is>
          <t>normalized-fcff-annual</t>
        </is>
      </c>
      <c r="B84" s="18" t="n">
        <v>0.06999999999999999</v>
      </c>
      <c r="C84" s="18" t="n">
        <v>0.05</v>
      </c>
      <c r="E84" s="18" t="n">
        <v>0.025</v>
      </c>
      <c r="F84" s="18" t="n">
        <v>137.4875411955533</v>
      </c>
      <c r="G84" t="inlineStr">
        <is>
          <t>ok</t>
        </is>
      </c>
    </row>
    <row r="85">
      <c r="A85" t="inlineStr">
        <is>
          <t>normalized-fcff-annual</t>
        </is>
      </c>
      <c r="B85" s="18" t="n">
        <v>0.06999999999999999</v>
      </c>
      <c r="C85" s="18" t="n">
        <v>0.05</v>
      </c>
      <c r="E85" s="18" t="n">
        <v>0.03</v>
      </c>
      <c r="F85" s="18" t="n">
        <v>150.2759283254274</v>
      </c>
      <c r="G85" t="inlineStr">
        <is>
          <t>ok</t>
        </is>
      </c>
    </row>
    <row r="86">
      <c r="A86" t="inlineStr">
        <is>
          <t>normalized-fcff-annual</t>
        </is>
      </c>
      <c r="B86" s="18" t="n">
        <v>0.06999999999999999</v>
      </c>
      <c r="C86" s="18" t="n">
        <v>0.1</v>
      </c>
      <c r="E86" s="18" t="n">
        <v>0.02</v>
      </c>
      <c r="F86" s="18" t="n">
        <v>193.0272821116162</v>
      </c>
      <c r="G86" t="inlineStr">
        <is>
          <t>ok</t>
        </is>
      </c>
    </row>
    <row r="87">
      <c r="A87" t="inlineStr">
        <is>
          <t>normalized-fcff-annual</t>
        </is>
      </c>
      <c r="B87" s="18" t="n">
        <v>0.06999999999999999</v>
      </c>
      <c r="C87" s="18" t="n">
        <v>0.1</v>
      </c>
      <c r="E87" s="18" t="n">
        <v>0.025</v>
      </c>
      <c r="F87" s="18" t="n">
        <v>209.3179774824141</v>
      </c>
      <c r="G87" t="inlineStr">
        <is>
          <t>ok</t>
        </is>
      </c>
    </row>
    <row r="88">
      <c r="A88" t="inlineStr">
        <is>
          <t>normalized-fcff-annual</t>
        </is>
      </c>
      <c r="B88" s="18" t="n">
        <v>0.06999999999999999</v>
      </c>
      <c r="C88" s="18" t="n">
        <v>0.1</v>
      </c>
      <c r="E88" s="18" t="n">
        <v>0.03</v>
      </c>
      <c r="F88" s="18" t="n">
        <v>229.6813466959114</v>
      </c>
      <c r="G88" t="inlineStr">
        <is>
          <t>ok</t>
        </is>
      </c>
    </row>
    <row r="89">
      <c r="A89" t="inlineStr">
        <is>
          <t>normalized-fcff-annual</t>
        </is>
      </c>
      <c r="B89" s="18" t="n">
        <v>0.06999999999999999</v>
      </c>
      <c r="C89" s="18" t="n">
        <v>0.15</v>
      </c>
      <c r="E89" s="18" t="n">
        <v>0.02</v>
      </c>
      <c r="F89" s="18" t="n">
        <v>289.4905045608812</v>
      </c>
      <c r="G89" t="inlineStr">
        <is>
          <t>ok</t>
        </is>
      </c>
    </row>
    <row r="90">
      <c r="A90" t="inlineStr">
        <is>
          <t>normalized-fcff-annual</t>
        </is>
      </c>
      <c r="B90" s="18" t="n">
        <v>0.06999999999999999</v>
      </c>
      <c r="C90" s="18" t="n">
        <v>0.15</v>
      </c>
      <c r="E90" s="18" t="n">
        <v>0.025</v>
      </c>
      <c r="F90" s="18" t="n">
        <v>314.8997152636475</v>
      </c>
      <c r="G90" t="inlineStr">
        <is>
          <t>ok</t>
        </is>
      </c>
    </row>
    <row r="91">
      <c r="A91" t="inlineStr">
        <is>
          <t>normalized-fcff-annual</t>
        </is>
      </c>
      <c r="B91" s="18" t="n">
        <v>0.06999999999999999</v>
      </c>
      <c r="C91" s="18" t="n">
        <v>0.15</v>
      </c>
      <c r="E91" s="18" t="n">
        <v>0.03</v>
      </c>
      <c r="F91" s="18" t="n">
        <v>346.6612286421054</v>
      </c>
      <c r="G91" t="inlineStr">
        <is>
          <t>ok</t>
        </is>
      </c>
    </row>
    <row r="92">
      <c r="A92" t="inlineStr">
        <is>
          <t>normalized-fcff-annual</t>
        </is>
      </c>
      <c r="B92" s="18" t="n">
        <v>0.09</v>
      </c>
      <c r="C92" s="18" t="n">
        <v>0.05</v>
      </c>
      <c r="E92" s="18" t="n">
        <v>0.02</v>
      </c>
      <c r="F92" s="18" t="n">
        <v>87.21933027726644</v>
      </c>
      <c r="G92" t="inlineStr">
        <is>
          <t>ok</t>
        </is>
      </c>
    </row>
    <row r="93">
      <c r="A93" t="inlineStr">
        <is>
          <t>normalized-fcff-annual</t>
        </is>
      </c>
      <c r="B93" s="18" t="n">
        <v>0.09</v>
      </c>
      <c r="C93" s="18" t="n">
        <v>0.05</v>
      </c>
      <c r="E93" s="18" t="n">
        <v>0.025</v>
      </c>
      <c r="F93" s="18" t="n">
        <v>91.5017812620203</v>
      </c>
      <c r="G93" t="inlineStr">
        <is>
          <t>ok</t>
        </is>
      </c>
    </row>
    <row r="94">
      <c r="A94" t="inlineStr">
        <is>
          <t>normalized-fcff-annual</t>
        </is>
      </c>
      <c r="B94" s="18" t="n">
        <v>0.09</v>
      </c>
      <c r="C94" s="18" t="n">
        <v>0.05</v>
      </c>
      <c r="E94" s="18" t="n">
        <v>0.03</v>
      </c>
      <c r="F94" s="18" t="n">
        <v>96.49797407756648</v>
      </c>
      <c r="G94" t="inlineStr">
        <is>
          <t>ok</t>
        </is>
      </c>
    </row>
    <row r="95">
      <c r="A95" t="inlineStr">
        <is>
          <t>normalized-fcff-annual</t>
        </is>
      </c>
      <c r="B95" s="18" t="n">
        <v>0.09</v>
      </c>
      <c r="C95" s="18" t="n">
        <v>0.1</v>
      </c>
      <c r="E95" s="18" t="n">
        <v>0.02</v>
      </c>
      <c r="F95" s="18" t="n">
        <v>130.1867928243947</v>
      </c>
      <c r="G95" t="inlineStr">
        <is>
          <t>ok</t>
        </is>
      </c>
    </row>
    <row r="96">
      <c r="A96" t="inlineStr">
        <is>
          <t>normalized-fcff-annual</t>
        </is>
      </c>
      <c r="B96" s="18" t="n">
        <v>0.09</v>
      </c>
      <c r="C96" s="18" t="n">
        <v>0.1</v>
      </c>
      <c r="E96" s="18" t="n">
        <v>0.025</v>
      </c>
      <c r="F96" s="18" t="n">
        <v>137.005880302403</v>
      </c>
      <c r="G96" t="inlineStr">
        <is>
          <t>ok</t>
        </is>
      </c>
    </row>
    <row r="97">
      <c r="A97" t="inlineStr">
        <is>
          <t>normalized-fcff-annual</t>
        </is>
      </c>
      <c r="B97" s="18" t="n">
        <v>0.09</v>
      </c>
      <c r="C97" s="18" t="n">
        <v>0.1</v>
      </c>
      <c r="E97" s="18" t="n">
        <v>0.03</v>
      </c>
      <c r="F97" s="18" t="n">
        <v>144.9614823600795</v>
      </c>
      <c r="G97" t="inlineStr">
        <is>
          <t>ok</t>
        </is>
      </c>
    </row>
    <row r="98">
      <c r="A98" t="inlineStr">
        <is>
          <t>normalized-fcff-annual</t>
        </is>
      </c>
      <c r="B98" s="18" t="n">
        <v>0.09</v>
      </c>
      <c r="C98" s="18" t="n">
        <v>0.15</v>
      </c>
      <c r="E98" s="18" t="n">
        <v>0.02</v>
      </c>
      <c r="F98" s="18" t="n">
        <v>192.5630280926561</v>
      </c>
      <c r="G98" t="inlineStr">
        <is>
          <t>ok</t>
        </is>
      </c>
    </row>
    <row r="99">
      <c r="A99" t="inlineStr">
        <is>
          <t>normalized-fcff-annual</t>
        </is>
      </c>
      <c r="B99" s="18" t="n">
        <v>0.09</v>
      </c>
      <c r="C99" s="18" t="n">
        <v>0.15</v>
      </c>
      <c r="E99" s="18" t="n">
        <v>0.025</v>
      </c>
      <c r="F99" s="18" t="n">
        <v>203.1990154821142</v>
      </c>
      <c r="G99" t="inlineStr">
        <is>
          <t>ok</t>
        </is>
      </c>
    </row>
    <row r="100">
      <c r="A100" t="inlineStr">
        <is>
          <t>normalized-fcff-annual</t>
        </is>
      </c>
      <c r="B100" s="18" t="n">
        <v>0.09</v>
      </c>
      <c r="C100" s="18" t="n">
        <v>0.15</v>
      </c>
      <c r="E100" s="18" t="n">
        <v>0.03</v>
      </c>
      <c r="F100" s="18" t="n">
        <v>215.607667436482</v>
      </c>
      <c r="G100" t="inlineStr">
        <is>
          <t>ok</t>
        </is>
      </c>
    </row>
    <row r="101">
      <c r="A101" t="inlineStr">
        <is>
          <t>normalized-fcff-annual</t>
        </is>
      </c>
      <c r="B101" s="18" t="n">
        <v>0.11</v>
      </c>
      <c r="C101" s="18" t="n">
        <v>0.05</v>
      </c>
      <c r="E101" s="18" t="n">
        <v>0.02</v>
      </c>
      <c r="F101" s="18" t="n">
        <v>65.12515726156812</v>
      </c>
      <c r="G101" t="inlineStr">
        <is>
          <t>ok</t>
        </is>
      </c>
    </row>
    <row r="102">
      <c r="A102" t="inlineStr">
        <is>
          <t>normalized-fcff-annual</t>
        </is>
      </c>
      <c r="B102" s="18" t="n">
        <v>0.11</v>
      </c>
      <c r="C102" s="18" t="n">
        <v>0.05</v>
      </c>
      <c r="E102" s="18" t="n">
        <v>0.025</v>
      </c>
      <c r="F102" s="18" t="n">
        <v>67.28774648648842</v>
      </c>
      <c r="G102" t="inlineStr">
        <is>
          <t>ok</t>
        </is>
      </c>
    </row>
    <row r="103">
      <c r="A103" t="inlineStr">
        <is>
          <t>normalized-fcff-annual</t>
        </is>
      </c>
      <c r="B103" s="18" t="n">
        <v>0.11</v>
      </c>
      <c r="C103" s="18" t="n">
        <v>0.05</v>
      </c>
      <c r="E103" s="18" t="n">
        <v>0.03</v>
      </c>
      <c r="F103" s="18" t="n">
        <v>69.72065936452374</v>
      </c>
      <c r="G103" t="inlineStr">
        <is>
          <t>ok</t>
        </is>
      </c>
    </row>
    <row r="104">
      <c r="A104" t="inlineStr">
        <is>
          <t>normalized-fcff-annual</t>
        </is>
      </c>
      <c r="B104" s="18" t="n">
        <v>0.11</v>
      </c>
      <c r="C104" s="18" t="n">
        <v>0.1</v>
      </c>
      <c r="E104" s="18" t="n">
        <v>0.02</v>
      </c>
      <c r="F104" s="18" t="n">
        <v>95.82396929900699</v>
      </c>
      <c r="G104" t="inlineStr">
        <is>
          <t>ok</t>
        </is>
      </c>
    </row>
    <row r="105">
      <c r="A105" t="inlineStr">
        <is>
          <t>normalized-fcff-annual</t>
        </is>
      </c>
      <c r="B105" s="18" t="n">
        <v>0.11</v>
      </c>
      <c r="C105" s="18" t="n">
        <v>0.1</v>
      </c>
      <c r="E105" s="18" t="n">
        <v>0.025</v>
      </c>
      <c r="F105" s="18" t="n">
        <v>99.2675312116198</v>
      </c>
      <c r="G105" t="inlineStr">
        <is>
          <t>ok</t>
        </is>
      </c>
    </row>
    <row r="106">
      <c r="A106" t="inlineStr">
        <is>
          <t>normalized-fcff-annual</t>
        </is>
      </c>
      <c r="B106" s="18" t="n">
        <v>0.11</v>
      </c>
      <c r="C106" s="18" t="n">
        <v>0.1</v>
      </c>
      <c r="E106" s="18" t="n">
        <v>0.03</v>
      </c>
      <c r="F106" s="18" t="n">
        <v>103.1415383633093</v>
      </c>
      <c r="G106" t="inlineStr">
        <is>
          <t>ok</t>
        </is>
      </c>
    </row>
    <row r="107">
      <c r="A107" t="inlineStr">
        <is>
          <t>normalized-fcff-annual</t>
        </is>
      </c>
      <c r="B107" s="18" t="n">
        <v>0.11</v>
      </c>
      <c r="C107" s="18" t="n">
        <v>0.15</v>
      </c>
      <c r="E107" s="18" t="n">
        <v>0.02</v>
      </c>
      <c r="F107" s="18" t="n">
        <v>139.9372387076912</v>
      </c>
      <c r="G107" t="inlineStr">
        <is>
          <t>ok</t>
        </is>
      </c>
    </row>
    <row r="108">
      <c r="A108" t="inlineStr">
        <is>
          <t>normalized-fcff-annual</t>
        </is>
      </c>
      <c r="B108" s="18" t="n">
        <v>0.11</v>
      </c>
      <c r="C108" s="18" t="n">
        <v>0.15</v>
      </c>
      <c r="E108" s="18" t="n">
        <v>0.025</v>
      </c>
      <c r="F108" s="18" t="n">
        <v>145.3082918281397</v>
      </c>
      <c r="G108" t="inlineStr">
        <is>
          <t>ok</t>
        </is>
      </c>
    </row>
    <row r="109">
      <c r="A109" t="inlineStr">
        <is>
          <t>normalized-fcff-annual</t>
        </is>
      </c>
      <c r="B109" s="18" t="n">
        <v>0.11</v>
      </c>
      <c r="C109" s="18" t="n">
        <v>0.15</v>
      </c>
      <c r="E109" s="18" t="n">
        <v>0.03</v>
      </c>
      <c r="F109" s="18" t="n">
        <v>151.3507265886443</v>
      </c>
      <c r="G109" t="inlineStr">
        <is>
          <t>ok</t>
        </is>
      </c>
    </row>
    <row r="110">
      <c r="A110" t="inlineStr">
        <is>
          <t>normalized-fcff-ttm</t>
        </is>
      </c>
      <c r="B110" s="18" t="n">
        <v>0.06999999999999999</v>
      </c>
      <c r="C110" s="18" t="n">
        <v>0.05</v>
      </c>
      <c r="E110" s="18" t="n">
        <v>0.02</v>
      </c>
      <c r="F110" s="18" t="n">
        <v>178.3329804726298</v>
      </c>
      <c r="G110" t="inlineStr">
        <is>
          <t>ok</t>
        </is>
      </c>
    </row>
    <row r="111">
      <c r="A111" t="inlineStr">
        <is>
          <t>normalized-fcff-ttm</t>
        </is>
      </c>
      <c r="B111" s="18" t="n">
        <v>0.06999999999999999</v>
      </c>
      <c r="C111" s="18" t="n">
        <v>0.05</v>
      </c>
      <c r="E111" s="18" t="n">
        <v>0.025</v>
      </c>
      <c r="F111" s="18" t="n">
        <v>192.4435410161262</v>
      </c>
      <c r="G111" t="inlineStr">
        <is>
          <t>ok</t>
        </is>
      </c>
    </row>
    <row r="112">
      <c r="A112" t="inlineStr">
        <is>
          <t>normalized-fcff-ttm</t>
        </is>
      </c>
      <c r="B112" s="18" t="n">
        <v>0.06999999999999999</v>
      </c>
      <c r="C112" s="18" t="n">
        <v>0.05</v>
      </c>
      <c r="E112" s="18" t="n">
        <v>0.03</v>
      </c>
      <c r="F112" s="18" t="n">
        <v>210.0817416954968</v>
      </c>
      <c r="G112" t="inlineStr">
        <is>
          <t>ok</t>
        </is>
      </c>
    </row>
    <row r="113">
      <c r="A113" t="inlineStr">
        <is>
          <t>normalized-fcff-ttm</t>
        </is>
      </c>
      <c r="B113" s="18" t="n">
        <v>0.06999999999999999</v>
      </c>
      <c r="C113" s="18" t="n">
        <v>0.1</v>
      </c>
      <c r="E113" s="18" t="n">
        <v>0.02</v>
      </c>
      <c r="F113" s="18" t="n">
        <v>269.0459370813294</v>
      </c>
      <c r="G113" t="inlineStr">
        <is>
          <t>ok</t>
        </is>
      </c>
    </row>
    <row r="114">
      <c r="A114" t="inlineStr">
        <is>
          <t>normalized-fcff-ttm</t>
        </is>
      </c>
      <c r="B114" s="18" t="n">
        <v>0.06999999999999999</v>
      </c>
      <c r="C114" s="18" t="n">
        <v>0.1</v>
      </c>
      <c r="E114" s="18" t="n">
        <v>0.025</v>
      </c>
      <c r="F114" s="18" t="n">
        <v>291.5146464845186</v>
      </c>
      <c r="G114" t="inlineStr">
        <is>
          <t>ok</t>
        </is>
      </c>
    </row>
    <row r="115">
      <c r="A115" t="inlineStr">
        <is>
          <t>normalized-fcff-ttm</t>
        </is>
      </c>
      <c r="B115" s="18" t="n">
        <v>0.06999999999999999</v>
      </c>
      <c r="C115" s="18" t="n">
        <v>0.1</v>
      </c>
      <c r="E115" s="18" t="n">
        <v>0.03</v>
      </c>
      <c r="F115" s="18" t="n">
        <v>319.600533238505</v>
      </c>
      <c r="G115" t="inlineStr">
        <is>
          <t>ok</t>
        </is>
      </c>
    </row>
    <row r="116">
      <c r="A116" t="inlineStr">
        <is>
          <t>normalized-fcff-ttm</t>
        </is>
      </c>
      <c r="B116" s="18" t="n">
        <v>0.06999999999999999</v>
      </c>
      <c r="C116" s="18" t="n">
        <v>0.15</v>
      </c>
      <c r="E116" s="18" t="n">
        <v>0.02</v>
      </c>
      <c r="F116" s="18" t="n">
        <v>402.0914617796145</v>
      </c>
      <c r="G116" t="inlineStr">
        <is>
          <t>ok</t>
        </is>
      </c>
    </row>
    <row r="117">
      <c r="A117" t="inlineStr">
        <is>
          <t>normalized-fcff-ttm</t>
        </is>
      </c>
      <c r="B117" s="18" t="n">
        <v>0.06999999999999999</v>
      </c>
      <c r="C117" s="18" t="n">
        <v>0.15</v>
      </c>
      <c r="E117" s="18" t="n">
        <v>0.025</v>
      </c>
      <c r="F117" s="18" t="n">
        <v>437.1367534906274</v>
      </c>
      <c r="G117" t="inlineStr">
        <is>
          <t>ok</t>
        </is>
      </c>
    </row>
    <row r="118">
      <c r="A118" t="inlineStr">
        <is>
          <t>normalized-fcff-ttm</t>
        </is>
      </c>
      <c r="B118" s="18" t="n">
        <v>0.06999999999999999</v>
      </c>
      <c r="C118" s="18" t="n">
        <v>0.15</v>
      </c>
      <c r="E118" s="18" t="n">
        <v>0.03</v>
      </c>
      <c r="F118" s="18" t="n">
        <v>480.9433681293935</v>
      </c>
      <c r="G118" t="inlineStr">
        <is>
          <t>ok</t>
        </is>
      </c>
    </row>
    <row r="119">
      <c r="A119" t="inlineStr">
        <is>
          <t>normalized-fcff-ttm</t>
        </is>
      </c>
      <c r="B119" s="18" t="n">
        <v>0.09</v>
      </c>
      <c r="C119" s="18" t="n">
        <v>0.05</v>
      </c>
      <c r="E119" s="18" t="n">
        <v>0.02</v>
      </c>
      <c r="F119" s="18" t="n">
        <v>123.1118275666292</v>
      </c>
      <c r="G119" t="inlineStr">
        <is>
          <t>ok</t>
        </is>
      </c>
    </row>
    <row r="120">
      <c r="A120" t="inlineStr">
        <is>
          <t>normalized-fcff-ttm</t>
        </is>
      </c>
      <c r="B120" s="18" t="n">
        <v>0.09</v>
      </c>
      <c r="C120" s="18" t="n">
        <v>0.05</v>
      </c>
      <c r="E120" s="18" t="n">
        <v>0.025</v>
      </c>
      <c r="F120" s="18" t="n">
        <v>129.0183370507067</v>
      </c>
      <c r="G120" t="inlineStr">
        <is>
          <t>ok</t>
        </is>
      </c>
    </row>
    <row r="121">
      <c r="A121" t="inlineStr">
        <is>
          <t>normalized-fcff-ttm</t>
        </is>
      </c>
      <c r="B121" s="18" t="n">
        <v>0.09</v>
      </c>
      <c r="C121" s="18" t="n">
        <v>0.05</v>
      </c>
      <c r="E121" s="18" t="n">
        <v>0.03</v>
      </c>
      <c r="F121" s="18" t="n">
        <v>135.9092647821305</v>
      </c>
      <c r="G121" t="inlineStr">
        <is>
          <t>ok</t>
        </is>
      </c>
    </row>
    <row r="122">
      <c r="A122" t="inlineStr">
        <is>
          <t>normalized-fcff-ttm</t>
        </is>
      </c>
      <c r="B122" s="18" t="n">
        <v>0.09</v>
      </c>
      <c r="C122" s="18" t="n">
        <v>0.1</v>
      </c>
      <c r="E122" s="18" t="n">
        <v>0.02</v>
      </c>
      <c r="F122" s="18" t="n">
        <v>182.3740878808464</v>
      </c>
      <c r="G122" t="inlineStr">
        <is>
          <t>ok</t>
        </is>
      </c>
    </row>
    <row r="123">
      <c r="A123" t="inlineStr">
        <is>
          <t>normalized-fcff-ttm</t>
        </is>
      </c>
      <c r="B123" s="18" t="n">
        <v>0.09</v>
      </c>
      <c r="C123" s="18" t="n">
        <v>0.1</v>
      </c>
      <c r="E123" s="18" t="n">
        <v>0.025</v>
      </c>
      <c r="F123" s="18" t="n">
        <v>191.7792170942344</v>
      </c>
      <c r="G123" t="inlineStr">
        <is>
          <t>ok</t>
        </is>
      </c>
    </row>
    <row r="124">
      <c r="A124" t="inlineStr">
        <is>
          <t>normalized-fcff-ttm</t>
        </is>
      </c>
      <c r="B124" s="18" t="n">
        <v>0.09</v>
      </c>
      <c r="C124" s="18" t="n">
        <v>0.1</v>
      </c>
      <c r="E124" s="18" t="n">
        <v>0.03</v>
      </c>
      <c r="F124" s="18" t="n">
        <v>202.7518678431871</v>
      </c>
      <c r="G124" t="inlineStr">
        <is>
          <t>ok</t>
        </is>
      </c>
    </row>
    <row r="125">
      <c r="A125" t="inlineStr">
        <is>
          <t>normalized-fcff-ttm</t>
        </is>
      </c>
      <c r="B125" s="18" t="n">
        <v>0.09</v>
      </c>
      <c r="C125" s="18" t="n">
        <v>0.15</v>
      </c>
      <c r="E125" s="18" t="n">
        <v>0.02</v>
      </c>
      <c r="F125" s="18" t="n">
        <v>268.4056213425688</v>
      </c>
      <c r="G125" t="inlineStr">
        <is>
          <t>ok</t>
        </is>
      </c>
    </row>
    <row r="126">
      <c r="A126" t="inlineStr">
        <is>
          <t>normalized-fcff-ttm</t>
        </is>
      </c>
      <c r="B126" s="18" t="n">
        <v>0.09</v>
      </c>
      <c r="C126" s="18" t="n">
        <v>0.15</v>
      </c>
      <c r="E126" s="18" t="n">
        <v>0.025</v>
      </c>
      <c r="F126" s="18" t="n">
        <v>283.0751553575562</v>
      </c>
      <c r="G126" t="inlineStr">
        <is>
          <t>ok</t>
        </is>
      </c>
    </row>
    <row r="127">
      <c r="A127" t="inlineStr">
        <is>
          <t>normalized-fcff-ttm</t>
        </is>
      </c>
      <c r="B127" s="18" t="n">
        <v>0.09</v>
      </c>
      <c r="C127" s="18" t="n">
        <v>0.15</v>
      </c>
      <c r="E127" s="18" t="n">
        <v>0.03</v>
      </c>
      <c r="F127" s="18" t="n">
        <v>300.189611708375</v>
      </c>
      <c r="G127" t="inlineStr">
        <is>
          <t>ok</t>
        </is>
      </c>
    </row>
    <row r="128">
      <c r="A128" t="inlineStr">
        <is>
          <t>normalized-fcff-ttm</t>
        </is>
      </c>
      <c r="B128" s="18" t="n">
        <v>0.11</v>
      </c>
      <c r="C128" s="18" t="n">
        <v>0.05</v>
      </c>
      <c r="E128" s="18" t="n">
        <v>0.02</v>
      </c>
      <c r="F128" s="18" t="n">
        <v>92.63875433714719</v>
      </c>
      <c r="G128" t="inlineStr">
        <is>
          <t>ok</t>
        </is>
      </c>
    </row>
    <row r="129">
      <c r="A129" t="inlineStr">
        <is>
          <t>normalized-fcff-ttm</t>
        </is>
      </c>
      <c r="B129" s="18" t="n">
        <v>0.11</v>
      </c>
      <c r="C129" s="18" t="n">
        <v>0.05</v>
      </c>
      <c r="E129" s="18" t="n">
        <v>0.025</v>
      </c>
      <c r="F129" s="18" t="n">
        <v>95.62147470280472</v>
      </c>
      <c r="G129" t="inlineStr">
        <is>
          <t>ok</t>
        </is>
      </c>
    </row>
    <row r="130">
      <c r="A130" t="inlineStr">
        <is>
          <t>normalized-fcff-ttm</t>
        </is>
      </c>
      <c r="B130" s="18" t="n">
        <v>0.11</v>
      </c>
      <c r="C130" s="18" t="n">
        <v>0.05</v>
      </c>
      <c r="E130" s="18" t="n">
        <v>0.03</v>
      </c>
      <c r="F130" s="18" t="n">
        <v>98.97703511416945</v>
      </c>
      <c r="G130" t="inlineStr">
        <is>
          <t>ok</t>
        </is>
      </c>
    </row>
    <row r="131">
      <c r="A131" t="inlineStr">
        <is>
          <t>normalized-fcff-ttm</t>
        </is>
      </c>
      <c r="B131" s="18" t="n">
        <v>0.11</v>
      </c>
      <c r="C131" s="18" t="n">
        <v>0.1</v>
      </c>
      <c r="E131" s="18" t="n">
        <v>0.02</v>
      </c>
      <c r="F131" s="18" t="n">
        <v>134.9796532977147</v>
      </c>
      <c r="G131" t="inlineStr">
        <is>
          <t>ok</t>
        </is>
      </c>
    </row>
    <row r="132">
      <c r="A132" t="inlineStr">
        <is>
          <t>normalized-fcff-ttm</t>
        </is>
      </c>
      <c r="B132" s="18" t="n">
        <v>0.11</v>
      </c>
      <c r="C132" s="18" t="n">
        <v>0.1</v>
      </c>
      <c r="E132" s="18" t="n">
        <v>0.025</v>
      </c>
      <c r="F132" s="18" t="n">
        <v>139.7291369855064</v>
      </c>
      <c r="G132" t="inlineStr">
        <is>
          <t>ok</t>
        </is>
      </c>
    </row>
    <row r="133">
      <c r="A133" t="inlineStr">
        <is>
          <t>normalized-fcff-ttm</t>
        </is>
      </c>
      <c r="B133" s="18" t="n">
        <v>0.11</v>
      </c>
      <c r="C133" s="18" t="n">
        <v>0.1</v>
      </c>
      <c r="E133" s="18" t="n">
        <v>0.03</v>
      </c>
      <c r="F133" s="18" t="n">
        <v>145.072306134272</v>
      </c>
      <c r="G133" t="inlineStr">
        <is>
          <t>ok</t>
        </is>
      </c>
    </row>
    <row r="134">
      <c r="A134" t="inlineStr">
        <is>
          <t>normalized-fcff-ttm</t>
        </is>
      </c>
      <c r="B134" s="18" t="n">
        <v>0.11</v>
      </c>
      <c r="C134" s="18" t="n">
        <v>0.15</v>
      </c>
      <c r="E134" s="18" t="n">
        <v>0.02</v>
      </c>
      <c r="F134" s="18" t="n">
        <v>195.8222513948501</v>
      </c>
      <c r="G134" t="inlineStr">
        <is>
          <t>ok</t>
        </is>
      </c>
    </row>
    <row r="135">
      <c r="A135" t="inlineStr">
        <is>
          <t>normalized-fcff-ttm</t>
        </is>
      </c>
      <c r="B135" s="18" t="n">
        <v>0.11</v>
      </c>
      <c r="C135" s="18" t="n">
        <v>0.15</v>
      </c>
      <c r="E135" s="18" t="n">
        <v>0.025</v>
      </c>
      <c r="F135" s="18" t="n">
        <v>203.2301998590254</v>
      </c>
      <c r="G135" t="inlineStr">
        <is>
          <t>ok</t>
        </is>
      </c>
    </row>
    <row r="136">
      <c r="A136" t="inlineStr">
        <is>
          <t>normalized-fcff-ttm</t>
        </is>
      </c>
      <c r="B136" s="18" t="n">
        <v>0.11</v>
      </c>
      <c r="C136" s="18" t="n">
        <v>0.15</v>
      </c>
      <c r="E136" s="18" t="n">
        <v>0.03</v>
      </c>
      <c r="F136" s="18" t="n">
        <v>211.5641418812226</v>
      </c>
      <c r="G136" t="inlineStr">
        <is>
          <t>ok</t>
        </is>
      </c>
    </row>
    <row r="137">
      <c r="A137" t="inlineStr">
        <is>
          <t>illustrative-growth</t>
        </is>
      </c>
      <c r="B137" s="18" t="n">
        <v>0.06999999999999999</v>
      </c>
      <c r="D137" s="18" t="n">
        <v>-0.02</v>
      </c>
      <c r="E137" s="18" t="n">
        <v>0.02</v>
      </c>
      <c r="F137" s="18" t="n">
        <v>211.2489029890892</v>
      </c>
      <c r="G137" t="inlineStr">
        <is>
          <t>ok</t>
        </is>
      </c>
    </row>
    <row r="138">
      <c r="A138" t="inlineStr">
        <is>
          <t>illustrative-growth</t>
        </is>
      </c>
      <c r="B138" s="18" t="n">
        <v>0.06999999999999999</v>
      </c>
      <c r="D138" s="18" t="n">
        <v>-0.02</v>
      </c>
      <c r="E138" s="18" t="n">
        <v>0.025</v>
      </c>
      <c r="F138" s="18" t="n">
        <v>221.5318925384985</v>
      </c>
      <c r="G138" t="inlineStr">
        <is>
          <t>ok</t>
        </is>
      </c>
    </row>
    <row r="139">
      <c r="A139" t="inlineStr">
        <is>
          <t>illustrative-growth</t>
        </is>
      </c>
      <c r="B139" s="18" t="n">
        <v>0.06999999999999999</v>
      </c>
      <c r="D139" s="18" t="n">
        <v>-0.02</v>
      </c>
      <c r="E139" s="18" t="n">
        <v>0.03</v>
      </c>
      <c r="F139" s="18" t="n">
        <v>234.3197879087087</v>
      </c>
      <c r="G139" t="inlineStr">
        <is>
          <t>ok</t>
        </is>
      </c>
    </row>
    <row r="140">
      <c r="A140" t="inlineStr">
        <is>
          <t>illustrative-growth</t>
        </is>
      </c>
      <c r="B140" s="18" t="n">
        <v>0.06999999999999999</v>
      </c>
      <c r="D140" s="18" t="n">
        <v>0</v>
      </c>
      <c r="E140" s="18" t="n">
        <v>0.02</v>
      </c>
      <c r="F140" s="18" t="n">
        <v>246.6653666072679</v>
      </c>
      <c r="G140" t="inlineStr">
        <is>
          <t>ok</t>
        </is>
      </c>
    </row>
    <row r="141">
      <c r="A141" t="inlineStr">
        <is>
          <t>illustrative-growth</t>
        </is>
      </c>
      <c r="B141" s="18" t="n">
        <v>0.06999999999999999</v>
      </c>
      <c r="D141" s="18" t="n">
        <v>0</v>
      </c>
      <c r="E141" s="18" t="n">
        <v>0.025</v>
      </c>
      <c r="F141" s="18" t="n">
        <v>258.9913933946322</v>
      </c>
      <c r="G141" t="inlineStr">
        <is>
          <t>ok</t>
        </is>
      </c>
    </row>
    <row r="142">
      <c r="A142" t="inlineStr">
        <is>
          <t>illustrative-growth</t>
        </is>
      </c>
      <c r="B142" s="18" t="n">
        <v>0.06999999999999999</v>
      </c>
      <c r="D142" s="18" t="n">
        <v>0</v>
      </c>
      <c r="E142" s="18" t="n">
        <v>0.03</v>
      </c>
      <c r="F142" s="18" t="n">
        <v>274.3200038274103</v>
      </c>
      <c r="G142" t="inlineStr">
        <is>
          <t>ok</t>
        </is>
      </c>
    </row>
    <row r="143">
      <c r="A143" t="inlineStr">
        <is>
          <t>illustrative-growth</t>
        </is>
      </c>
      <c r="B143" s="18" t="n">
        <v>0.06999999999999999</v>
      </c>
      <c r="D143" s="18" t="n">
        <v>0.02</v>
      </c>
      <c r="E143" s="18" t="n">
        <v>0.02</v>
      </c>
      <c r="F143" s="18" t="n">
        <v>287.7850969399119</v>
      </c>
      <c r="G143" t="inlineStr">
        <is>
          <t>ok</t>
        </is>
      </c>
    </row>
    <row r="144">
      <c r="A144" t="inlineStr">
        <is>
          <t>illustrative-growth</t>
        </is>
      </c>
      <c r="B144" s="18" t="n">
        <v>0.06999999999999999</v>
      </c>
      <c r="D144" s="18" t="n">
        <v>0.02</v>
      </c>
      <c r="E144" s="18" t="n">
        <v>0.025</v>
      </c>
      <c r="F144" s="18" t="n">
        <v>302.5125228970555</v>
      </c>
      <c r="G144" t="inlineStr">
        <is>
          <t>ok</t>
        </is>
      </c>
    </row>
    <row r="145">
      <c r="A145" t="inlineStr">
        <is>
          <t>illustrative-growth</t>
        </is>
      </c>
      <c r="B145" s="18" t="n">
        <v>0.06999999999999999</v>
      </c>
      <c r="D145" s="18" t="n">
        <v>0.02</v>
      </c>
      <c r="E145" s="18" t="n">
        <v>0.03</v>
      </c>
      <c r="F145" s="18" t="n">
        <v>320.8275062302138</v>
      </c>
      <c r="G145" t="inlineStr">
        <is>
          <t>ok</t>
        </is>
      </c>
    </row>
    <row r="146">
      <c r="A146" t="inlineStr">
        <is>
          <t>illustrative-growth</t>
        </is>
      </c>
      <c r="B146" s="18" t="n">
        <v>0.09</v>
      </c>
      <c r="D146" s="18" t="n">
        <v>-0.02</v>
      </c>
      <c r="E146" s="18" t="n">
        <v>0.02</v>
      </c>
      <c r="F146" s="18" t="n">
        <v>146.7518408108847</v>
      </c>
      <c r="G146" t="inlineStr">
        <is>
          <t>ok</t>
        </is>
      </c>
    </row>
    <row r="147">
      <c r="A147" t="inlineStr">
        <is>
          <t>illustrative-growth</t>
        </is>
      </c>
      <c r="B147" s="18" t="n">
        <v>0.09</v>
      </c>
      <c r="D147" s="18" t="n">
        <v>-0.02</v>
      </c>
      <c r="E147" s="18" t="n">
        <v>0.025</v>
      </c>
      <c r="F147" s="18" t="n">
        <v>150.1162535313755</v>
      </c>
      <c r="G147" t="inlineStr">
        <is>
          <t>ok</t>
        </is>
      </c>
    </row>
    <row r="148">
      <c r="A148" t="inlineStr">
        <is>
          <t>illustrative-growth</t>
        </is>
      </c>
      <c r="B148" s="18" t="n">
        <v>0.09</v>
      </c>
      <c r="D148" s="18" t="n">
        <v>-0.02</v>
      </c>
      <c r="E148" s="18" t="n">
        <v>0.03</v>
      </c>
      <c r="F148" s="18" t="n">
        <v>154.0049278480544</v>
      </c>
      <c r="G148" t="inlineStr">
        <is>
          <t>ok</t>
        </is>
      </c>
    </row>
    <row r="149">
      <c r="A149" t="inlineStr">
        <is>
          <t>illustrative-growth</t>
        </is>
      </c>
      <c r="B149" s="18" t="n">
        <v>0.09</v>
      </c>
      <c r="D149" s="18" t="n">
        <v>0</v>
      </c>
      <c r="E149" s="18" t="n">
        <v>0.02</v>
      </c>
      <c r="F149" s="18" t="n">
        <v>169.9364422908924</v>
      </c>
      <c r="G149" t="inlineStr">
        <is>
          <t>ok</t>
        </is>
      </c>
    </row>
    <row r="150">
      <c r="A150" t="inlineStr">
        <is>
          <t>illustrative-growth</t>
        </is>
      </c>
      <c r="B150" s="18" t="n">
        <v>0.09</v>
      </c>
      <c r="D150" s="18" t="n">
        <v>0</v>
      </c>
      <c r="E150" s="18" t="n">
        <v>0.025</v>
      </c>
      <c r="F150" s="18" t="n">
        <v>173.9693007429269</v>
      </c>
      <c r="G150" t="inlineStr">
        <is>
          <t>ok</t>
        </is>
      </c>
    </row>
    <row r="151">
      <c r="A151" t="inlineStr">
        <is>
          <t>illustrative-growth</t>
        </is>
      </c>
      <c r="B151" s="18" t="n">
        <v>0.09</v>
      </c>
      <c r="D151" s="18" t="n">
        <v>0</v>
      </c>
      <c r="E151" s="18" t="n">
        <v>0.03</v>
      </c>
      <c r="F151" s="18" t="n">
        <v>178.6305817414545</v>
      </c>
      <c r="G151" t="inlineStr">
        <is>
          <t>ok</t>
        </is>
      </c>
    </row>
    <row r="152">
      <c r="A152" t="inlineStr">
        <is>
          <t>illustrative-growth</t>
        </is>
      </c>
      <c r="B152" s="18" t="n">
        <v>0.09</v>
      </c>
      <c r="D152" s="18" t="n">
        <v>0.02</v>
      </c>
      <c r="E152" s="18" t="n">
        <v>0.02</v>
      </c>
      <c r="F152" s="18" t="n">
        <v>196.7290032157333</v>
      </c>
      <c r="G152" t="inlineStr">
        <is>
          <t>ok</t>
        </is>
      </c>
    </row>
    <row r="153">
      <c r="A153" t="inlineStr">
        <is>
          <t>illustrative-growth</t>
        </is>
      </c>
      <c r="B153" s="18" t="n">
        <v>0.09</v>
      </c>
      <c r="D153" s="18" t="n">
        <v>0.02</v>
      </c>
      <c r="E153" s="18" t="n">
        <v>0.025</v>
      </c>
      <c r="F153" s="18" t="n">
        <v>201.5475570995255</v>
      </c>
      <c r="G153" t="inlineStr">
        <is>
          <t>ok</t>
        </is>
      </c>
    </row>
    <row r="154">
      <c r="A154" t="inlineStr">
        <is>
          <t>illustrative-growth</t>
        </is>
      </c>
      <c r="B154" s="18" t="n">
        <v>0.09</v>
      </c>
      <c r="D154" s="18" t="n">
        <v>0.02</v>
      </c>
      <c r="E154" s="18" t="n">
        <v>0.03</v>
      </c>
      <c r="F154" s="18" t="n">
        <v>207.1169649837943</v>
      </c>
      <c r="G154" t="inlineStr">
        <is>
          <t>ok</t>
        </is>
      </c>
    </row>
    <row r="155">
      <c r="A155" t="inlineStr">
        <is>
          <t>illustrative-growth</t>
        </is>
      </c>
      <c r="B155" s="18" t="n">
        <v>0.11</v>
      </c>
      <c r="D155" s="18" t="n">
        <v>-0.02</v>
      </c>
      <c r="E155" s="18" t="n">
        <v>0.02</v>
      </c>
      <c r="F155" s="18" t="n">
        <v>110.9297973664811</v>
      </c>
      <c r="G155" t="inlineStr">
        <is>
          <t>ok</t>
        </is>
      </c>
    </row>
    <row r="156">
      <c r="A156" t="inlineStr">
        <is>
          <t>illustrative-growth</t>
        </is>
      </c>
      <c r="B156" s="18" t="n">
        <v>0.11</v>
      </c>
      <c r="D156" s="18" t="n">
        <v>-0.02</v>
      </c>
      <c r="E156" s="18" t="n">
        <v>0.025</v>
      </c>
      <c r="F156" s="18" t="n">
        <v>112.1712422255943</v>
      </c>
      <c r="G156" t="inlineStr">
        <is>
          <t>ok</t>
        </is>
      </c>
    </row>
    <row r="157">
      <c r="A157" t="inlineStr">
        <is>
          <t>illustrative-growth</t>
        </is>
      </c>
      <c r="B157" s="18" t="n">
        <v>0.11</v>
      </c>
      <c r="D157" s="18" t="n">
        <v>-0.02</v>
      </c>
      <c r="E157" s="18" t="n">
        <v>0.03</v>
      </c>
      <c r="F157" s="18" t="n">
        <v>113.5450601676678</v>
      </c>
      <c r="G157" t="inlineStr">
        <is>
          <t>ok</t>
        </is>
      </c>
    </row>
    <row r="158">
      <c r="A158" t="inlineStr">
        <is>
          <t>illustrative-growth</t>
        </is>
      </c>
      <c r="B158" s="18" t="n">
        <v>0.11</v>
      </c>
      <c r="D158" s="18" t="n">
        <v>0</v>
      </c>
      <c r="E158" s="18" t="n">
        <v>0.02</v>
      </c>
      <c r="F158" s="18" t="n">
        <v>127.5156405164929</v>
      </c>
      <c r="G158" t="inlineStr">
        <is>
          <t>ok</t>
        </is>
      </c>
    </row>
    <row r="159">
      <c r="A159" t="inlineStr">
        <is>
          <t>illustrative-growth</t>
        </is>
      </c>
      <c r="B159" s="18" t="n">
        <v>0.11</v>
      </c>
      <c r="D159" s="18" t="n">
        <v>0</v>
      </c>
      <c r="E159" s="18" t="n">
        <v>0.025</v>
      </c>
      <c r="F159" s="18" t="n">
        <v>129.0037371945008</v>
      </c>
      <c r="G159" t="inlineStr">
        <is>
          <t>ok</t>
        </is>
      </c>
    </row>
    <row r="160">
      <c r="A160" t="inlineStr">
        <is>
          <t>illustrative-growth</t>
        </is>
      </c>
      <c r="B160" s="18" t="n">
        <v>0.11</v>
      </c>
      <c r="D160" s="18" t="n">
        <v>0</v>
      </c>
      <c r="E160" s="18" t="n">
        <v>0.03</v>
      </c>
      <c r="F160" s="18" t="n">
        <v>130.6505070053222</v>
      </c>
      <c r="G160" t="inlineStr">
        <is>
          <t>ok</t>
        </is>
      </c>
    </row>
    <row r="161">
      <c r="A161" t="inlineStr">
        <is>
          <t>illustrative-growth</t>
        </is>
      </c>
      <c r="B161" s="18" t="n">
        <v>0.11</v>
      </c>
      <c r="D161" s="18" t="n">
        <v>0.02</v>
      </c>
      <c r="E161" s="18" t="n">
        <v>0.02</v>
      </c>
      <c r="F161" s="18" t="n">
        <v>146.5958096886943</v>
      </c>
      <c r="G161" t="inlineStr">
        <is>
          <t>ok</t>
        </is>
      </c>
    </row>
    <row r="162">
      <c r="A162" t="inlineStr">
        <is>
          <t>illustrative-growth</t>
        </is>
      </c>
      <c r="B162" s="18" t="n">
        <v>0.11</v>
      </c>
      <c r="D162" s="18" t="n">
        <v>0.02</v>
      </c>
      <c r="E162" s="18" t="n">
        <v>0.025</v>
      </c>
      <c r="F162" s="18" t="n">
        <v>148.3738225082753</v>
      </c>
      <c r="G162" t="inlineStr">
        <is>
          <t>ok</t>
        </is>
      </c>
    </row>
    <row r="163">
      <c r="A163" t="inlineStr">
        <is>
          <t>illustrative-growth</t>
        </is>
      </c>
      <c r="B163" s="18" t="n">
        <v>0.11</v>
      </c>
      <c r="D163" s="18" t="n">
        <v>0.02</v>
      </c>
      <c r="E163" s="18" t="n">
        <v>0.03</v>
      </c>
      <c r="F163" s="18" t="n">
        <v>150.3414217091949</v>
      </c>
      <c r="G163" t="inlineStr">
        <is>
          <t>ok</t>
        </is>
      </c>
    </row>
    <row r="164">
      <c r="A164" t="inlineStr">
        <is>
          <t>illustrative-garp</t>
        </is>
      </c>
      <c r="B164" s="18" t="n">
        <v>0.06999999999999999</v>
      </c>
      <c r="D164" s="18" t="n">
        <v>-0.02</v>
      </c>
      <c r="E164" s="18" t="n">
        <v>0.02</v>
      </c>
      <c r="F164" s="18" t="n">
        <v>166.9249984563492</v>
      </c>
      <c r="G164" t="inlineStr">
        <is>
          <t>ok</t>
        </is>
      </c>
    </row>
    <row r="165">
      <c r="A165" t="inlineStr">
        <is>
          <t>illustrative-garp</t>
        </is>
      </c>
      <c r="B165" s="18" t="n">
        <v>0.06999999999999999</v>
      </c>
      <c r="D165" s="18" t="n">
        <v>-0.02</v>
      </c>
      <c r="E165" s="18" t="n">
        <v>0.025</v>
      </c>
      <c r="F165" s="18" t="n">
        <v>174.8719120415628</v>
      </c>
      <c r="G165" t="inlineStr">
        <is>
          <t>ok</t>
        </is>
      </c>
    </row>
    <row r="166">
      <c r="A166" t="inlineStr">
        <is>
          <t>illustrative-garp</t>
        </is>
      </c>
      <c r="B166" s="18" t="n">
        <v>0.06999999999999999</v>
      </c>
      <c r="D166" s="18" t="n">
        <v>-0.02</v>
      </c>
      <c r="E166" s="18" t="n">
        <v>0.03</v>
      </c>
      <c r="F166" s="18" t="n">
        <v>184.7546702565268</v>
      </c>
      <c r="G166" t="inlineStr">
        <is>
          <t>ok</t>
        </is>
      </c>
    </row>
    <row r="167">
      <c r="A167" t="inlineStr">
        <is>
          <t>illustrative-garp</t>
        </is>
      </c>
      <c r="B167" s="18" t="n">
        <v>0.06999999999999999</v>
      </c>
      <c r="D167" s="18" t="n">
        <v>0</v>
      </c>
      <c r="E167" s="18" t="n">
        <v>0.02</v>
      </c>
      <c r="F167" s="18" t="n">
        <v>195.4222646186828</v>
      </c>
      <c r="G167" t="inlineStr">
        <is>
          <t>ok</t>
        </is>
      </c>
    </row>
    <row r="168">
      <c r="A168" t="inlineStr">
        <is>
          <t>illustrative-garp</t>
        </is>
      </c>
      <c r="B168" s="18" t="n">
        <v>0.06999999999999999</v>
      </c>
      <c r="D168" s="18" t="n">
        <v>0</v>
      </c>
      <c r="E168" s="18" t="n">
        <v>0.025</v>
      </c>
      <c r="F168" s="18" t="n">
        <v>204.9930347299873</v>
      </c>
      <c r="G168" t="inlineStr">
        <is>
          <t>ok</t>
        </is>
      </c>
    </row>
    <row r="169">
      <c r="A169" t="inlineStr">
        <is>
          <t>illustrative-garp</t>
        </is>
      </c>
      <c r="B169" s="18" t="n">
        <v>0.06999999999999999</v>
      </c>
      <c r="D169" s="18" t="n">
        <v>0</v>
      </c>
      <c r="E169" s="18" t="n">
        <v>0.03</v>
      </c>
      <c r="F169" s="18" t="n">
        <v>216.8952161148481</v>
      </c>
      <c r="G169" t="inlineStr">
        <is>
          <t>ok</t>
        </is>
      </c>
    </row>
    <row r="170">
      <c r="A170" t="inlineStr">
        <is>
          <t>illustrative-garp</t>
        </is>
      </c>
      <c r="B170" s="18" t="n">
        <v>0.06999999999999999</v>
      </c>
      <c r="D170" s="18" t="n">
        <v>0.02</v>
      </c>
      <c r="E170" s="18" t="n">
        <v>0.02</v>
      </c>
      <c r="F170" s="18" t="n">
        <v>228.6073062552446</v>
      </c>
      <c r="G170" t="inlineStr">
        <is>
          <t>ok</t>
        </is>
      </c>
    </row>
    <row r="171">
      <c r="A171" t="inlineStr">
        <is>
          <t>illustrative-garp</t>
        </is>
      </c>
      <c r="B171" s="18" t="n">
        <v>0.06999999999999999</v>
      </c>
      <c r="D171" s="18" t="n">
        <v>0.02</v>
      </c>
      <c r="E171" s="18" t="n">
        <v>0.025</v>
      </c>
      <c r="F171" s="18" t="n">
        <v>240.0947246137213</v>
      </c>
      <c r="G171" t="inlineStr">
        <is>
          <t>ok</t>
        </is>
      </c>
    </row>
    <row r="172">
      <c r="A172" t="inlineStr">
        <is>
          <t>illustrative-garp</t>
        </is>
      </c>
      <c r="B172" s="18" t="n">
        <v>0.06999999999999999</v>
      </c>
      <c r="D172" s="18" t="n">
        <v>0.02</v>
      </c>
      <c r="E172" s="18" t="n">
        <v>0.03</v>
      </c>
      <c r="F172" s="18" t="n">
        <v>254.3804440862721</v>
      </c>
      <c r="G172" t="inlineStr">
        <is>
          <t>ok</t>
        </is>
      </c>
    </row>
    <row r="173">
      <c r="A173" t="inlineStr">
        <is>
          <t>illustrative-garp</t>
        </is>
      </c>
      <c r="B173" s="18" t="n">
        <v>0.09</v>
      </c>
      <c r="D173" s="18" t="n">
        <v>-0.02</v>
      </c>
      <c r="E173" s="18" t="n">
        <v>0.02</v>
      </c>
      <c r="F173" s="18" t="n">
        <v>116.7630068622528</v>
      </c>
      <c r="G173" t="inlineStr">
        <is>
          <t>ok</t>
        </is>
      </c>
    </row>
    <row r="174">
      <c r="A174" t="inlineStr">
        <is>
          <t>illustrative-garp</t>
        </is>
      </c>
      <c r="B174" s="18" t="n">
        <v>0.09</v>
      </c>
      <c r="D174" s="18" t="n">
        <v>-0.02</v>
      </c>
      <c r="E174" s="18" t="n">
        <v>0.025</v>
      </c>
      <c r="F174" s="18" t="n">
        <v>119.3630967511188</v>
      </c>
      <c r="G174" t="inlineStr">
        <is>
          <t>ok</t>
        </is>
      </c>
    </row>
    <row r="175">
      <c r="A175" t="inlineStr">
        <is>
          <t>illustrative-garp</t>
        </is>
      </c>
      <c r="B175" s="18" t="n">
        <v>0.09</v>
      </c>
      <c r="D175" s="18" t="n">
        <v>-0.02</v>
      </c>
      <c r="E175" s="18" t="n">
        <v>0.03</v>
      </c>
      <c r="F175" s="18" t="n">
        <v>122.3683471802084</v>
      </c>
      <c r="G175" t="inlineStr">
        <is>
          <t>ok</t>
        </is>
      </c>
    </row>
    <row r="176">
      <c r="A176" t="inlineStr">
        <is>
          <t>illustrative-garp</t>
        </is>
      </c>
      <c r="B176" s="18" t="n">
        <v>0.09</v>
      </c>
      <c r="D176" s="18" t="n">
        <v>0</v>
      </c>
      <c r="E176" s="18" t="n">
        <v>0.02</v>
      </c>
      <c r="F176" s="18" t="n">
        <v>135.5072836708469</v>
      </c>
      <c r="G176" t="inlineStr">
        <is>
          <t>ok</t>
        </is>
      </c>
    </row>
    <row r="177">
      <c r="A177" t="inlineStr">
        <is>
          <t>illustrative-garp</t>
        </is>
      </c>
      <c r="B177" s="18" t="n">
        <v>0.09</v>
      </c>
      <c r="D177" s="18" t="n">
        <v>0</v>
      </c>
      <c r="E177" s="18" t="n">
        <v>0.025</v>
      </c>
      <c r="F177" s="18" t="n">
        <v>138.6386707594602</v>
      </c>
      <c r="G177" t="inlineStr">
        <is>
          <t>ok</t>
        </is>
      </c>
    </row>
    <row r="178">
      <c r="A178" t="inlineStr">
        <is>
          <t>illustrative-garp</t>
        </is>
      </c>
      <c r="B178" s="18" t="n">
        <v>0.09</v>
      </c>
      <c r="D178" s="18" t="n">
        <v>0</v>
      </c>
      <c r="E178" s="18" t="n">
        <v>0.03</v>
      </c>
      <c r="F178" s="18" t="n">
        <v>142.2580080877575</v>
      </c>
      <c r="G178" t="inlineStr">
        <is>
          <t>ok</t>
        </is>
      </c>
    </row>
    <row r="179">
      <c r="A179" t="inlineStr">
        <is>
          <t>illustrative-garp</t>
        </is>
      </c>
      <c r="B179" s="18" t="n">
        <v>0.09</v>
      </c>
      <c r="D179" s="18" t="n">
        <v>0.02</v>
      </c>
      <c r="E179" s="18" t="n">
        <v>0.02</v>
      </c>
      <c r="F179" s="18" t="n">
        <v>157.2242586212015</v>
      </c>
      <c r="G179" t="inlineStr">
        <is>
          <t>ok</t>
        </is>
      </c>
    </row>
    <row r="180">
      <c r="A180" t="inlineStr">
        <is>
          <t>illustrative-garp</t>
        </is>
      </c>
      <c r="B180" s="18" t="n">
        <v>0.09</v>
      </c>
      <c r="D180" s="18" t="n">
        <v>0.02</v>
      </c>
      <c r="E180" s="18" t="n">
        <v>0.025</v>
      </c>
      <c r="F180" s="18" t="n">
        <v>160.9827391939139</v>
      </c>
      <c r="G180" t="inlineStr">
        <is>
          <t>ok</t>
        </is>
      </c>
    </row>
    <row r="181">
      <c r="A181" t="inlineStr">
        <is>
          <t>illustrative-garp</t>
        </is>
      </c>
      <c r="B181" s="18" t="n">
        <v>0.09</v>
      </c>
      <c r="D181" s="18" t="n">
        <v>0.02</v>
      </c>
      <c r="E181" s="18" t="n">
        <v>0.03</v>
      </c>
      <c r="F181" s="18" t="n">
        <v>165.3268872182712</v>
      </c>
      <c r="G181" t="inlineStr">
        <is>
          <t>ok</t>
        </is>
      </c>
    </row>
    <row r="182">
      <c r="A182" t="inlineStr">
        <is>
          <t>illustrative-garp</t>
        </is>
      </c>
      <c r="B182" s="18" t="n">
        <v>0.11</v>
      </c>
      <c r="D182" s="18" t="n">
        <v>-0.02</v>
      </c>
      <c r="E182" s="18" t="n">
        <v>0.02</v>
      </c>
      <c r="F182" s="18" t="n">
        <v>88.79266571950753</v>
      </c>
      <c r="G182" t="inlineStr">
        <is>
          <t>ok</t>
        </is>
      </c>
    </row>
    <row r="183">
      <c r="A183" t="inlineStr">
        <is>
          <t>illustrative-garp</t>
        </is>
      </c>
      <c r="B183" s="18" t="n">
        <v>0.11</v>
      </c>
      <c r="D183" s="18" t="n">
        <v>-0.02</v>
      </c>
      <c r="E183" s="18" t="n">
        <v>0.025</v>
      </c>
      <c r="F183" s="18" t="n">
        <v>89.75208077762626</v>
      </c>
      <c r="G183" t="inlineStr">
        <is>
          <t>ok</t>
        </is>
      </c>
    </row>
    <row r="184">
      <c r="A184" t="inlineStr">
        <is>
          <t>illustrative-garp</t>
        </is>
      </c>
      <c r="B184" s="18" t="n">
        <v>0.11</v>
      </c>
      <c r="D184" s="18" t="n">
        <v>-0.02</v>
      </c>
      <c r="E184" s="18" t="n">
        <v>0.03</v>
      </c>
      <c r="F184" s="18" t="n">
        <v>90.81379657681241</v>
      </c>
      <c r="G184" t="inlineStr">
        <is>
          <t>ok</t>
        </is>
      </c>
    </row>
    <row r="185">
      <c r="A185" t="inlineStr">
        <is>
          <t>illustrative-garp</t>
        </is>
      </c>
      <c r="B185" s="18" t="n">
        <v>0.11</v>
      </c>
      <c r="D185" s="18" t="n">
        <v>0</v>
      </c>
      <c r="E185" s="18" t="n">
        <v>0.02</v>
      </c>
      <c r="F185" s="18" t="n">
        <v>102.2649738727391</v>
      </c>
      <c r="G185" t="inlineStr">
        <is>
          <t>ok</t>
        </is>
      </c>
    </row>
    <row r="186">
      <c r="A186" t="inlineStr">
        <is>
          <t>illustrative-garp</t>
        </is>
      </c>
      <c r="B186" s="18" t="n">
        <v>0.11</v>
      </c>
      <c r="D186" s="18" t="n">
        <v>0</v>
      </c>
      <c r="E186" s="18" t="n">
        <v>0.025</v>
      </c>
      <c r="F186" s="18" t="n">
        <v>103.4204338968248</v>
      </c>
      <c r="G186" t="inlineStr">
        <is>
          <t>ok</t>
        </is>
      </c>
    </row>
    <row r="187">
      <c r="A187" t="inlineStr">
        <is>
          <t>illustrative-garp</t>
        </is>
      </c>
      <c r="B187" s="18" t="n">
        <v>0.11</v>
      </c>
      <c r="D187" s="18" t="n">
        <v>0</v>
      </c>
      <c r="E187" s="18" t="n">
        <v>0.03</v>
      </c>
      <c r="F187" s="18" t="n">
        <v>104.6990985920667</v>
      </c>
      <c r="G187" t="inlineStr">
        <is>
          <t>ok</t>
        </is>
      </c>
    </row>
    <row r="188">
      <c r="A188" t="inlineStr">
        <is>
          <t>illustrative-garp</t>
        </is>
      </c>
      <c r="B188" s="18" t="n">
        <v>0.11</v>
      </c>
      <c r="D188" s="18" t="n">
        <v>0.02</v>
      </c>
      <c r="E188" s="18" t="n">
        <v>0.02</v>
      </c>
      <c r="F188" s="18" t="n">
        <v>117.7973885527723</v>
      </c>
      <c r="G188" t="inlineStr">
        <is>
          <t>ok</t>
        </is>
      </c>
    </row>
    <row r="189">
      <c r="A189" t="inlineStr">
        <is>
          <t>illustrative-garp</t>
        </is>
      </c>
      <c r="B189" s="18" t="n">
        <v>0.11</v>
      </c>
      <c r="D189" s="18" t="n">
        <v>0.02</v>
      </c>
      <c r="E189" s="18" t="n">
        <v>0.025</v>
      </c>
      <c r="F189" s="18" t="n">
        <v>119.1842417044837</v>
      </c>
      <c r="G189" t="inlineStr">
        <is>
          <t>ok</t>
        </is>
      </c>
    </row>
    <row r="190">
      <c r="A190" t="inlineStr">
        <is>
          <t>illustrative-garp</t>
        </is>
      </c>
      <c r="B190" s="18" t="n">
        <v>0.11</v>
      </c>
      <c r="D190" s="18" t="n">
        <v>0.02</v>
      </c>
      <c r="E190" s="18" t="n">
        <v>0.03</v>
      </c>
      <c r="F190" s="18" t="n">
        <v>120.7189725697782</v>
      </c>
      <c r="G190" t="inlineStr">
        <is>
          <t>ok</t>
        </is>
      </c>
    </row>
    <row r="191">
      <c r="A191" t="inlineStr">
        <is>
          <t>illustrative-quality</t>
        </is>
      </c>
      <c r="B191" s="18" t="n">
        <v>0.06999999999999999</v>
      </c>
      <c r="D191" s="18" t="n">
        <v>-0.02</v>
      </c>
      <c r="E191" s="18" t="n">
        <v>0.02</v>
      </c>
      <c r="F191" s="18" t="n">
        <v>140.7406349025853</v>
      </c>
      <c r="G191" t="inlineStr">
        <is>
          <t>ok</t>
        </is>
      </c>
    </row>
    <row r="192">
      <c r="A192" t="inlineStr">
        <is>
          <t>illustrative-quality</t>
        </is>
      </c>
      <c r="B192" s="18" t="n">
        <v>0.06999999999999999</v>
      </c>
      <c r="D192" s="18" t="n">
        <v>-0.02</v>
      </c>
      <c r="E192" s="18" t="n">
        <v>0.025</v>
      </c>
      <c r="F192" s="18" t="n">
        <v>147.3361316757378</v>
      </c>
      <c r="G192" t="inlineStr">
        <is>
          <t>ok</t>
        </is>
      </c>
    </row>
    <row r="193">
      <c r="A193" t="inlineStr">
        <is>
          <t>illustrative-quality</t>
        </is>
      </c>
      <c r="B193" s="18" t="n">
        <v>0.06999999999999999</v>
      </c>
      <c r="D193" s="18" t="n">
        <v>-0.02</v>
      </c>
      <c r="E193" s="18" t="n">
        <v>0.03</v>
      </c>
      <c r="F193" s="18" t="n">
        <v>155.5382719428627</v>
      </c>
      <c r="G193" t="inlineStr">
        <is>
          <t>ok</t>
        </is>
      </c>
    </row>
    <row r="194">
      <c r="A194" t="inlineStr">
        <is>
          <t>illustrative-quality</t>
        </is>
      </c>
      <c r="B194" s="18" t="n">
        <v>0.06999999999999999</v>
      </c>
      <c r="D194" s="18" t="n">
        <v>0</v>
      </c>
      <c r="E194" s="18" t="n">
        <v>0.02</v>
      </c>
      <c r="F194" s="18" t="n">
        <v>165.0864093754232</v>
      </c>
      <c r="G194" t="inlineStr">
        <is>
          <t>ok</t>
        </is>
      </c>
    </row>
    <row r="195">
      <c r="A195" t="inlineStr">
        <is>
          <t>illustrative-quality</t>
        </is>
      </c>
      <c r="B195" s="18" t="n">
        <v>0.06999999999999999</v>
      </c>
      <c r="D195" s="18" t="n">
        <v>0</v>
      </c>
      <c r="E195" s="18" t="n">
        <v>0.025</v>
      </c>
      <c r="F195" s="18" t="n">
        <v>173.0574645435093</v>
      </c>
      <c r="G195" t="inlineStr">
        <is>
          <t>ok</t>
        </is>
      </c>
    </row>
    <row r="196">
      <c r="A196" t="inlineStr">
        <is>
          <t>illustrative-quality</t>
        </is>
      </c>
      <c r="B196" s="18" t="n">
        <v>0.06999999999999999</v>
      </c>
      <c r="D196" s="18" t="n">
        <v>0</v>
      </c>
      <c r="E196" s="18" t="n">
        <v>0.03</v>
      </c>
      <c r="F196" s="18" t="n">
        <v>182.9702451594844</v>
      </c>
      <c r="G196" t="inlineStr">
        <is>
          <t>ok</t>
        </is>
      </c>
    </row>
    <row r="197">
      <c r="A197" t="inlineStr">
        <is>
          <t>illustrative-quality</t>
        </is>
      </c>
      <c r="B197" s="18" t="n">
        <v>0.06999999999999999</v>
      </c>
      <c r="D197" s="18" t="n">
        <v>0.02</v>
      </c>
      <c r="E197" s="18" t="n">
        <v>0.02</v>
      </c>
      <c r="F197" s="18" t="n">
        <v>193.4997037546091</v>
      </c>
      <c r="G197" t="inlineStr">
        <is>
          <t>ok</t>
        </is>
      </c>
    </row>
    <row r="198">
      <c r="A198" t="inlineStr">
        <is>
          <t>illustrative-quality</t>
        </is>
      </c>
      <c r="B198" s="18" t="n">
        <v>0.06999999999999999</v>
      </c>
      <c r="D198" s="18" t="n">
        <v>0.02</v>
      </c>
      <c r="E198" s="18" t="n">
        <v>0.025</v>
      </c>
      <c r="F198" s="18" t="n">
        <v>203.0993556589081</v>
      </c>
      <c r="G198" t="inlineStr">
        <is>
          <t>ok</t>
        </is>
      </c>
    </row>
    <row r="199">
      <c r="A199" t="inlineStr">
        <is>
          <t>illustrative-quality</t>
        </is>
      </c>
      <c r="B199" s="18" t="n">
        <v>0.06999999999999999</v>
      </c>
      <c r="D199" s="18" t="n">
        <v>0.02</v>
      </c>
      <c r="E199" s="18" t="n">
        <v>0.03</v>
      </c>
      <c r="F199" s="18" t="n">
        <v>215.0374543560585</v>
      </c>
      <c r="G199" t="inlineStr">
        <is>
          <t>ok</t>
        </is>
      </c>
    </row>
    <row r="200">
      <c r="A200" t="inlineStr">
        <is>
          <t>illustrative-quality</t>
        </is>
      </c>
      <c r="B200" s="18" t="n">
        <v>0.09</v>
      </c>
      <c r="D200" s="18" t="n">
        <v>-0.02</v>
      </c>
      <c r="E200" s="18" t="n">
        <v>0.02</v>
      </c>
      <c r="F200" s="18" t="n">
        <v>98.92668064292559</v>
      </c>
      <c r="G200" t="inlineStr">
        <is>
          <t>ok</t>
        </is>
      </c>
    </row>
    <row r="201">
      <c r="A201" t="inlineStr">
        <is>
          <t>illustrative-quality</t>
        </is>
      </c>
      <c r="B201" s="18" t="n">
        <v>0.09</v>
      </c>
      <c r="D201" s="18" t="n">
        <v>-0.02</v>
      </c>
      <c r="E201" s="18" t="n">
        <v>0.025</v>
      </c>
      <c r="F201" s="18" t="n">
        <v>101.0846107988329</v>
      </c>
      <c r="G201" t="inlineStr">
        <is>
          <t>ok</t>
        </is>
      </c>
    </row>
    <row r="202">
      <c r="A202" t="inlineStr">
        <is>
          <t>illustrative-quality</t>
        </is>
      </c>
      <c r="B202" s="18" t="n">
        <v>0.09</v>
      </c>
      <c r="D202" s="18" t="n">
        <v>-0.02</v>
      </c>
      <c r="E202" s="18" t="n">
        <v>0.03</v>
      </c>
      <c r="F202" s="18" t="n">
        <v>103.578801693831</v>
      </c>
      <c r="G202" t="inlineStr">
        <is>
          <t>ok</t>
        </is>
      </c>
    </row>
    <row r="203">
      <c r="A203" t="inlineStr">
        <is>
          <t>illustrative-quality</t>
        </is>
      </c>
      <c r="B203" s="18" t="n">
        <v>0.09</v>
      </c>
      <c r="D203" s="18" t="n">
        <v>0</v>
      </c>
      <c r="E203" s="18" t="n">
        <v>0.02</v>
      </c>
      <c r="F203" s="18" t="n">
        <v>114.9938114958606</v>
      </c>
      <c r="G203" t="inlineStr">
        <is>
          <t>ok</t>
        </is>
      </c>
    </row>
    <row r="204">
      <c r="A204" t="inlineStr">
        <is>
          <t>illustrative-quality</t>
        </is>
      </c>
      <c r="B204" s="18" t="n">
        <v>0.09</v>
      </c>
      <c r="D204" s="18" t="n">
        <v>0</v>
      </c>
      <c r="E204" s="18" t="n">
        <v>0.025</v>
      </c>
      <c r="F204" s="18" t="n">
        <v>117.601800084625</v>
      </c>
      <c r="G204" t="inlineStr">
        <is>
          <t>ok</t>
        </is>
      </c>
    </row>
    <row r="205">
      <c r="A205" t="inlineStr">
        <is>
          <t>illustrative-quality</t>
        </is>
      </c>
      <c r="B205" s="18" t="n">
        <v>0.09</v>
      </c>
      <c r="D205" s="18" t="n">
        <v>0</v>
      </c>
      <c r="E205" s="18" t="n">
        <v>0.03</v>
      </c>
      <c r="F205" s="18" t="n">
        <v>120.6161800331827</v>
      </c>
      <c r="G205" t="inlineStr">
        <is>
          <t>ok</t>
        </is>
      </c>
    </row>
    <row r="206">
      <c r="A206" t="inlineStr">
        <is>
          <t>illustrative-quality</t>
        </is>
      </c>
      <c r="B206" s="18" t="n">
        <v>0.09</v>
      </c>
      <c r="D206" s="18" t="n">
        <v>0.02</v>
      </c>
      <c r="E206" s="18" t="n">
        <v>0.02</v>
      </c>
      <c r="F206" s="18" t="n">
        <v>133.6444854918496</v>
      </c>
      <c r="G206" t="inlineStr">
        <is>
          <t>ok</t>
        </is>
      </c>
    </row>
    <row r="207">
      <c r="A207" t="inlineStr">
        <is>
          <t>illustrative-quality</t>
        </is>
      </c>
      <c r="B207" s="18" t="n">
        <v>0.09</v>
      </c>
      <c r="D207" s="18" t="n">
        <v>0.02</v>
      </c>
      <c r="E207" s="18" t="n">
        <v>0.025</v>
      </c>
      <c r="F207" s="18" t="n">
        <v>136.7853221934645</v>
      </c>
      <c r="G207" t="inlineStr">
        <is>
          <t>ok</t>
        </is>
      </c>
    </row>
    <row r="208">
      <c r="A208" t="inlineStr">
        <is>
          <t>illustrative-quality</t>
        </is>
      </c>
      <c r="B208" s="18" t="n">
        <v>0.09</v>
      </c>
      <c r="D208" s="18" t="n">
        <v>0.02</v>
      </c>
      <c r="E208" s="18" t="n">
        <v>0.03</v>
      </c>
      <c r="F208" s="18" t="n">
        <v>140.4155816262818</v>
      </c>
      <c r="G208" t="inlineStr">
        <is>
          <t>ok</t>
        </is>
      </c>
    </row>
    <row r="209">
      <c r="A209" t="inlineStr">
        <is>
          <t>illustrative-quality</t>
        </is>
      </c>
      <c r="B209" s="18" t="n">
        <v>0.11</v>
      </c>
      <c r="D209" s="18" t="n">
        <v>-0.02</v>
      </c>
      <c r="E209" s="18" t="n">
        <v>0.02</v>
      </c>
      <c r="F209" s="18" t="n">
        <v>75.54674990429075</v>
      </c>
      <c r="G209" t="inlineStr">
        <is>
          <t>ok</t>
        </is>
      </c>
    </row>
    <row r="210">
      <c r="A210" t="inlineStr">
        <is>
          <t>illustrative-quality</t>
        </is>
      </c>
      <c r="B210" s="18" t="n">
        <v>0.11</v>
      </c>
      <c r="D210" s="18" t="n">
        <v>-0.02</v>
      </c>
      <c r="E210" s="18" t="n">
        <v>0.025</v>
      </c>
      <c r="F210" s="18" t="n">
        <v>76.34301110080229</v>
      </c>
      <c r="G210" t="inlineStr">
        <is>
          <t>ok</t>
        </is>
      </c>
    </row>
    <row r="211">
      <c r="A211" t="inlineStr">
        <is>
          <t>illustrative-quality</t>
        </is>
      </c>
      <c r="B211" s="18" t="n">
        <v>0.11</v>
      </c>
      <c r="D211" s="18" t="n">
        <v>-0.02</v>
      </c>
      <c r="E211" s="18" t="n">
        <v>0.03</v>
      </c>
      <c r="F211" s="18" t="n">
        <v>77.22417622893035</v>
      </c>
      <c r="G211" t="inlineStr">
        <is>
          <t>ok</t>
        </is>
      </c>
    </row>
    <row r="212">
      <c r="A212" t="inlineStr">
        <is>
          <t>illustrative-quality</t>
        </is>
      </c>
      <c r="B212" s="18" t="n">
        <v>0.11</v>
      </c>
      <c r="D212" s="18" t="n">
        <v>0</v>
      </c>
      <c r="E212" s="18" t="n">
        <v>0.02</v>
      </c>
      <c r="F212" s="18" t="n">
        <v>87.13301146518104</v>
      </c>
      <c r="G212" t="inlineStr">
        <is>
          <t>ok</t>
        </is>
      </c>
    </row>
    <row r="213">
      <c r="A213" t="inlineStr">
        <is>
          <t>illustrative-quality</t>
        </is>
      </c>
      <c r="B213" s="18" t="n">
        <v>0.11</v>
      </c>
      <c r="D213" s="18" t="n">
        <v>0</v>
      </c>
      <c r="E213" s="18" t="n">
        <v>0.025</v>
      </c>
      <c r="F213" s="18" t="n">
        <v>88.09534108854405</v>
      </c>
      <c r="G213" t="inlineStr">
        <is>
          <t>ok</t>
        </is>
      </c>
    </row>
    <row r="214">
      <c r="A214" t="inlineStr">
        <is>
          <t>illustrative-quality</t>
        </is>
      </c>
      <c r="B214" s="18" t="n">
        <v>0.11</v>
      </c>
      <c r="D214" s="18" t="n">
        <v>0</v>
      </c>
      <c r="E214" s="18" t="n">
        <v>0.03</v>
      </c>
      <c r="F214" s="18" t="n">
        <v>89.16028222794287</v>
      </c>
      <c r="G214" t="inlineStr">
        <is>
          <t>ok</t>
        </is>
      </c>
    </row>
    <row r="215">
      <c r="A215" t="inlineStr">
        <is>
          <t>illustrative-quality</t>
        </is>
      </c>
      <c r="B215" s="18" t="n">
        <v>0.11</v>
      </c>
      <c r="D215" s="18" t="n">
        <v>0.02</v>
      </c>
      <c r="E215" s="18" t="n">
        <v>0.02</v>
      </c>
      <c r="F215" s="18" t="n">
        <v>100.5126038104084</v>
      </c>
      <c r="G215" t="inlineStr">
        <is>
          <t>ok</t>
        </is>
      </c>
    </row>
    <row r="216">
      <c r="A216" t="inlineStr">
        <is>
          <t>illustrative-quality</t>
        </is>
      </c>
      <c r="B216" s="18" t="n">
        <v>0.11</v>
      </c>
      <c r="D216" s="18" t="n">
        <v>0.02</v>
      </c>
      <c r="E216" s="18" t="n">
        <v>0.025</v>
      </c>
      <c r="F216" s="18" t="n">
        <v>101.6715506758706</v>
      </c>
      <c r="G216" t="inlineStr">
        <is>
          <t>ok</t>
        </is>
      </c>
    </row>
    <row r="217">
      <c r="A217" t="inlineStr">
        <is>
          <t>illustrative-quality</t>
        </is>
      </c>
      <c r="B217" s="18" t="n">
        <v>0.11</v>
      </c>
      <c r="D217" s="18" t="n">
        <v>0.02</v>
      </c>
      <c r="E217" s="18" t="n">
        <v>0.03</v>
      </c>
      <c r="F217" s="18" t="n">
        <v>102.9540740082554</v>
      </c>
      <c r="G217" t="inlineStr">
        <is>
          <t>ok</t>
        </is>
      </c>
    </row>
  </sheetData>
  <autoFilter ref="A1:G2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2026-10-11T19:37:38Z</dcterms:created>
  <dcterms:modified xsi:type="dcterms:W3CDTF">2026-10-11T19:37:41Z</dcterms:modified>
</cp:coreProperties>
</file>